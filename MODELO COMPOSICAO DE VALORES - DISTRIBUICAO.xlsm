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Orçamento\Desktop\Arthur Maciel\Arthur PC ANTIGO\StreamLit\"/>
    </mc:Choice>
  </mc:AlternateContent>
  <xr:revisionPtr revIDLastSave="0" documentId="13_ncr:1_{96BD6D90-0630-4DBC-B72E-C424FD368EFD}" xr6:coauthVersionLast="47" xr6:coauthVersionMax="47" xr10:uidLastSave="{00000000-0000-0000-0000-000000000000}"/>
  <workbookProtection workbookAlgorithmName="SHA-512" workbookHashValue="ChvIlN7uoR6+jh2Bi4NnHbkTuRSGB1ZeYF8nu5JwzfB+CRzMmGkRltfwwAWL5d2g75bNZ8jhGbHuqPjPAZC/tw==" workbookSaltValue="jq8sBNzfWCOSudcuAt2V/g==" workbookSpinCount="100000" lockStructure="1"/>
  <bookViews>
    <workbookView xWindow="-23148" yWindow="-72" windowWidth="23256" windowHeight="12456" firstSheet="1" activeTab="1" xr2:uid="{00000000-000D-0000-FFFF-FFFF00000000}"/>
  </bookViews>
  <sheets>
    <sheet name="PARÂMETROS" sheetId="1" state="hidden" r:id="rId1"/>
    <sheet name="COMPOSIÇÃO DE VALORES" sheetId="2" r:id="rId2"/>
    <sheet name="RELATÓRIO" sheetId="4" r:id="rId3"/>
  </sheets>
  <definedNames>
    <definedName name="_xlnm._FilterDatabase" localSheetId="1" hidden="1">'COMPOSIÇÃO DE VALORES'!$A$10:$L$110</definedName>
    <definedName name="_xlnm._FilterDatabase" localSheetId="0" hidden="1">PARÂMETROS!$C$3:$I$3</definedName>
    <definedName name="_xlnm._FilterDatabase" localSheetId="2" hidden="1">RELATÓRIO!$A$10:$G$110</definedName>
    <definedName name="_xlnm.Print_Area" localSheetId="1">'COMPOSIÇÃO DE VALORES'!$A$1:$M$110</definedName>
    <definedName name="_xlnm.Print_Area" localSheetId="0">PARÂMETROS!$A$1:$I$403</definedName>
    <definedName name="_xlnm.Print_Area" localSheetId="2">RELATÓRIO!$A$1:$I$510</definedName>
    <definedName name="_xlnm.Print_Titles" localSheetId="1">'COMPOSIÇÃO DE VALORES'!$1:$10</definedName>
    <definedName name="_xlnm.Print_Titles" localSheetId="0">PARÂMETROS!$1:$3</definedName>
    <definedName name="_xlnm.Print_Titles" localSheetId="2">RELATÓRIO!$1:$10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7" i="4" l="1"/>
  <c r="C507" i="4"/>
  <c r="D507" i="4"/>
  <c r="E507" i="4"/>
  <c r="F507" i="4"/>
  <c r="I507" i="4"/>
  <c r="B508" i="4"/>
  <c r="C508" i="4"/>
  <c r="D508" i="4"/>
  <c r="E508" i="4"/>
  <c r="F508" i="4"/>
  <c r="I508" i="4"/>
  <c r="B509" i="4"/>
  <c r="C509" i="4"/>
  <c r="D509" i="4"/>
  <c r="E509" i="4"/>
  <c r="F509" i="4"/>
  <c r="I509" i="4"/>
  <c r="B510" i="4"/>
  <c r="C510" i="4"/>
  <c r="D510" i="4"/>
  <c r="E510" i="4"/>
  <c r="F510" i="4"/>
  <c r="I510" i="4"/>
  <c r="B486" i="4"/>
  <c r="C486" i="4"/>
  <c r="D486" i="4"/>
  <c r="E486" i="4"/>
  <c r="F486" i="4"/>
  <c r="I486" i="4"/>
  <c r="B487" i="4"/>
  <c r="C487" i="4"/>
  <c r="D487" i="4"/>
  <c r="E487" i="4"/>
  <c r="F487" i="4"/>
  <c r="I487" i="4"/>
  <c r="B488" i="4"/>
  <c r="C488" i="4"/>
  <c r="D488" i="4"/>
  <c r="E488" i="4"/>
  <c r="F488" i="4"/>
  <c r="I488" i="4"/>
  <c r="B489" i="4"/>
  <c r="C489" i="4"/>
  <c r="D489" i="4"/>
  <c r="E489" i="4"/>
  <c r="F489" i="4"/>
  <c r="I489" i="4"/>
  <c r="B490" i="4"/>
  <c r="C490" i="4"/>
  <c r="D490" i="4"/>
  <c r="E490" i="4"/>
  <c r="F490" i="4"/>
  <c r="I490" i="4"/>
  <c r="B491" i="4"/>
  <c r="C491" i="4"/>
  <c r="D491" i="4"/>
  <c r="E491" i="4"/>
  <c r="F491" i="4"/>
  <c r="I491" i="4"/>
  <c r="B492" i="4"/>
  <c r="C492" i="4"/>
  <c r="D492" i="4"/>
  <c r="E492" i="4"/>
  <c r="F492" i="4"/>
  <c r="I492" i="4"/>
  <c r="B493" i="4"/>
  <c r="C493" i="4"/>
  <c r="D493" i="4"/>
  <c r="E493" i="4"/>
  <c r="F493" i="4"/>
  <c r="I493" i="4"/>
  <c r="B494" i="4"/>
  <c r="C494" i="4"/>
  <c r="D494" i="4"/>
  <c r="E494" i="4"/>
  <c r="F494" i="4"/>
  <c r="I494" i="4"/>
  <c r="B495" i="4"/>
  <c r="C495" i="4"/>
  <c r="D495" i="4"/>
  <c r="E495" i="4"/>
  <c r="F495" i="4"/>
  <c r="I495" i="4"/>
  <c r="B496" i="4"/>
  <c r="C496" i="4"/>
  <c r="D496" i="4"/>
  <c r="E496" i="4"/>
  <c r="F496" i="4"/>
  <c r="I496" i="4"/>
  <c r="B497" i="4"/>
  <c r="C497" i="4"/>
  <c r="D497" i="4"/>
  <c r="E497" i="4"/>
  <c r="F497" i="4"/>
  <c r="I497" i="4"/>
  <c r="B498" i="4"/>
  <c r="C498" i="4"/>
  <c r="D498" i="4"/>
  <c r="E498" i="4"/>
  <c r="F498" i="4"/>
  <c r="I498" i="4"/>
  <c r="B499" i="4"/>
  <c r="C499" i="4"/>
  <c r="D499" i="4"/>
  <c r="E499" i="4"/>
  <c r="F499" i="4"/>
  <c r="I499" i="4"/>
  <c r="B500" i="4"/>
  <c r="C500" i="4"/>
  <c r="D500" i="4"/>
  <c r="E500" i="4"/>
  <c r="F500" i="4"/>
  <c r="I500" i="4"/>
  <c r="B501" i="4"/>
  <c r="C501" i="4"/>
  <c r="D501" i="4"/>
  <c r="E501" i="4"/>
  <c r="F501" i="4"/>
  <c r="I501" i="4"/>
  <c r="B502" i="4"/>
  <c r="C502" i="4"/>
  <c r="D502" i="4"/>
  <c r="E502" i="4"/>
  <c r="F502" i="4"/>
  <c r="I502" i="4"/>
  <c r="B503" i="4"/>
  <c r="C503" i="4"/>
  <c r="D503" i="4"/>
  <c r="E503" i="4"/>
  <c r="F503" i="4"/>
  <c r="I503" i="4"/>
  <c r="B504" i="4"/>
  <c r="C504" i="4"/>
  <c r="D504" i="4"/>
  <c r="E504" i="4"/>
  <c r="F504" i="4"/>
  <c r="I504" i="4"/>
  <c r="B505" i="4"/>
  <c r="C505" i="4"/>
  <c r="D505" i="4"/>
  <c r="E505" i="4"/>
  <c r="F505" i="4"/>
  <c r="I505" i="4"/>
  <c r="B506" i="4"/>
  <c r="C506" i="4"/>
  <c r="D506" i="4"/>
  <c r="E506" i="4"/>
  <c r="F506" i="4"/>
  <c r="I506" i="4"/>
  <c r="B465" i="4"/>
  <c r="C465" i="4"/>
  <c r="D465" i="4"/>
  <c r="E465" i="4"/>
  <c r="F465" i="4"/>
  <c r="I465" i="4"/>
  <c r="B466" i="4"/>
  <c r="C466" i="4"/>
  <c r="D466" i="4"/>
  <c r="E466" i="4"/>
  <c r="F466" i="4"/>
  <c r="I466" i="4"/>
  <c r="B467" i="4"/>
  <c r="C467" i="4"/>
  <c r="D467" i="4"/>
  <c r="E467" i="4"/>
  <c r="F467" i="4"/>
  <c r="I467" i="4"/>
  <c r="B468" i="4"/>
  <c r="C468" i="4"/>
  <c r="D468" i="4"/>
  <c r="E468" i="4"/>
  <c r="F468" i="4"/>
  <c r="I468" i="4"/>
  <c r="B469" i="4"/>
  <c r="C469" i="4"/>
  <c r="D469" i="4"/>
  <c r="E469" i="4"/>
  <c r="F469" i="4"/>
  <c r="I469" i="4"/>
  <c r="B470" i="4"/>
  <c r="C470" i="4"/>
  <c r="D470" i="4"/>
  <c r="E470" i="4"/>
  <c r="F470" i="4"/>
  <c r="I470" i="4"/>
  <c r="B471" i="4"/>
  <c r="C471" i="4"/>
  <c r="D471" i="4"/>
  <c r="E471" i="4"/>
  <c r="F471" i="4"/>
  <c r="I471" i="4"/>
  <c r="B472" i="4"/>
  <c r="C472" i="4"/>
  <c r="D472" i="4"/>
  <c r="E472" i="4"/>
  <c r="F472" i="4"/>
  <c r="I472" i="4"/>
  <c r="B473" i="4"/>
  <c r="C473" i="4"/>
  <c r="D473" i="4"/>
  <c r="E473" i="4"/>
  <c r="F473" i="4"/>
  <c r="I473" i="4"/>
  <c r="B474" i="4"/>
  <c r="C474" i="4"/>
  <c r="D474" i="4"/>
  <c r="E474" i="4"/>
  <c r="F474" i="4"/>
  <c r="I474" i="4"/>
  <c r="B475" i="4"/>
  <c r="C475" i="4"/>
  <c r="D475" i="4"/>
  <c r="E475" i="4"/>
  <c r="F475" i="4"/>
  <c r="I475" i="4"/>
  <c r="B476" i="4"/>
  <c r="C476" i="4"/>
  <c r="D476" i="4"/>
  <c r="E476" i="4"/>
  <c r="F476" i="4"/>
  <c r="I476" i="4"/>
  <c r="B477" i="4"/>
  <c r="C477" i="4"/>
  <c r="D477" i="4"/>
  <c r="E477" i="4"/>
  <c r="F477" i="4"/>
  <c r="I477" i="4"/>
  <c r="B478" i="4"/>
  <c r="C478" i="4"/>
  <c r="D478" i="4"/>
  <c r="E478" i="4"/>
  <c r="F478" i="4"/>
  <c r="I478" i="4"/>
  <c r="B479" i="4"/>
  <c r="C479" i="4"/>
  <c r="D479" i="4"/>
  <c r="E479" i="4"/>
  <c r="F479" i="4"/>
  <c r="I479" i="4"/>
  <c r="B480" i="4"/>
  <c r="C480" i="4"/>
  <c r="D480" i="4"/>
  <c r="E480" i="4"/>
  <c r="F480" i="4"/>
  <c r="I480" i="4"/>
  <c r="B481" i="4"/>
  <c r="C481" i="4"/>
  <c r="D481" i="4"/>
  <c r="E481" i="4"/>
  <c r="F481" i="4"/>
  <c r="I481" i="4"/>
  <c r="B482" i="4"/>
  <c r="C482" i="4"/>
  <c r="D482" i="4"/>
  <c r="E482" i="4"/>
  <c r="F482" i="4"/>
  <c r="I482" i="4"/>
  <c r="B483" i="4"/>
  <c r="C483" i="4"/>
  <c r="D483" i="4"/>
  <c r="E483" i="4"/>
  <c r="F483" i="4"/>
  <c r="I483" i="4"/>
  <c r="B484" i="4"/>
  <c r="C484" i="4"/>
  <c r="D484" i="4"/>
  <c r="E484" i="4"/>
  <c r="F484" i="4"/>
  <c r="I484" i="4"/>
  <c r="B485" i="4"/>
  <c r="C485" i="4"/>
  <c r="D485" i="4"/>
  <c r="E485" i="4"/>
  <c r="F485" i="4"/>
  <c r="I485" i="4"/>
  <c r="B441" i="4"/>
  <c r="C441" i="4"/>
  <c r="D441" i="4"/>
  <c r="E441" i="4"/>
  <c r="F441" i="4"/>
  <c r="I441" i="4"/>
  <c r="B442" i="4"/>
  <c r="C442" i="4"/>
  <c r="D442" i="4"/>
  <c r="E442" i="4"/>
  <c r="F442" i="4"/>
  <c r="I442" i="4"/>
  <c r="B443" i="4"/>
  <c r="C443" i="4"/>
  <c r="D443" i="4"/>
  <c r="E443" i="4"/>
  <c r="F443" i="4"/>
  <c r="I443" i="4"/>
  <c r="B444" i="4"/>
  <c r="C444" i="4"/>
  <c r="D444" i="4"/>
  <c r="E444" i="4"/>
  <c r="F444" i="4"/>
  <c r="I444" i="4"/>
  <c r="B445" i="4"/>
  <c r="C445" i="4"/>
  <c r="D445" i="4"/>
  <c r="E445" i="4"/>
  <c r="F445" i="4"/>
  <c r="I445" i="4"/>
  <c r="B446" i="4"/>
  <c r="C446" i="4"/>
  <c r="D446" i="4"/>
  <c r="E446" i="4"/>
  <c r="F446" i="4"/>
  <c r="I446" i="4"/>
  <c r="B447" i="4"/>
  <c r="C447" i="4"/>
  <c r="D447" i="4"/>
  <c r="E447" i="4"/>
  <c r="F447" i="4"/>
  <c r="I447" i="4"/>
  <c r="B448" i="4"/>
  <c r="C448" i="4"/>
  <c r="D448" i="4"/>
  <c r="E448" i="4"/>
  <c r="F448" i="4"/>
  <c r="I448" i="4"/>
  <c r="B449" i="4"/>
  <c r="C449" i="4"/>
  <c r="D449" i="4"/>
  <c r="E449" i="4"/>
  <c r="F449" i="4"/>
  <c r="I449" i="4"/>
  <c r="B450" i="4"/>
  <c r="C450" i="4"/>
  <c r="D450" i="4"/>
  <c r="E450" i="4"/>
  <c r="F450" i="4"/>
  <c r="I450" i="4"/>
  <c r="B451" i="4"/>
  <c r="C451" i="4"/>
  <c r="D451" i="4"/>
  <c r="E451" i="4"/>
  <c r="F451" i="4"/>
  <c r="I451" i="4"/>
  <c r="B452" i="4"/>
  <c r="C452" i="4"/>
  <c r="D452" i="4"/>
  <c r="E452" i="4"/>
  <c r="F452" i="4"/>
  <c r="I452" i="4"/>
  <c r="B453" i="4"/>
  <c r="C453" i="4"/>
  <c r="D453" i="4"/>
  <c r="E453" i="4"/>
  <c r="F453" i="4"/>
  <c r="I453" i="4"/>
  <c r="B454" i="4"/>
  <c r="C454" i="4"/>
  <c r="D454" i="4"/>
  <c r="E454" i="4"/>
  <c r="F454" i="4"/>
  <c r="I454" i="4"/>
  <c r="B455" i="4"/>
  <c r="C455" i="4"/>
  <c r="D455" i="4"/>
  <c r="E455" i="4"/>
  <c r="F455" i="4"/>
  <c r="I455" i="4"/>
  <c r="B456" i="4"/>
  <c r="C456" i="4"/>
  <c r="D456" i="4"/>
  <c r="E456" i="4"/>
  <c r="F456" i="4"/>
  <c r="I456" i="4"/>
  <c r="B457" i="4"/>
  <c r="C457" i="4"/>
  <c r="D457" i="4"/>
  <c r="E457" i="4"/>
  <c r="F457" i="4"/>
  <c r="I457" i="4"/>
  <c r="B458" i="4"/>
  <c r="C458" i="4"/>
  <c r="D458" i="4"/>
  <c r="E458" i="4"/>
  <c r="F458" i="4"/>
  <c r="I458" i="4"/>
  <c r="B459" i="4"/>
  <c r="C459" i="4"/>
  <c r="D459" i="4"/>
  <c r="E459" i="4"/>
  <c r="F459" i="4"/>
  <c r="I459" i="4"/>
  <c r="B460" i="4"/>
  <c r="C460" i="4"/>
  <c r="D460" i="4"/>
  <c r="E460" i="4"/>
  <c r="F460" i="4"/>
  <c r="I460" i="4"/>
  <c r="B461" i="4"/>
  <c r="C461" i="4"/>
  <c r="D461" i="4"/>
  <c r="E461" i="4"/>
  <c r="F461" i="4"/>
  <c r="I461" i="4"/>
  <c r="B462" i="4"/>
  <c r="C462" i="4"/>
  <c r="D462" i="4"/>
  <c r="E462" i="4"/>
  <c r="F462" i="4"/>
  <c r="I462" i="4"/>
  <c r="B463" i="4"/>
  <c r="C463" i="4"/>
  <c r="D463" i="4"/>
  <c r="E463" i="4"/>
  <c r="F463" i="4"/>
  <c r="I463" i="4"/>
  <c r="B464" i="4"/>
  <c r="C464" i="4"/>
  <c r="D464" i="4"/>
  <c r="E464" i="4"/>
  <c r="F464" i="4"/>
  <c r="I464" i="4"/>
  <c r="B410" i="4"/>
  <c r="C410" i="4"/>
  <c r="D410" i="4"/>
  <c r="E410" i="4"/>
  <c r="F410" i="4"/>
  <c r="I410" i="4"/>
  <c r="B411" i="4"/>
  <c r="C411" i="4"/>
  <c r="D411" i="4"/>
  <c r="E411" i="4"/>
  <c r="F411" i="4"/>
  <c r="I411" i="4"/>
  <c r="B412" i="4"/>
  <c r="C412" i="4"/>
  <c r="D412" i="4"/>
  <c r="E412" i="4"/>
  <c r="F412" i="4"/>
  <c r="I412" i="4"/>
  <c r="B413" i="4"/>
  <c r="C413" i="4"/>
  <c r="D413" i="4"/>
  <c r="E413" i="4"/>
  <c r="F413" i="4"/>
  <c r="I413" i="4"/>
  <c r="B414" i="4"/>
  <c r="C414" i="4"/>
  <c r="D414" i="4"/>
  <c r="E414" i="4"/>
  <c r="F414" i="4"/>
  <c r="I414" i="4"/>
  <c r="B415" i="4"/>
  <c r="C415" i="4"/>
  <c r="D415" i="4"/>
  <c r="E415" i="4"/>
  <c r="F415" i="4"/>
  <c r="I415" i="4"/>
  <c r="B416" i="4"/>
  <c r="C416" i="4"/>
  <c r="D416" i="4"/>
  <c r="E416" i="4"/>
  <c r="F416" i="4"/>
  <c r="I416" i="4"/>
  <c r="B417" i="4"/>
  <c r="C417" i="4"/>
  <c r="D417" i="4"/>
  <c r="E417" i="4"/>
  <c r="F417" i="4"/>
  <c r="I417" i="4"/>
  <c r="B418" i="4"/>
  <c r="C418" i="4"/>
  <c r="D418" i="4"/>
  <c r="E418" i="4"/>
  <c r="F418" i="4"/>
  <c r="I418" i="4"/>
  <c r="B419" i="4"/>
  <c r="C419" i="4"/>
  <c r="D419" i="4"/>
  <c r="E419" i="4"/>
  <c r="F419" i="4"/>
  <c r="I419" i="4"/>
  <c r="B420" i="4"/>
  <c r="C420" i="4"/>
  <c r="D420" i="4"/>
  <c r="E420" i="4"/>
  <c r="F420" i="4"/>
  <c r="I420" i="4"/>
  <c r="B421" i="4"/>
  <c r="C421" i="4"/>
  <c r="D421" i="4"/>
  <c r="E421" i="4"/>
  <c r="F421" i="4"/>
  <c r="I421" i="4"/>
  <c r="B422" i="4"/>
  <c r="C422" i="4"/>
  <c r="D422" i="4"/>
  <c r="E422" i="4"/>
  <c r="F422" i="4"/>
  <c r="I422" i="4"/>
  <c r="B423" i="4"/>
  <c r="C423" i="4"/>
  <c r="D423" i="4"/>
  <c r="E423" i="4"/>
  <c r="F423" i="4"/>
  <c r="I423" i="4"/>
  <c r="B424" i="4"/>
  <c r="C424" i="4"/>
  <c r="D424" i="4"/>
  <c r="E424" i="4"/>
  <c r="F424" i="4"/>
  <c r="I424" i="4"/>
  <c r="B425" i="4"/>
  <c r="C425" i="4"/>
  <c r="D425" i="4"/>
  <c r="E425" i="4"/>
  <c r="F425" i="4"/>
  <c r="I425" i="4"/>
  <c r="B426" i="4"/>
  <c r="C426" i="4"/>
  <c r="D426" i="4"/>
  <c r="E426" i="4"/>
  <c r="F426" i="4"/>
  <c r="I426" i="4"/>
  <c r="B427" i="4"/>
  <c r="C427" i="4"/>
  <c r="D427" i="4"/>
  <c r="E427" i="4"/>
  <c r="F427" i="4"/>
  <c r="I427" i="4"/>
  <c r="B428" i="4"/>
  <c r="C428" i="4"/>
  <c r="D428" i="4"/>
  <c r="E428" i="4"/>
  <c r="F428" i="4"/>
  <c r="I428" i="4"/>
  <c r="B429" i="4"/>
  <c r="C429" i="4"/>
  <c r="D429" i="4"/>
  <c r="E429" i="4"/>
  <c r="F429" i="4"/>
  <c r="I429" i="4"/>
  <c r="B430" i="4"/>
  <c r="C430" i="4"/>
  <c r="D430" i="4"/>
  <c r="E430" i="4"/>
  <c r="F430" i="4"/>
  <c r="I430" i="4"/>
  <c r="B431" i="4"/>
  <c r="C431" i="4"/>
  <c r="D431" i="4"/>
  <c r="E431" i="4"/>
  <c r="F431" i="4"/>
  <c r="I431" i="4"/>
  <c r="B432" i="4"/>
  <c r="C432" i="4"/>
  <c r="D432" i="4"/>
  <c r="E432" i="4"/>
  <c r="F432" i="4"/>
  <c r="I432" i="4"/>
  <c r="B433" i="4"/>
  <c r="C433" i="4"/>
  <c r="D433" i="4"/>
  <c r="E433" i="4"/>
  <c r="F433" i="4"/>
  <c r="I433" i="4"/>
  <c r="B434" i="4"/>
  <c r="C434" i="4"/>
  <c r="D434" i="4"/>
  <c r="E434" i="4"/>
  <c r="F434" i="4"/>
  <c r="I434" i="4"/>
  <c r="B435" i="4"/>
  <c r="C435" i="4"/>
  <c r="D435" i="4"/>
  <c r="E435" i="4"/>
  <c r="F435" i="4"/>
  <c r="I435" i="4"/>
  <c r="B436" i="4"/>
  <c r="C436" i="4"/>
  <c r="D436" i="4"/>
  <c r="E436" i="4"/>
  <c r="F436" i="4"/>
  <c r="I436" i="4"/>
  <c r="B437" i="4"/>
  <c r="C437" i="4"/>
  <c r="D437" i="4"/>
  <c r="E437" i="4"/>
  <c r="F437" i="4"/>
  <c r="I437" i="4"/>
  <c r="B438" i="4"/>
  <c r="C438" i="4"/>
  <c r="D438" i="4"/>
  <c r="E438" i="4"/>
  <c r="F438" i="4"/>
  <c r="I438" i="4"/>
  <c r="B439" i="4"/>
  <c r="C439" i="4"/>
  <c r="D439" i="4"/>
  <c r="E439" i="4"/>
  <c r="F439" i="4"/>
  <c r="I439" i="4"/>
  <c r="B440" i="4"/>
  <c r="C440" i="4"/>
  <c r="D440" i="4"/>
  <c r="E440" i="4"/>
  <c r="F440" i="4"/>
  <c r="I440" i="4"/>
  <c r="B382" i="4"/>
  <c r="C382" i="4"/>
  <c r="D382" i="4"/>
  <c r="E382" i="4"/>
  <c r="F382" i="4"/>
  <c r="I382" i="4"/>
  <c r="B383" i="4"/>
  <c r="C383" i="4"/>
  <c r="D383" i="4"/>
  <c r="E383" i="4"/>
  <c r="F383" i="4"/>
  <c r="I383" i="4"/>
  <c r="B384" i="4"/>
  <c r="C384" i="4"/>
  <c r="D384" i="4"/>
  <c r="E384" i="4"/>
  <c r="F384" i="4"/>
  <c r="I384" i="4"/>
  <c r="B385" i="4"/>
  <c r="C385" i="4"/>
  <c r="D385" i="4"/>
  <c r="E385" i="4"/>
  <c r="F385" i="4"/>
  <c r="I385" i="4"/>
  <c r="B386" i="4"/>
  <c r="C386" i="4"/>
  <c r="D386" i="4"/>
  <c r="E386" i="4"/>
  <c r="F386" i="4"/>
  <c r="I386" i="4"/>
  <c r="B387" i="4"/>
  <c r="C387" i="4"/>
  <c r="D387" i="4"/>
  <c r="E387" i="4"/>
  <c r="F387" i="4"/>
  <c r="I387" i="4"/>
  <c r="B388" i="4"/>
  <c r="C388" i="4"/>
  <c r="D388" i="4"/>
  <c r="E388" i="4"/>
  <c r="F388" i="4"/>
  <c r="I388" i="4"/>
  <c r="B389" i="4"/>
  <c r="C389" i="4"/>
  <c r="D389" i="4"/>
  <c r="E389" i="4"/>
  <c r="F389" i="4"/>
  <c r="I389" i="4"/>
  <c r="B390" i="4"/>
  <c r="C390" i="4"/>
  <c r="D390" i="4"/>
  <c r="E390" i="4"/>
  <c r="F390" i="4"/>
  <c r="I390" i="4"/>
  <c r="B391" i="4"/>
  <c r="C391" i="4"/>
  <c r="D391" i="4"/>
  <c r="E391" i="4"/>
  <c r="F391" i="4"/>
  <c r="I391" i="4"/>
  <c r="B392" i="4"/>
  <c r="C392" i="4"/>
  <c r="D392" i="4"/>
  <c r="E392" i="4"/>
  <c r="F392" i="4"/>
  <c r="I392" i="4"/>
  <c r="B393" i="4"/>
  <c r="C393" i="4"/>
  <c r="D393" i="4"/>
  <c r="E393" i="4"/>
  <c r="F393" i="4"/>
  <c r="I393" i="4"/>
  <c r="B394" i="4"/>
  <c r="C394" i="4"/>
  <c r="D394" i="4"/>
  <c r="E394" i="4"/>
  <c r="F394" i="4"/>
  <c r="I394" i="4"/>
  <c r="B395" i="4"/>
  <c r="C395" i="4"/>
  <c r="D395" i="4"/>
  <c r="E395" i="4"/>
  <c r="F395" i="4"/>
  <c r="I395" i="4"/>
  <c r="B396" i="4"/>
  <c r="C396" i="4"/>
  <c r="D396" i="4"/>
  <c r="E396" i="4"/>
  <c r="F396" i="4"/>
  <c r="I396" i="4"/>
  <c r="B397" i="4"/>
  <c r="C397" i="4"/>
  <c r="D397" i="4"/>
  <c r="E397" i="4"/>
  <c r="F397" i="4"/>
  <c r="I397" i="4"/>
  <c r="B398" i="4"/>
  <c r="C398" i="4"/>
  <c r="D398" i="4"/>
  <c r="E398" i="4"/>
  <c r="F398" i="4"/>
  <c r="I398" i="4"/>
  <c r="B399" i="4"/>
  <c r="C399" i="4"/>
  <c r="D399" i="4"/>
  <c r="E399" i="4"/>
  <c r="F399" i="4"/>
  <c r="I399" i="4"/>
  <c r="B400" i="4"/>
  <c r="C400" i="4"/>
  <c r="D400" i="4"/>
  <c r="E400" i="4"/>
  <c r="F400" i="4"/>
  <c r="I400" i="4"/>
  <c r="B401" i="4"/>
  <c r="C401" i="4"/>
  <c r="D401" i="4"/>
  <c r="E401" i="4"/>
  <c r="F401" i="4"/>
  <c r="I401" i="4"/>
  <c r="B402" i="4"/>
  <c r="C402" i="4"/>
  <c r="D402" i="4"/>
  <c r="E402" i="4"/>
  <c r="F402" i="4"/>
  <c r="I402" i="4"/>
  <c r="B403" i="4"/>
  <c r="C403" i="4"/>
  <c r="D403" i="4"/>
  <c r="E403" i="4"/>
  <c r="F403" i="4"/>
  <c r="I403" i="4"/>
  <c r="B404" i="4"/>
  <c r="C404" i="4"/>
  <c r="D404" i="4"/>
  <c r="E404" i="4"/>
  <c r="F404" i="4"/>
  <c r="I404" i="4"/>
  <c r="B405" i="4"/>
  <c r="C405" i="4"/>
  <c r="D405" i="4"/>
  <c r="E405" i="4"/>
  <c r="F405" i="4"/>
  <c r="I405" i="4"/>
  <c r="B406" i="4"/>
  <c r="C406" i="4"/>
  <c r="D406" i="4"/>
  <c r="E406" i="4"/>
  <c r="F406" i="4"/>
  <c r="I406" i="4"/>
  <c r="B407" i="4"/>
  <c r="C407" i="4"/>
  <c r="D407" i="4"/>
  <c r="E407" i="4"/>
  <c r="F407" i="4"/>
  <c r="I407" i="4"/>
  <c r="B408" i="4"/>
  <c r="C408" i="4"/>
  <c r="D408" i="4"/>
  <c r="E408" i="4"/>
  <c r="F408" i="4"/>
  <c r="I408" i="4"/>
  <c r="B409" i="4"/>
  <c r="C409" i="4"/>
  <c r="D409" i="4"/>
  <c r="E409" i="4"/>
  <c r="F409" i="4"/>
  <c r="I409" i="4"/>
  <c r="B368" i="4"/>
  <c r="C368" i="4"/>
  <c r="D368" i="4"/>
  <c r="E368" i="4"/>
  <c r="F368" i="4"/>
  <c r="I368" i="4"/>
  <c r="B369" i="4"/>
  <c r="C369" i="4"/>
  <c r="D369" i="4"/>
  <c r="E369" i="4"/>
  <c r="F369" i="4"/>
  <c r="I369" i="4"/>
  <c r="B370" i="4"/>
  <c r="C370" i="4"/>
  <c r="D370" i="4"/>
  <c r="E370" i="4"/>
  <c r="F370" i="4"/>
  <c r="I370" i="4"/>
  <c r="B371" i="4"/>
  <c r="C371" i="4"/>
  <c r="D371" i="4"/>
  <c r="E371" i="4"/>
  <c r="F371" i="4"/>
  <c r="I371" i="4"/>
  <c r="B372" i="4"/>
  <c r="C372" i="4"/>
  <c r="D372" i="4"/>
  <c r="E372" i="4"/>
  <c r="F372" i="4"/>
  <c r="I372" i="4"/>
  <c r="B373" i="4"/>
  <c r="C373" i="4"/>
  <c r="D373" i="4"/>
  <c r="E373" i="4"/>
  <c r="F373" i="4"/>
  <c r="I373" i="4"/>
  <c r="B374" i="4"/>
  <c r="C374" i="4"/>
  <c r="D374" i="4"/>
  <c r="E374" i="4"/>
  <c r="F374" i="4"/>
  <c r="I374" i="4"/>
  <c r="B375" i="4"/>
  <c r="C375" i="4"/>
  <c r="D375" i="4"/>
  <c r="E375" i="4"/>
  <c r="F375" i="4"/>
  <c r="I375" i="4"/>
  <c r="B376" i="4"/>
  <c r="C376" i="4"/>
  <c r="D376" i="4"/>
  <c r="E376" i="4"/>
  <c r="F376" i="4"/>
  <c r="I376" i="4"/>
  <c r="B377" i="4"/>
  <c r="C377" i="4"/>
  <c r="D377" i="4"/>
  <c r="E377" i="4"/>
  <c r="F377" i="4"/>
  <c r="I377" i="4"/>
  <c r="B378" i="4"/>
  <c r="C378" i="4"/>
  <c r="D378" i="4"/>
  <c r="E378" i="4"/>
  <c r="F378" i="4"/>
  <c r="I378" i="4"/>
  <c r="B379" i="4"/>
  <c r="C379" i="4"/>
  <c r="D379" i="4"/>
  <c r="E379" i="4"/>
  <c r="F379" i="4"/>
  <c r="I379" i="4"/>
  <c r="B380" i="4"/>
  <c r="C380" i="4"/>
  <c r="D380" i="4"/>
  <c r="E380" i="4"/>
  <c r="F380" i="4"/>
  <c r="I380" i="4"/>
  <c r="B381" i="4"/>
  <c r="C381" i="4"/>
  <c r="D381" i="4"/>
  <c r="E381" i="4"/>
  <c r="F381" i="4"/>
  <c r="I381" i="4"/>
  <c r="B328" i="4"/>
  <c r="C328" i="4"/>
  <c r="D328" i="4"/>
  <c r="E328" i="4"/>
  <c r="F328" i="4"/>
  <c r="I328" i="4"/>
  <c r="B329" i="4"/>
  <c r="C329" i="4"/>
  <c r="D329" i="4"/>
  <c r="E329" i="4"/>
  <c r="F329" i="4"/>
  <c r="I329" i="4"/>
  <c r="B330" i="4"/>
  <c r="C330" i="4"/>
  <c r="D330" i="4"/>
  <c r="E330" i="4"/>
  <c r="F330" i="4"/>
  <c r="I330" i="4"/>
  <c r="B331" i="4"/>
  <c r="C331" i="4"/>
  <c r="D331" i="4"/>
  <c r="E331" i="4"/>
  <c r="F331" i="4"/>
  <c r="I331" i="4"/>
  <c r="B332" i="4"/>
  <c r="C332" i="4"/>
  <c r="D332" i="4"/>
  <c r="E332" i="4"/>
  <c r="F332" i="4"/>
  <c r="I332" i="4"/>
  <c r="B333" i="4"/>
  <c r="C333" i="4"/>
  <c r="D333" i="4"/>
  <c r="E333" i="4"/>
  <c r="F333" i="4"/>
  <c r="I333" i="4"/>
  <c r="B334" i="4"/>
  <c r="C334" i="4"/>
  <c r="D334" i="4"/>
  <c r="E334" i="4"/>
  <c r="F334" i="4"/>
  <c r="I334" i="4"/>
  <c r="B335" i="4"/>
  <c r="C335" i="4"/>
  <c r="D335" i="4"/>
  <c r="E335" i="4"/>
  <c r="F335" i="4"/>
  <c r="I335" i="4"/>
  <c r="B336" i="4"/>
  <c r="C336" i="4"/>
  <c r="D336" i="4"/>
  <c r="E336" i="4"/>
  <c r="F336" i="4"/>
  <c r="I336" i="4"/>
  <c r="B337" i="4"/>
  <c r="C337" i="4"/>
  <c r="D337" i="4"/>
  <c r="E337" i="4"/>
  <c r="F337" i="4"/>
  <c r="I337" i="4"/>
  <c r="B338" i="4"/>
  <c r="C338" i="4"/>
  <c r="D338" i="4"/>
  <c r="E338" i="4"/>
  <c r="F338" i="4"/>
  <c r="I338" i="4"/>
  <c r="B339" i="4"/>
  <c r="C339" i="4"/>
  <c r="D339" i="4"/>
  <c r="E339" i="4"/>
  <c r="F339" i="4"/>
  <c r="I339" i="4"/>
  <c r="B340" i="4"/>
  <c r="C340" i="4"/>
  <c r="D340" i="4"/>
  <c r="E340" i="4"/>
  <c r="F340" i="4"/>
  <c r="I340" i="4"/>
  <c r="B341" i="4"/>
  <c r="C341" i="4"/>
  <c r="D341" i="4"/>
  <c r="E341" i="4"/>
  <c r="F341" i="4"/>
  <c r="I341" i="4"/>
  <c r="B342" i="4"/>
  <c r="C342" i="4"/>
  <c r="D342" i="4"/>
  <c r="E342" i="4"/>
  <c r="F342" i="4"/>
  <c r="I342" i="4"/>
  <c r="B343" i="4"/>
  <c r="C343" i="4"/>
  <c r="D343" i="4"/>
  <c r="E343" i="4"/>
  <c r="F343" i="4"/>
  <c r="I343" i="4"/>
  <c r="B344" i="4"/>
  <c r="C344" i="4"/>
  <c r="D344" i="4"/>
  <c r="E344" i="4"/>
  <c r="F344" i="4"/>
  <c r="I344" i="4"/>
  <c r="B345" i="4"/>
  <c r="C345" i="4"/>
  <c r="D345" i="4"/>
  <c r="E345" i="4"/>
  <c r="F345" i="4"/>
  <c r="I345" i="4"/>
  <c r="B346" i="4"/>
  <c r="C346" i="4"/>
  <c r="D346" i="4"/>
  <c r="E346" i="4"/>
  <c r="F346" i="4"/>
  <c r="I346" i="4"/>
  <c r="B347" i="4"/>
  <c r="C347" i="4"/>
  <c r="D347" i="4"/>
  <c r="E347" i="4"/>
  <c r="F347" i="4"/>
  <c r="I347" i="4"/>
  <c r="B348" i="4"/>
  <c r="C348" i="4"/>
  <c r="D348" i="4"/>
  <c r="E348" i="4"/>
  <c r="F348" i="4"/>
  <c r="I348" i="4"/>
  <c r="B349" i="4"/>
  <c r="C349" i="4"/>
  <c r="D349" i="4"/>
  <c r="E349" i="4"/>
  <c r="F349" i="4"/>
  <c r="I349" i="4"/>
  <c r="B350" i="4"/>
  <c r="C350" i="4"/>
  <c r="D350" i="4"/>
  <c r="E350" i="4"/>
  <c r="F350" i="4"/>
  <c r="I350" i="4"/>
  <c r="B351" i="4"/>
  <c r="C351" i="4"/>
  <c r="D351" i="4"/>
  <c r="E351" i="4"/>
  <c r="F351" i="4"/>
  <c r="I351" i="4"/>
  <c r="B352" i="4"/>
  <c r="C352" i="4"/>
  <c r="D352" i="4"/>
  <c r="E352" i="4"/>
  <c r="F352" i="4"/>
  <c r="I352" i="4"/>
  <c r="B353" i="4"/>
  <c r="C353" i="4"/>
  <c r="D353" i="4"/>
  <c r="E353" i="4"/>
  <c r="F353" i="4"/>
  <c r="I353" i="4"/>
  <c r="B354" i="4"/>
  <c r="C354" i="4"/>
  <c r="D354" i="4"/>
  <c r="E354" i="4"/>
  <c r="F354" i="4"/>
  <c r="I354" i="4"/>
  <c r="B355" i="4"/>
  <c r="C355" i="4"/>
  <c r="D355" i="4"/>
  <c r="E355" i="4"/>
  <c r="F355" i="4"/>
  <c r="I355" i="4"/>
  <c r="B356" i="4"/>
  <c r="C356" i="4"/>
  <c r="D356" i="4"/>
  <c r="E356" i="4"/>
  <c r="F356" i="4"/>
  <c r="I356" i="4"/>
  <c r="B357" i="4"/>
  <c r="C357" i="4"/>
  <c r="D357" i="4"/>
  <c r="E357" i="4"/>
  <c r="F357" i="4"/>
  <c r="I357" i="4"/>
  <c r="B358" i="4"/>
  <c r="C358" i="4"/>
  <c r="D358" i="4"/>
  <c r="E358" i="4"/>
  <c r="F358" i="4"/>
  <c r="I358" i="4"/>
  <c r="B359" i="4"/>
  <c r="C359" i="4"/>
  <c r="D359" i="4"/>
  <c r="E359" i="4"/>
  <c r="F359" i="4"/>
  <c r="I359" i="4"/>
  <c r="B360" i="4"/>
  <c r="C360" i="4"/>
  <c r="D360" i="4"/>
  <c r="E360" i="4"/>
  <c r="F360" i="4"/>
  <c r="I360" i="4"/>
  <c r="B361" i="4"/>
  <c r="C361" i="4"/>
  <c r="D361" i="4"/>
  <c r="E361" i="4"/>
  <c r="F361" i="4"/>
  <c r="I361" i="4"/>
  <c r="B362" i="4"/>
  <c r="C362" i="4"/>
  <c r="D362" i="4"/>
  <c r="E362" i="4"/>
  <c r="F362" i="4"/>
  <c r="I362" i="4"/>
  <c r="B363" i="4"/>
  <c r="C363" i="4"/>
  <c r="D363" i="4"/>
  <c r="E363" i="4"/>
  <c r="F363" i="4"/>
  <c r="I363" i="4"/>
  <c r="B364" i="4"/>
  <c r="C364" i="4"/>
  <c r="D364" i="4"/>
  <c r="E364" i="4"/>
  <c r="F364" i="4"/>
  <c r="I364" i="4"/>
  <c r="B365" i="4"/>
  <c r="C365" i="4"/>
  <c r="D365" i="4"/>
  <c r="E365" i="4"/>
  <c r="F365" i="4"/>
  <c r="I365" i="4"/>
  <c r="B366" i="4"/>
  <c r="C366" i="4"/>
  <c r="D366" i="4"/>
  <c r="E366" i="4"/>
  <c r="F366" i="4"/>
  <c r="I366" i="4"/>
  <c r="B367" i="4"/>
  <c r="C367" i="4"/>
  <c r="D367" i="4"/>
  <c r="E367" i="4"/>
  <c r="F367" i="4"/>
  <c r="I367" i="4"/>
  <c r="B272" i="4"/>
  <c r="C272" i="4"/>
  <c r="D272" i="4"/>
  <c r="E272" i="4"/>
  <c r="F272" i="4"/>
  <c r="I272" i="4"/>
  <c r="B273" i="4"/>
  <c r="C273" i="4"/>
  <c r="D273" i="4"/>
  <c r="E273" i="4"/>
  <c r="F273" i="4"/>
  <c r="I273" i="4"/>
  <c r="B274" i="4"/>
  <c r="C274" i="4"/>
  <c r="D274" i="4"/>
  <c r="E274" i="4"/>
  <c r="F274" i="4"/>
  <c r="I274" i="4"/>
  <c r="B275" i="4"/>
  <c r="C275" i="4"/>
  <c r="D275" i="4"/>
  <c r="E275" i="4"/>
  <c r="F275" i="4"/>
  <c r="I275" i="4"/>
  <c r="B276" i="4"/>
  <c r="C276" i="4"/>
  <c r="D276" i="4"/>
  <c r="E276" i="4"/>
  <c r="F276" i="4"/>
  <c r="I276" i="4"/>
  <c r="B277" i="4"/>
  <c r="C277" i="4"/>
  <c r="D277" i="4"/>
  <c r="E277" i="4"/>
  <c r="F277" i="4"/>
  <c r="I277" i="4"/>
  <c r="B278" i="4"/>
  <c r="C278" i="4"/>
  <c r="D278" i="4"/>
  <c r="E278" i="4"/>
  <c r="F278" i="4"/>
  <c r="I278" i="4"/>
  <c r="B279" i="4"/>
  <c r="C279" i="4"/>
  <c r="D279" i="4"/>
  <c r="E279" i="4"/>
  <c r="F279" i="4"/>
  <c r="I279" i="4"/>
  <c r="B280" i="4"/>
  <c r="C280" i="4"/>
  <c r="D280" i="4"/>
  <c r="E280" i="4"/>
  <c r="F280" i="4"/>
  <c r="I280" i="4"/>
  <c r="B281" i="4"/>
  <c r="C281" i="4"/>
  <c r="D281" i="4"/>
  <c r="E281" i="4"/>
  <c r="F281" i="4"/>
  <c r="I281" i="4"/>
  <c r="B282" i="4"/>
  <c r="C282" i="4"/>
  <c r="D282" i="4"/>
  <c r="E282" i="4"/>
  <c r="F282" i="4"/>
  <c r="I282" i="4"/>
  <c r="B283" i="4"/>
  <c r="C283" i="4"/>
  <c r="D283" i="4"/>
  <c r="E283" i="4"/>
  <c r="F283" i="4"/>
  <c r="I283" i="4"/>
  <c r="B284" i="4"/>
  <c r="C284" i="4"/>
  <c r="D284" i="4"/>
  <c r="E284" i="4"/>
  <c r="F284" i="4"/>
  <c r="I284" i="4"/>
  <c r="B285" i="4"/>
  <c r="C285" i="4"/>
  <c r="D285" i="4"/>
  <c r="E285" i="4"/>
  <c r="F285" i="4"/>
  <c r="I285" i="4"/>
  <c r="B286" i="4"/>
  <c r="C286" i="4"/>
  <c r="D286" i="4"/>
  <c r="E286" i="4"/>
  <c r="F286" i="4"/>
  <c r="I286" i="4"/>
  <c r="B287" i="4"/>
  <c r="C287" i="4"/>
  <c r="D287" i="4"/>
  <c r="E287" i="4"/>
  <c r="F287" i="4"/>
  <c r="I287" i="4"/>
  <c r="B288" i="4"/>
  <c r="C288" i="4"/>
  <c r="D288" i="4"/>
  <c r="E288" i="4"/>
  <c r="F288" i="4"/>
  <c r="I288" i="4"/>
  <c r="B289" i="4"/>
  <c r="C289" i="4"/>
  <c r="D289" i="4"/>
  <c r="E289" i="4"/>
  <c r="F289" i="4"/>
  <c r="I289" i="4"/>
  <c r="B290" i="4"/>
  <c r="C290" i="4"/>
  <c r="D290" i="4"/>
  <c r="E290" i="4"/>
  <c r="F290" i="4"/>
  <c r="I290" i="4"/>
  <c r="B291" i="4"/>
  <c r="C291" i="4"/>
  <c r="D291" i="4"/>
  <c r="E291" i="4"/>
  <c r="F291" i="4"/>
  <c r="I291" i="4"/>
  <c r="B292" i="4"/>
  <c r="C292" i="4"/>
  <c r="D292" i="4"/>
  <c r="E292" i="4"/>
  <c r="F292" i="4"/>
  <c r="I292" i="4"/>
  <c r="B293" i="4"/>
  <c r="C293" i="4"/>
  <c r="D293" i="4"/>
  <c r="E293" i="4"/>
  <c r="F293" i="4"/>
  <c r="I293" i="4"/>
  <c r="B294" i="4"/>
  <c r="C294" i="4"/>
  <c r="D294" i="4"/>
  <c r="E294" i="4"/>
  <c r="F294" i="4"/>
  <c r="I294" i="4"/>
  <c r="B295" i="4"/>
  <c r="C295" i="4"/>
  <c r="D295" i="4"/>
  <c r="E295" i="4"/>
  <c r="F295" i="4"/>
  <c r="I295" i="4"/>
  <c r="B296" i="4"/>
  <c r="C296" i="4"/>
  <c r="D296" i="4"/>
  <c r="E296" i="4"/>
  <c r="F296" i="4"/>
  <c r="I296" i="4"/>
  <c r="B297" i="4"/>
  <c r="C297" i="4"/>
  <c r="D297" i="4"/>
  <c r="E297" i="4"/>
  <c r="F297" i="4"/>
  <c r="I297" i="4"/>
  <c r="B298" i="4"/>
  <c r="C298" i="4"/>
  <c r="D298" i="4"/>
  <c r="E298" i="4"/>
  <c r="F298" i="4"/>
  <c r="I298" i="4"/>
  <c r="B299" i="4"/>
  <c r="C299" i="4"/>
  <c r="D299" i="4"/>
  <c r="E299" i="4"/>
  <c r="F299" i="4"/>
  <c r="I299" i="4"/>
  <c r="B300" i="4"/>
  <c r="C300" i="4"/>
  <c r="D300" i="4"/>
  <c r="E300" i="4"/>
  <c r="F300" i="4"/>
  <c r="I300" i="4"/>
  <c r="B301" i="4"/>
  <c r="C301" i="4"/>
  <c r="D301" i="4"/>
  <c r="E301" i="4"/>
  <c r="F301" i="4"/>
  <c r="I301" i="4"/>
  <c r="B302" i="4"/>
  <c r="C302" i="4"/>
  <c r="D302" i="4"/>
  <c r="E302" i="4"/>
  <c r="F302" i="4"/>
  <c r="I302" i="4"/>
  <c r="B303" i="4"/>
  <c r="C303" i="4"/>
  <c r="D303" i="4"/>
  <c r="E303" i="4"/>
  <c r="F303" i="4"/>
  <c r="I303" i="4"/>
  <c r="B304" i="4"/>
  <c r="C304" i="4"/>
  <c r="D304" i="4"/>
  <c r="E304" i="4"/>
  <c r="F304" i="4"/>
  <c r="I304" i="4"/>
  <c r="B305" i="4"/>
  <c r="C305" i="4"/>
  <c r="D305" i="4"/>
  <c r="E305" i="4"/>
  <c r="F305" i="4"/>
  <c r="I305" i="4"/>
  <c r="B306" i="4"/>
  <c r="C306" i="4"/>
  <c r="D306" i="4"/>
  <c r="E306" i="4"/>
  <c r="F306" i="4"/>
  <c r="I306" i="4"/>
  <c r="B307" i="4"/>
  <c r="C307" i="4"/>
  <c r="D307" i="4"/>
  <c r="E307" i="4"/>
  <c r="F307" i="4"/>
  <c r="I307" i="4"/>
  <c r="B308" i="4"/>
  <c r="C308" i="4"/>
  <c r="D308" i="4"/>
  <c r="E308" i="4"/>
  <c r="F308" i="4"/>
  <c r="I308" i="4"/>
  <c r="B309" i="4"/>
  <c r="C309" i="4"/>
  <c r="D309" i="4"/>
  <c r="E309" i="4"/>
  <c r="F309" i="4"/>
  <c r="I309" i="4"/>
  <c r="B310" i="4"/>
  <c r="C310" i="4"/>
  <c r="D310" i="4"/>
  <c r="E310" i="4"/>
  <c r="F310" i="4"/>
  <c r="I310" i="4"/>
  <c r="B311" i="4"/>
  <c r="C311" i="4"/>
  <c r="D311" i="4"/>
  <c r="E311" i="4"/>
  <c r="F311" i="4"/>
  <c r="I311" i="4"/>
  <c r="B312" i="4"/>
  <c r="C312" i="4"/>
  <c r="D312" i="4"/>
  <c r="E312" i="4"/>
  <c r="F312" i="4"/>
  <c r="I312" i="4"/>
  <c r="B313" i="4"/>
  <c r="C313" i="4"/>
  <c r="D313" i="4"/>
  <c r="E313" i="4"/>
  <c r="F313" i="4"/>
  <c r="I313" i="4"/>
  <c r="B314" i="4"/>
  <c r="C314" i="4"/>
  <c r="D314" i="4"/>
  <c r="E314" i="4"/>
  <c r="F314" i="4"/>
  <c r="I314" i="4"/>
  <c r="B315" i="4"/>
  <c r="C315" i="4"/>
  <c r="D315" i="4"/>
  <c r="E315" i="4"/>
  <c r="F315" i="4"/>
  <c r="I315" i="4"/>
  <c r="B316" i="4"/>
  <c r="C316" i="4"/>
  <c r="D316" i="4"/>
  <c r="E316" i="4"/>
  <c r="F316" i="4"/>
  <c r="I316" i="4"/>
  <c r="B317" i="4"/>
  <c r="C317" i="4"/>
  <c r="D317" i="4"/>
  <c r="E317" i="4"/>
  <c r="F317" i="4"/>
  <c r="I317" i="4"/>
  <c r="B318" i="4"/>
  <c r="C318" i="4"/>
  <c r="D318" i="4"/>
  <c r="E318" i="4"/>
  <c r="F318" i="4"/>
  <c r="I318" i="4"/>
  <c r="B319" i="4"/>
  <c r="C319" i="4"/>
  <c r="D319" i="4"/>
  <c r="E319" i="4"/>
  <c r="F319" i="4"/>
  <c r="I319" i="4"/>
  <c r="B320" i="4"/>
  <c r="C320" i="4"/>
  <c r="D320" i="4"/>
  <c r="E320" i="4"/>
  <c r="F320" i="4"/>
  <c r="I320" i="4"/>
  <c r="B321" i="4"/>
  <c r="C321" i="4"/>
  <c r="D321" i="4"/>
  <c r="E321" i="4"/>
  <c r="F321" i="4"/>
  <c r="I321" i="4"/>
  <c r="B322" i="4"/>
  <c r="C322" i="4"/>
  <c r="D322" i="4"/>
  <c r="E322" i="4"/>
  <c r="F322" i="4"/>
  <c r="I322" i="4"/>
  <c r="B323" i="4"/>
  <c r="C323" i="4"/>
  <c r="D323" i="4"/>
  <c r="E323" i="4"/>
  <c r="F323" i="4"/>
  <c r="I323" i="4"/>
  <c r="B324" i="4"/>
  <c r="C324" i="4"/>
  <c r="D324" i="4"/>
  <c r="E324" i="4"/>
  <c r="F324" i="4"/>
  <c r="I324" i="4"/>
  <c r="B325" i="4"/>
  <c r="C325" i="4"/>
  <c r="D325" i="4"/>
  <c r="E325" i="4"/>
  <c r="F325" i="4"/>
  <c r="I325" i="4"/>
  <c r="B326" i="4"/>
  <c r="C326" i="4"/>
  <c r="D326" i="4"/>
  <c r="E326" i="4"/>
  <c r="F326" i="4"/>
  <c r="I326" i="4"/>
  <c r="B327" i="4"/>
  <c r="C327" i="4"/>
  <c r="D327" i="4"/>
  <c r="E327" i="4"/>
  <c r="F327" i="4"/>
  <c r="I327" i="4"/>
  <c r="B198" i="4"/>
  <c r="C198" i="4"/>
  <c r="D198" i="4"/>
  <c r="E198" i="4"/>
  <c r="F198" i="4"/>
  <c r="I198" i="4"/>
  <c r="B199" i="4"/>
  <c r="C199" i="4"/>
  <c r="D199" i="4"/>
  <c r="E199" i="4"/>
  <c r="F199" i="4"/>
  <c r="I199" i="4"/>
  <c r="B200" i="4"/>
  <c r="C200" i="4"/>
  <c r="D200" i="4"/>
  <c r="E200" i="4"/>
  <c r="F200" i="4"/>
  <c r="I200" i="4"/>
  <c r="B201" i="4"/>
  <c r="C201" i="4"/>
  <c r="D201" i="4"/>
  <c r="E201" i="4"/>
  <c r="F201" i="4"/>
  <c r="I201" i="4"/>
  <c r="B202" i="4"/>
  <c r="C202" i="4"/>
  <c r="D202" i="4"/>
  <c r="E202" i="4"/>
  <c r="F202" i="4"/>
  <c r="I202" i="4"/>
  <c r="B203" i="4"/>
  <c r="C203" i="4"/>
  <c r="D203" i="4"/>
  <c r="E203" i="4"/>
  <c r="F203" i="4"/>
  <c r="I203" i="4"/>
  <c r="B204" i="4"/>
  <c r="C204" i="4"/>
  <c r="D204" i="4"/>
  <c r="E204" i="4"/>
  <c r="F204" i="4"/>
  <c r="I204" i="4"/>
  <c r="B205" i="4"/>
  <c r="C205" i="4"/>
  <c r="D205" i="4"/>
  <c r="E205" i="4"/>
  <c r="F205" i="4"/>
  <c r="I205" i="4"/>
  <c r="B206" i="4"/>
  <c r="C206" i="4"/>
  <c r="D206" i="4"/>
  <c r="E206" i="4"/>
  <c r="F206" i="4"/>
  <c r="I206" i="4"/>
  <c r="B207" i="4"/>
  <c r="C207" i="4"/>
  <c r="D207" i="4"/>
  <c r="E207" i="4"/>
  <c r="F207" i="4"/>
  <c r="I207" i="4"/>
  <c r="B208" i="4"/>
  <c r="C208" i="4"/>
  <c r="D208" i="4"/>
  <c r="E208" i="4"/>
  <c r="F208" i="4"/>
  <c r="I208" i="4"/>
  <c r="B209" i="4"/>
  <c r="C209" i="4"/>
  <c r="D209" i="4"/>
  <c r="E209" i="4"/>
  <c r="F209" i="4"/>
  <c r="I209" i="4"/>
  <c r="B210" i="4"/>
  <c r="C210" i="4"/>
  <c r="D210" i="4"/>
  <c r="E210" i="4"/>
  <c r="F210" i="4"/>
  <c r="I210" i="4"/>
  <c r="B211" i="4"/>
  <c r="C211" i="4"/>
  <c r="D211" i="4"/>
  <c r="E211" i="4"/>
  <c r="F211" i="4"/>
  <c r="I211" i="4"/>
  <c r="B212" i="4"/>
  <c r="C212" i="4"/>
  <c r="D212" i="4"/>
  <c r="E212" i="4"/>
  <c r="F212" i="4"/>
  <c r="I212" i="4"/>
  <c r="B213" i="4"/>
  <c r="C213" i="4"/>
  <c r="D213" i="4"/>
  <c r="E213" i="4"/>
  <c r="F213" i="4"/>
  <c r="I213" i="4"/>
  <c r="B214" i="4"/>
  <c r="C214" i="4"/>
  <c r="D214" i="4"/>
  <c r="E214" i="4"/>
  <c r="F214" i="4"/>
  <c r="I214" i="4"/>
  <c r="B215" i="4"/>
  <c r="C215" i="4"/>
  <c r="D215" i="4"/>
  <c r="E215" i="4"/>
  <c r="F215" i="4"/>
  <c r="I215" i="4"/>
  <c r="B216" i="4"/>
  <c r="C216" i="4"/>
  <c r="D216" i="4"/>
  <c r="E216" i="4"/>
  <c r="F216" i="4"/>
  <c r="I216" i="4"/>
  <c r="B217" i="4"/>
  <c r="C217" i="4"/>
  <c r="D217" i="4"/>
  <c r="E217" i="4"/>
  <c r="F217" i="4"/>
  <c r="I217" i="4"/>
  <c r="B218" i="4"/>
  <c r="C218" i="4"/>
  <c r="D218" i="4"/>
  <c r="E218" i="4"/>
  <c r="F218" i="4"/>
  <c r="I218" i="4"/>
  <c r="B219" i="4"/>
  <c r="C219" i="4"/>
  <c r="D219" i="4"/>
  <c r="E219" i="4"/>
  <c r="F219" i="4"/>
  <c r="I219" i="4"/>
  <c r="B220" i="4"/>
  <c r="C220" i="4"/>
  <c r="D220" i="4"/>
  <c r="E220" i="4"/>
  <c r="F220" i="4"/>
  <c r="I220" i="4"/>
  <c r="B221" i="4"/>
  <c r="C221" i="4"/>
  <c r="D221" i="4"/>
  <c r="E221" i="4"/>
  <c r="F221" i="4"/>
  <c r="I221" i="4"/>
  <c r="B222" i="4"/>
  <c r="C222" i="4"/>
  <c r="D222" i="4"/>
  <c r="E222" i="4"/>
  <c r="F222" i="4"/>
  <c r="I222" i="4"/>
  <c r="B223" i="4"/>
  <c r="C223" i="4"/>
  <c r="D223" i="4"/>
  <c r="E223" i="4"/>
  <c r="F223" i="4"/>
  <c r="I223" i="4"/>
  <c r="B224" i="4"/>
  <c r="C224" i="4"/>
  <c r="D224" i="4"/>
  <c r="E224" i="4"/>
  <c r="F224" i="4"/>
  <c r="I224" i="4"/>
  <c r="B225" i="4"/>
  <c r="C225" i="4"/>
  <c r="D225" i="4"/>
  <c r="E225" i="4"/>
  <c r="F225" i="4"/>
  <c r="I225" i="4"/>
  <c r="B226" i="4"/>
  <c r="C226" i="4"/>
  <c r="D226" i="4"/>
  <c r="E226" i="4"/>
  <c r="F226" i="4"/>
  <c r="I226" i="4"/>
  <c r="B227" i="4"/>
  <c r="C227" i="4"/>
  <c r="D227" i="4"/>
  <c r="E227" i="4"/>
  <c r="F227" i="4"/>
  <c r="I227" i="4"/>
  <c r="B228" i="4"/>
  <c r="C228" i="4"/>
  <c r="D228" i="4"/>
  <c r="E228" i="4"/>
  <c r="F228" i="4"/>
  <c r="I228" i="4"/>
  <c r="B229" i="4"/>
  <c r="C229" i="4"/>
  <c r="D229" i="4"/>
  <c r="E229" i="4"/>
  <c r="F229" i="4"/>
  <c r="I229" i="4"/>
  <c r="B230" i="4"/>
  <c r="C230" i="4"/>
  <c r="D230" i="4"/>
  <c r="E230" i="4"/>
  <c r="F230" i="4"/>
  <c r="I230" i="4"/>
  <c r="B231" i="4"/>
  <c r="C231" i="4"/>
  <c r="D231" i="4"/>
  <c r="E231" i="4"/>
  <c r="F231" i="4"/>
  <c r="I231" i="4"/>
  <c r="B232" i="4"/>
  <c r="C232" i="4"/>
  <c r="D232" i="4"/>
  <c r="E232" i="4"/>
  <c r="F232" i="4"/>
  <c r="I232" i="4"/>
  <c r="B233" i="4"/>
  <c r="C233" i="4"/>
  <c r="D233" i="4"/>
  <c r="E233" i="4"/>
  <c r="F233" i="4"/>
  <c r="I233" i="4"/>
  <c r="B234" i="4"/>
  <c r="C234" i="4"/>
  <c r="D234" i="4"/>
  <c r="E234" i="4"/>
  <c r="F234" i="4"/>
  <c r="I234" i="4"/>
  <c r="B235" i="4"/>
  <c r="C235" i="4"/>
  <c r="D235" i="4"/>
  <c r="E235" i="4"/>
  <c r="F235" i="4"/>
  <c r="I235" i="4"/>
  <c r="B236" i="4"/>
  <c r="C236" i="4"/>
  <c r="D236" i="4"/>
  <c r="E236" i="4"/>
  <c r="F236" i="4"/>
  <c r="I236" i="4"/>
  <c r="B237" i="4"/>
  <c r="C237" i="4"/>
  <c r="D237" i="4"/>
  <c r="E237" i="4"/>
  <c r="F237" i="4"/>
  <c r="I237" i="4"/>
  <c r="B238" i="4"/>
  <c r="C238" i="4"/>
  <c r="D238" i="4"/>
  <c r="E238" i="4"/>
  <c r="F238" i="4"/>
  <c r="I238" i="4"/>
  <c r="B239" i="4"/>
  <c r="C239" i="4"/>
  <c r="D239" i="4"/>
  <c r="E239" i="4"/>
  <c r="F239" i="4"/>
  <c r="I239" i="4"/>
  <c r="B240" i="4"/>
  <c r="C240" i="4"/>
  <c r="D240" i="4"/>
  <c r="E240" i="4"/>
  <c r="F240" i="4"/>
  <c r="I240" i="4"/>
  <c r="B241" i="4"/>
  <c r="C241" i="4"/>
  <c r="D241" i="4"/>
  <c r="E241" i="4"/>
  <c r="F241" i="4"/>
  <c r="I241" i="4"/>
  <c r="B242" i="4"/>
  <c r="C242" i="4"/>
  <c r="D242" i="4"/>
  <c r="E242" i="4"/>
  <c r="F242" i="4"/>
  <c r="I242" i="4"/>
  <c r="B243" i="4"/>
  <c r="C243" i="4"/>
  <c r="D243" i="4"/>
  <c r="E243" i="4"/>
  <c r="F243" i="4"/>
  <c r="I243" i="4"/>
  <c r="B244" i="4"/>
  <c r="C244" i="4"/>
  <c r="D244" i="4"/>
  <c r="E244" i="4"/>
  <c r="F244" i="4"/>
  <c r="I244" i="4"/>
  <c r="B245" i="4"/>
  <c r="C245" i="4"/>
  <c r="D245" i="4"/>
  <c r="E245" i="4"/>
  <c r="F245" i="4"/>
  <c r="I245" i="4"/>
  <c r="B246" i="4"/>
  <c r="C246" i="4"/>
  <c r="D246" i="4"/>
  <c r="E246" i="4"/>
  <c r="F246" i="4"/>
  <c r="I246" i="4"/>
  <c r="B247" i="4"/>
  <c r="C247" i="4"/>
  <c r="D247" i="4"/>
  <c r="E247" i="4"/>
  <c r="F247" i="4"/>
  <c r="I247" i="4"/>
  <c r="B248" i="4"/>
  <c r="C248" i="4"/>
  <c r="D248" i="4"/>
  <c r="E248" i="4"/>
  <c r="F248" i="4"/>
  <c r="I248" i="4"/>
  <c r="B249" i="4"/>
  <c r="C249" i="4"/>
  <c r="D249" i="4"/>
  <c r="E249" i="4"/>
  <c r="F249" i="4"/>
  <c r="I249" i="4"/>
  <c r="B250" i="4"/>
  <c r="C250" i="4"/>
  <c r="D250" i="4"/>
  <c r="E250" i="4"/>
  <c r="F250" i="4"/>
  <c r="I250" i="4"/>
  <c r="B251" i="4"/>
  <c r="C251" i="4"/>
  <c r="D251" i="4"/>
  <c r="E251" i="4"/>
  <c r="F251" i="4"/>
  <c r="I251" i="4"/>
  <c r="B252" i="4"/>
  <c r="C252" i="4"/>
  <c r="D252" i="4"/>
  <c r="E252" i="4"/>
  <c r="F252" i="4"/>
  <c r="I252" i="4"/>
  <c r="B253" i="4"/>
  <c r="C253" i="4"/>
  <c r="D253" i="4"/>
  <c r="E253" i="4"/>
  <c r="F253" i="4"/>
  <c r="I253" i="4"/>
  <c r="B254" i="4"/>
  <c r="C254" i="4"/>
  <c r="D254" i="4"/>
  <c r="E254" i="4"/>
  <c r="F254" i="4"/>
  <c r="I254" i="4"/>
  <c r="B255" i="4"/>
  <c r="C255" i="4"/>
  <c r="D255" i="4"/>
  <c r="E255" i="4"/>
  <c r="F255" i="4"/>
  <c r="I255" i="4"/>
  <c r="B256" i="4"/>
  <c r="C256" i="4"/>
  <c r="D256" i="4"/>
  <c r="E256" i="4"/>
  <c r="F256" i="4"/>
  <c r="I256" i="4"/>
  <c r="B257" i="4"/>
  <c r="C257" i="4"/>
  <c r="D257" i="4"/>
  <c r="E257" i="4"/>
  <c r="F257" i="4"/>
  <c r="I257" i="4"/>
  <c r="B258" i="4"/>
  <c r="C258" i="4"/>
  <c r="D258" i="4"/>
  <c r="E258" i="4"/>
  <c r="F258" i="4"/>
  <c r="I258" i="4"/>
  <c r="B259" i="4"/>
  <c r="C259" i="4"/>
  <c r="D259" i="4"/>
  <c r="E259" i="4"/>
  <c r="F259" i="4"/>
  <c r="I259" i="4"/>
  <c r="B260" i="4"/>
  <c r="C260" i="4"/>
  <c r="D260" i="4"/>
  <c r="E260" i="4"/>
  <c r="F260" i="4"/>
  <c r="I260" i="4"/>
  <c r="B261" i="4"/>
  <c r="C261" i="4"/>
  <c r="D261" i="4"/>
  <c r="E261" i="4"/>
  <c r="F261" i="4"/>
  <c r="I261" i="4"/>
  <c r="B262" i="4"/>
  <c r="C262" i="4"/>
  <c r="D262" i="4"/>
  <c r="E262" i="4"/>
  <c r="F262" i="4"/>
  <c r="I262" i="4"/>
  <c r="B263" i="4"/>
  <c r="C263" i="4"/>
  <c r="D263" i="4"/>
  <c r="E263" i="4"/>
  <c r="F263" i="4"/>
  <c r="I263" i="4"/>
  <c r="B264" i="4"/>
  <c r="C264" i="4"/>
  <c r="D264" i="4"/>
  <c r="E264" i="4"/>
  <c r="F264" i="4"/>
  <c r="I264" i="4"/>
  <c r="B265" i="4"/>
  <c r="C265" i="4"/>
  <c r="D265" i="4"/>
  <c r="E265" i="4"/>
  <c r="F265" i="4"/>
  <c r="I265" i="4"/>
  <c r="B266" i="4"/>
  <c r="C266" i="4"/>
  <c r="D266" i="4"/>
  <c r="E266" i="4"/>
  <c r="F266" i="4"/>
  <c r="I266" i="4"/>
  <c r="B267" i="4"/>
  <c r="C267" i="4"/>
  <c r="D267" i="4"/>
  <c r="E267" i="4"/>
  <c r="F267" i="4"/>
  <c r="I267" i="4"/>
  <c r="B268" i="4"/>
  <c r="C268" i="4"/>
  <c r="D268" i="4"/>
  <c r="E268" i="4"/>
  <c r="F268" i="4"/>
  <c r="I268" i="4"/>
  <c r="B269" i="4"/>
  <c r="C269" i="4"/>
  <c r="D269" i="4"/>
  <c r="E269" i="4"/>
  <c r="F269" i="4"/>
  <c r="I269" i="4"/>
  <c r="B270" i="4"/>
  <c r="C270" i="4"/>
  <c r="D270" i="4"/>
  <c r="E270" i="4"/>
  <c r="F270" i="4"/>
  <c r="I270" i="4"/>
  <c r="B271" i="4"/>
  <c r="C271" i="4"/>
  <c r="D271" i="4"/>
  <c r="E271" i="4"/>
  <c r="F271" i="4"/>
  <c r="I271" i="4"/>
  <c r="B111" i="4"/>
  <c r="C111" i="4"/>
  <c r="D111" i="4"/>
  <c r="E111" i="4"/>
  <c r="F111" i="4"/>
  <c r="I111" i="4"/>
  <c r="B112" i="4"/>
  <c r="C112" i="4"/>
  <c r="D112" i="4"/>
  <c r="E112" i="4"/>
  <c r="F112" i="4"/>
  <c r="I112" i="4"/>
  <c r="B113" i="4"/>
  <c r="C113" i="4"/>
  <c r="D113" i="4"/>
  <c r="E113" i="4"/>
  <c r="F113" i="4"/>
  <c r="I113" i="4"/>
  <c r="B114" i="4"/>
  <c r="C114" i="4"/>
  <c r="D114" i="4"/>
  <c r="E114" i="4"/>
  <c r="F114" i="4"/>
  <c r="I114" i="4"/>
  <c r="B115" i="4"/>
  <c r="C115" i="4"/>
  <c r="D115" i="4"/>
  <c r="E115" i="4"/>
  <c r="F115" i="4"/>
  <c r="I115" i="4"/>
  <c r="B116" i="4"/>
  <c r="C116" i="4"/>
  <c r="D116" i="4"/>
  <c r="E116" i="4"/>
  <c r="F116" i="4"/>
  <c r="I116" i="4"/>
  <c r="B117" i="4"/>
  <c r="C117" i="4"/>
  <c r="D117" i="4"/>
  <c r="E117" i="4"/>
  <c r="F117" i="4"/>
  <c r="I117" i="4"/>
  <c r="B118" i="4"/>
  <c r="C118" i="4"/>
  <c r="D118" i="4"/>
  <c r="E118" i="4"/>
  <c r="F118" i="4"/>
  <c r="I118" i="4"/>
  <c r="B119" i="4"/>
  <c r="C119" i="4"/>
  <c r="D119" i="4"/>
  <c r="E119" i="4"/>
  <c r="F119" i="4"/>
  <c r="I119" i="4"/>
  <c r="B120" i="4"/>
  <c r="C120" i="4"/>
  <c r="D120" i="4"/>
  <c r="E120" i="4"/>
  <c r="F120" i="4"/>
  <c r="I120" i="4"/>
  <c r="B121" i="4"/>
  <c r="C121" i="4"/>
  <c r="D121" i="4"/>
  <c r="E121" i="4"/>
  <c r="F121" i="4"/>
  <c r="I121" i="4"/>
  <c r="B122" i="4"/>
  <c r="C122" i="4"/>
  <c r="D122" i="4"/>
  <c r="E122" i="4"/>
  <c r="F122" i="4"/>
  <c r="I122" i="4"/>
  <c r="B123" i="4"/>
  <c r="C123" i="4"/>
  <c r="D123" i="4"/>
  <c r="E123" i="4"/>
  <c r="F123" i="4"/>
  <c r="I123" i="4"/>
  <c r="B124" i="4"/>
  <c r="C124" i="4"/>
  <c r="D124" i="4"/>
  <c r="E124" i="4"/>
  <c r="F124" i="4"/>
  <c r="I124" i="4"/>
  <c r="B125" i="4"/>
  <c r="C125" i="4"/>
  <c r="D125" i="4"/>
  <c r="E125" i="4"/>
  <c r="F125" i="4"/>
  <c r="I125" i="4"/>
  <c r="B126" i="4"/>
  <c r="C126" i="4"/>
  <c r="D126" i="4"/>
  <c r="E126" i="4"/>
  <c r="F126" i="4"/>
  <c r="I126" i="4"/>
  <c r="B127" i="4"/>
  <c r="C127" i="4"/>
  <c r="D127" i="4"/>
  <c r="E127" i="4"/>
  <c r="F127" i="4"/>
  <c r="I127" i="4"/>
  <c r="B128" i="4"/>
  <c r="C128" i="4"/>
  <c r="D128" i="4"/>
  <c r="E128" i="4"/>
  <c r="F128" i="4"/>
  <c r="I128" i="4"/>
  <c r="B129" i="4"/>
  <c r="C129" i="4"/>
  <c r="D129" i="4"/>
  <c r="E129" i="4"/>
  <c r="F129" i="4"/>
  <c r="I129" i="4"/>
  <c r="B130" i="4"/>
  <c r="C130" i="4"/>
  <c r="D130" i="4"/>
  <c r="E130" i="4"/>
  <c r="F130" i="4"/>
  <c r="I130" i="4"/>
  <c r="B131" i="4"/>
  <c r="C131" i="4"/>
  <c r="D131" i="4"/>
  <c r="E131" i="4"/>
  <c r="F131" i="4"/>
  <c r="I131" i="4"/>
  <c r="B132" i="4"/>
  <c r="C132" i="4"/>
  <c r="D132" i="4"/>
  <c r="E132" i="4"/>
  <c r="F132" i="4"/>
  <c r="I132" i="4"/>
  <c r="B133" i="4"/>
  <c r="C133" i="4"/>
  <c r="D133" i="4"/>
  <c r="E133" i="4"/>
  <c r="F133" i="4"/>
  <c r="I133" i="4"/>
  <c r="B134" i="4"/>
  <c r="C134" i="4"/>
  <c r="D134" i="4"/>
  <c r="E134" i="4"/>
  <c r="F134" i="4"/>
  <c r="I134" i="4"/>
  <c r="B135" i="4"/>
  <c r="C135" i="4"/>
  <c r="D135" i="4"/>
  <c r="E135" i="4"/>
  <c r="F135" i="4"/>
  <c r="I135" i="4"/>
  <c r="B136" i="4"/>
  <c r="C136" i="4"/>
  <c r="D136" i="4"/>
  <c r="E136" i="4"/>
  <c r="F136" i="4"/>
  <c r="I136" i="4"/>
  <c r="B137" i="4"/>
  <c r="C137" i="4"/>
  <c r="D137" i="4"/>
  <c r="E137" i="4"/>
  <c r="F137" i="4"/>
  <c r="I137" i="4"/>
  <c r="B138" i="4"/>
  <c r="C138" i="4"/>
  <c r="D138" i="4"/>
  <c r="E138" i="4"/>
  <c r="F138" i="4"/>
  <c r="I138" i="4"/>
  <c r="B139" i="4"/>
  <c r="C139" i="4"/>
  <c r="D139" i="4"/>
  <c r="E139" i="4"/>
  <c r="F139" i="4"/>
  <c r="I139" i="4"/>
  <c r="B140" i="4"/>
  <c r="C140" i="4"/>
  <c r="D140" i="4"/>
  <c r="E140" i="4"/>
  <c r="F140" i="4"/>
  <c r="I140" i="4"/>
  <c r="B141" i="4"/>
  <c r="C141" i="4"/>
  <c r="D141" i="4"/>
  <c r="E141" i="4"/>
  <c r="F141" i="4"/>
  <c r="I141" i="4"/>
  <c r="B142" i="4"/>
  <c r="C142" i="4"/>
  <c r="D142" i="4"/>
  <c r="E142" i="4"/>
  <c r="F142" i="4"/>
  <c r="I142" i="4"/>
  <c r="B143" i="4"/>
  <c r="C143" i="4"/>
  <c r="D143" i="4"/>
  <c r="E143" i="4"/>
  <c r="F143" i="4"/>
  <c r="I143" i="4"/>
  <c r="B144" i="4"/>
  <c r="C144" i="4"/>
  <c r="D144" i="4"/>
  <c r="E144" i="4"/>
  <c r="F144" i="4"/>
  <c r="I144" i="4"/>
  <c r="B145" i="4"/>
  <c r="C145" i="4"/>
  <c r="D145" i="4"/>
  <c r="E145" i="4"/>
  <c r="F145" i="4"/>
  <c r="I145" i="4"/>
  <c r="B146" i="4"/>
  <c r="C146" i="4"/>
  <c r="D146" i="4"/>
  <c r="E146" i="4"/>
  <c r="F146" i="4"/>
  <c r="I146" i="4"/>
  <c r="B147" i="4"/>
  <c r="C147" i="4"/>
  <c r="D147" i="4"/>
  <c r="E147" i="4"/>
  <c r="F147" i="4"/>
  <c r="I147" i="4"/>
  <c r="B148" i="4"/>
  <c r="C148" i="4"/>
  <c r="D148" i="4"/>
  <c r="E148" i="4"/>
  <c r="F148" i="4"/>
  <c r="I148" i="4"/>
  <c r="B149" i="4"/>
  <c r="C149" i="4"/>
  <c r="D149" i="4"/>
  <c r="E149" i="4"/>
  <c r="F149" i="4"/>
  <c r="I149" i="4"/>
  <c r="B150" i="4"/>
  <c r="C150" i="4"/>
  <c r="D150" i="4"/>
  <c r="E150" i="4"/>
  <c r="F150" i="4"/>
  <c r="I150" i="4"/>
  <c r="B151" i="4"/>
  <c r="C151" i="4"/>
  <c r="D151" i="4"/>
  <c r="E151" i="4"/>
  <c r="F151" i="4"/>
  <c r="I151" i="4"/>
  <c r="B152" i="4"/>
  <c r="C152" i="4"/>
  <c r="D152" i="4"/>
  <c r="E152" i="4"/>
  <c r="F152" i="4"/>
  <c r="I152" i="4"/>
  <c r="B153" i="4"/>
  <c r="C153" i="4"/>
  <c r="D153" i="4"/>
  <c r="E153" i="4"/>
  <c r="F153" i="4"/>
  <c r="I153" i="4"/>
  <c r="B154" i="4"/>
  <c r="C154" i="4"/>
  <c r="D154" i="4"/>
  <c r="E154" i="4"/>
  <c r="F154" i="4"/>
  <c r="I154" i="4"/>
  <c r="B155" i="4"/>
  <c r="C155" i="4"/>
  <c r="D155" i="4"/>
  <c r="E155" i="4"/>
  <c r="F155" i="4"/>
  <c r="I155" i="4"/>
  <c r="B156" i="4"/>
  <c r="C156" i="4"/>
  <c r="D156" i="4"/>
  <c r="E156" i="4"/>
  <c r="F156" i="4"/>
  <c r="I156" i="4"/>
  <c r="B157" i="4"/>
  <c r="C157" i="4"/>
  <c r="D157" i="4"/>
  <c r="E157" i="4"/>
  <c r="F157" i="4"/>
  <c r="I157" i="4"/>
  <c r="B158" i="4"/>
  <c r="C158" i="4"/>
  <c r="D158" i="4"/>
  <c r="E158" i="4"/>
  <c r="F158" i="4"/>
  <c r="I158" i="4"/>
  <c r="B159" i="4"/>
  <c r="C159" i="4"/>
  <c r="D159" i="4"/>
  <c r="E159" i="4"/>
  <c r="F159" i="4"/>
  <c r="I159" i="4"/>
  <c r="B160" i="4"/>
  <c r="C160" i="4"/>
  <c r="D160" i="4"/>
  <c r="E160" i="4"/>
  <c r="F160" i="4"/>
  <c r="I160" i="4"/>
  <c r="B161" i="4"/>
  <c r="C161" i="4"/>
  <c r="D161" i="4"/>
  <c r="E161" i="4"/>
  <c r="F161" i="4"/>
  <c r="I161" i="4"/>
  <c r="B162" i="4"/>
  <c r="C162" i="4"/>
  <c r="D162" i="4"/>
  <c r="E162" i="4"/>
  <c r="F162" i="4"/>
  <c r="I162" i="4"/>
  <c r="B163" i="4"/>
  <c r="C163" i="4"/>
  <c r="D163" i="4"/>
  <c r="E163" i="4"/>
  <c r="F163" i="4"/>
  <c r="I163" i="4"/>
  <c r="B164" i="4"/>
  <c r="C164" i="4"/>
  <c r="D164" i="4"/>
  <c r="E164" i="4"/>
  <c r="F164" i="4"/>
  <c r="I164" i="4"/>
  <c r="B165" i="4"/>
  <c r="C165" i="4"/>
  <c r="D165" i="4"/>
  <c r="E165" i="4"/>
  <c r="F165" i="4"/>
  <c r="I165" i="4"/>
  <c r="B166" i="4"/>
  <c r="C166" i="4"/>
  <c r="D166" i="4"/>
  <c r="E166" i="4"/>
  <c r="F166" i="4"/>
  <c r="I166" i="4"/>
  <c r="B167" i="4"/>
  <c r="C167" i="4"/>
  <c r="D167" i="4"/>
  <c r="E167" i="4"/>
  <c r="F167" i="4"/>
  <c r="I167" i="4"/>
  <c r="B168" i="4"/>
  <c r="C168" i="4"/>
  <c r="D168" i="4"/>
  <c r="E168" i="4"/>
  <c r="F168" i="4"/>
  <c r="I168" i="4"/>
  <c r="B169" i="4"/>
  <c r="C169" i="4"/>
  <c r="D169" i="4"/>
  <c r="E169" i="4"/>
  <c r="F169" i="4"/>
  <c r="I169" i="4"/>
  <c r="B170" i="4"/>
  <c r="C170" i="4"/>
  <c r="D170" i="4"/>
  <c r="E170" i="4"/>
  <c r="F170" i="4"/>
  <c r="I170" i="4"/>
  <c r="B171" i="4"/>
  <c r="C171" i="4"/>
  <c r="D171" i="4"/>
  <c r="E171" i="4"/>
  <c r="F171" i="4"/>
  <c r="I171" i="4"/>
  <c r="B172" i="4"/>
  <c r="C172" i="4"/>
  <c r="D172" i="4"/>
  <c r="E172" i="4"/>
  <c r="F172" i="4"/>
  <c r="I172" i="4"/>
  <c r="B173" i="4"/>
  <c r="C173" i="4"/>
  <c r="D173" i="4"/>
  <c r="E173" i="4"/>
  <c r="F173" i="4"/>
  <c r="I173" i="4"/>
  <c r="B174" i="4"/>
  <c r="C174" i="4"/>
  <c r="D174" i="4"/>
  <c r="E174" i="4"/>
  <c r="F174" i="4"/>
  <c r="I174" i="4"/>
  <c r="B175" i="4"/>
  <c r="C175" i="4"/>
  <c r="D175" i="4"/>
  <c r="E175" i="4"/>
  <c r="F175" i="4"/>
  <c r="I175" i="4"/>
  <c r="B176" i="4"/>
  <c r="C176" i="4"/>
  <c r="D176" i="4"/>
  <c r="E176" i="4"/>
  <c r="F176" i="4"/>
  <c r="I176" i="4"/>
  <c r="B177" i="4"/>
  <c r="C177" i="4"/>
  <c r="D177" i="4"/>
  <c r="E177" i="4"/>
  <c r="F177" i="4"/>
  <c r="I177" i="4"/>
  <c r="B178" i="4"/>
  <c r="C178" i="4"/>
  <c r="D178" i="4"/>
  <c r="E178" i="4"/>
  <c r="F178" i="4"/>
  <c r="I178" i="4"/>
  <c r="B179" i="4"/>
  <c r="C179" i="4"/>
  <c r="D179" i="4"/>
  <c r="E179" i="4"/>
  <c r="F179" i="4"/>
  <c r="I179" i="4"/>
  <c r="B180" i="4"/>
  <c r="C180" i="4"/>
  <c r="D180" i="4"/>
  <c r="E180" i="4"/>
  <c r="F180" i="4"/>
  <c r="I180" i="4"/>
  <c r="B181" i="4"/>
  <c r="C181" i="4"/>
  <c r="D181" i="4"/>
  <c r="E181" i="4"/>
  <c r="F181" i="4"/>
  <c r="I181" i="4"/>
  <c r="B182" i="4"/>
  <c r="C182" i="4"/>
  <c r="D182" i="4"/>
  <c r="E182" i="4"/>
  <c r="F182" i="4"/>
  <c r="I182" i="4"/>
  <c r="B183" i="4"/>
  <c r="C183" i="4"/>
  <c r="D183" i="4"/>
  <c r="E183" i="4"/>
  <c r="F183" i="4"/>
  <c r="I183" i="4"/>
  <c r="B184" i="4"/>
  <c r="C184" i="4"/>
  <c r="D184" i="4"/>
  <c r="E184" i="4"/>
  <c r="F184" i="4"/>
  <c r="I184" i="4"/>
  <c r="B185" i="4"/>
  <c r="C185" i="4"/>
  <c r="D185" i="4"/>
  <c r="E185" i="4"/>
  <c r="F185" i="4"/>
  <c r="I185" i="4"/>
  <c r="B186" i="4"/>
  <c r="C186" i="4"/>
  <c r="D186" i="4"/>
  <c r="E186" i="4"/>
  <c r="F186" i="4"/>
  <c r="I186" i="4"/>
  <c r="B187" i="4"/>
  <c r="C187" i="4"/>
  <c r="D187" i="4"/>
  <c r="E187" i="4"/>
  <c r="F187" i="4"/>
  <c r="I187" i="4"/>
  <c r="B188" i="4"/>
  <c r="C188" i="4"/>
  <c r="D188" i="4"/>
  <c r="E188" i="4"/>
  <c r="F188" i="4"/>
  <c r="I188" i="4"/>
  <c r="B189" i="4"/>
  <c r="C189" i="4"/>
  <c r="D189" i="4"/>
  <c r="E189" i="4"/>
  <c r="F189" i="4"/>
  <c r="I189" i="4"/>
  <c r="B190" i="4"/>
  <c r="C190" i="4"/>
  <c r="D190" i="4"/>
  <c r="E190" i="4"/>
  <c r="F190" i="4"/>
  <c r="I190" i="4"/>
  <c r="B191" i="4"/>
  <c r="C191" i="4"/>
  <c r="D191" i="4"/>
  <c r="E191" i="4"/>
  <c r="F191" i="4"/>
  <c r="I191" i="4"/>
  <c r="B192" i="4"/>
  <c r="C192" i="4"/>
  <c r="D192" i="4"/>
  <c r="E192" i="4"/>
  <c r="F192" i="4"/>
  <c r="I192" i="4"/>
  <c r="B193" i="4"/>
  <c r="C193" i="4"/>
  <c r="D193" i="4"/>
  <c r="E193" i="4"/>
  <c r="F193" i="4"/>
  <c r="I193" i="4"/>
  <c r="B194" i="4"/>
  <c r="C194" i="4"/>
  <c r="D194" i="4"/>
  <c r="E194" i="4"/>
  <c r="F194" i="4"/>
  <c r="I194" i="4"/>
  <c r="B195" i="4"/>
  <c r="C195" i="4"/>
  <c r="D195" i="4"/>
  <c r="E195" i="4"/>
  <c r="F195" i="4"/>
  <c r="I195" i="4"/>
  <c r="B196" i="4"/>
  <c r="C196" i="4"/>
  <c r="D196" i="4"/>
  <c r="E196" i="4"/>
  <c r="F196" i="4"/>
  <c r="I196" i="4"/>
  <c r="B197" i="4"/>
  <c r="C197" i="4"/>
  <c r="D197" i="4"/>
  <c r="E197" i="4"/>
  <c r="F197" i="4"/>
  <c r="I197" i="4"/>
  <c r="F505" i="2"/>
  <c r="F506" i="2"/>
  <c r="F507" i="2"/>
  <c r="F508" i="2"/>
  <c r="F509" i="2"/>
  <c r="F510" i="2"/>
  <c r="F498" i="2"/>
  <c r="F499" i="2"/>
  <c r="F500" i="2"/>
  <c r="F501" i="2"/>
  <c r="F502" i="2"/>
  <c r="F503" i="2"/>
  <c r="F504" i="2"/>
  <c r="F492" i="2"/>
  <c r="F493" i="2"/>
  <c r="F494" i="2"/>
  <c r="F495" i="2"/>
  <c r="F496" i="2"/>
  <c r="F497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L277" i="2"/>
  <c r="G277" i="4" s="1"/>
  <c r="H277" i="4" s="1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AO507" i="2"/>
  <c r="AP507" i="2"/>
  <c r="AQ507" i="2" s="1"/>
  <c r="AR507" i="2" s="1"/>
  <c r="AT507" i="2"/>
  <c r="AU507" i="2"/>
  <c r="AO508" i="2"/>
  <c r="AP508" i="2"/>
  <c r="AQ508" i="2" s="1"/>
  <c r="AT508" i="2"/>
  <c r="AU508" i="2"/>
  <c r="AO509" i="2"/>
  <c r="AP509" i="2"/>
  <c r="AQ509" i="2" s="1"/>
  <c r="AT509" i="2"/>
  <c r="AU509" i="2"/>
  <c r="AO510" i="2"/>
  <c r="AP510" i="2"/>
  <c r="AQ510" i="2" s="1"/>
  <c r="AT510" i="2"/>
  <c r="AU510" i="2"/>
  <c r="AO503" i="2"/>
  <c r="AP503" i="2"/>
  <c r="AQ503" i="2" s="1"/>
  <c r="AT503" i="2"/>
  <c r="AU503" i="2"/>
  <c r="AO504" i="2"/>
  <c r="AP504" i="2"/>
  <c r="AQ504" i="2" s="1"/>
  <c r="AT504" i="2"/>
  <c r="AU504" i="2"/>
  <c r="AO505" i="2"/>
  <c r="AP505" i="2"/>
  <c r="AQ505" i="2" s="1"/>
  <c r="AT505" i="2"/>
  <c r="AU505" i="2"/>
  <c r="AO506" i="2"/>
  <c r="AP506" i="2"/>
  <c r="AQ506" i="2" s="1"/>
  <c r="AT506" i="2"/>
  <c r="AU506" i="2"/>
  <c r="AO499" i="2"/>
  <c r="AP499" i="2"/>
  <c r="AQ499" i="2" s="1"/>
  <c r="AT499" i="2"/>
  <c r="AU499" i="2"/>
  <c r="AO500" i="2"/>
  <c r="AP500" i="2"/>
  <c r="AQ500" i="2" s="1"/>
  <c r="AT500" i="2"/>
  <c r="AU500" i="2"/>
  <c r="AO501" i="2"/>
  <c r="AP501" i="2"/>
  <c r="AQ501" i="2" s="1"/>
  <c r="AT501" i="2"/>
  <c r="AU501" i="2"/>
  <c r="AO502" i="2"/>
  <c r="AP502" i="2"/>
  <c r="AQ502" i="2" s="1"/>
  <c r="AT502" i="2"/>
  <c r="AU502" i="2"/>
  <c r="AO404" i="2"/>
  <c r="AP404" i="2"/>
  <c r="AQ404" i="2" s="1"/>
  <c r="AT404" i="2"/>
  <c r="AU404" i="2"/>
  <c r="AO405" i="2"/>
  <c r="AP405" i="2"/>
  <c r="AQ405" i="2" s="1"/>
  <c r="AT405" i="2"/>
  <c r="AU405" i="2"/>
  <c r="AO406" i="2"/>
  <c r="AP406" i="2"/>
  <c r="AQ406" i="2"/>
  <c r="AR406" i="2" s="1"/>
  <c r="AT406" i="2"/>
  <c r="AU406" i="2"/>
  <c r="AO407" i="2"/>
  <c r="AP407" i="2"/>
  <c r="AQ407" i="2" s="1"/>
  <c r="AT407" i="2"/>
  <c r="AU407" i="2"/>
  <c r="AO408" i="2"/>
  <c r="AP408" i="2"/>
  <c r="AQ408" i="2" s="1"/>
  <c r="AT408" i="2"/>
  <c r="AU408" i="2"/>
  <c r="AO409" i="2"/>
  <c r="AP409" i="2"/>
  <c r="AQ409" i="2"/>
  <c r="AT409" i="2"/>
  <c r="AU409" i="2"/>
  <c r="AO410" i="2"/>
  <c r="AP410" i="2"/>
  <c r="AQ410" i="2" s="1"/>
  <c r="AT410" i="2"/>
  <c r="AU410" i="2"/>
  <c r="AO411" i="2"/>
  <c r="AP411" i="2"/>
  <c r="AQ411" i="2" s="1"/>
  <c r="AR411" i="2" s="1"/>
  <c r="AT411" i="2"/>
  <c r="AU411" i="2"/>
  <c r="AO412" i="2"/>
  <c r="AP412" i="2"/>
  <c r="AQ412" i="2" s="1"/>
  <c r="AR412" i="2" s="1"/>
  <c r="AT412" i="2"/>
  <c r="AU412" i="2"/>
  <c r="AO413" i="2"/>
  <c r="AP413" i="2"/>
  <c r="AQ413" i="2" s="1"/>
  <c r="AT413" i="2"/>
  <c r="AU413" i="2"/>
  <c r="AO414" i="2"/>
  <c r="AP414" i="2"/>
  <c r="AQ414" i="2" s="1"/>
  <c r="AT414" i="2"/>
  <c r="AU414" i="2"/>
  <c r="AO415" i="2"/>
  <c r="AP415" i="2"/>
  <c r="AQ415" i="2"/>
  <c r="AR415" i="2"/>
  <c r="AT415" i="2"/>
  <c r="AU415" i="2"/>
  <c r="AO416" i="2"/>
  <c r="AP416" i="2"/>
  <c r="AQ416" i="2" s="1"/>
  <c r="AT416" i="2"/>
  <c r="AU416" i="2"/>
  <c r="AO417" i="2"/>
  <c r="AP417" i="2"/>
  <c r="AQ417" i="2"/>
  <c r="AR417" i="2"/>
  <c r="AT417" i="2"/>
  <c r="AU417" i="2"/>
  <c r="AO418" i="2"/>
  <c r="AP418" i="2"/>
  <c r="AQ418" i="2" s="1"/>
  <c r="AT418" i="2"/>
  <c r="AU418" i="2"/>
  <c r="AO419" i="2"/>
  <c r="AP419" i="2"/>
  <c r="AQ419" i="2" s="1"/>
  <c r="AT419" i="2"/>
  <c r="AU419" i="2"/>
  <c r="AO420" i="2"/>
  <c r="AP420" i="2"/>
  <c r="AQ420" i="2" s="1"/>
  <c r="AT420" i="2"/>
  <c r="AU420" i="2"/>
  <c r="AO421" i="2"/>
  <c r="AP421" i="2"/>
  <c r="AQ421" i="2" s="1"/>
  <c r="AT421" i="2"/>
  <c r="AU421" i="2"/>
  <c r="AO422" i="2"/>
  <c r="AP422" i="2"/>
  <c r="AQ422" i="2" s="1"/>
  <c r="AT422" i="2"/>
  <c r="AU422" i="2"/>
  <c r="AO423" i="2"/>
  <c r="AP423" i="2"/>
  <c r="AQ423" i="2"/>
  <c r="AT423" i="2"/>
  <c r="AU423" i="2"/>
  <c r="AO424" i="2"/>
  <c r="AP424" i="2"/>
  <c r="AQ424" i="2" s="1"/>
  <c r="AR424" i="2" s="1"/>
  <c r="AT424" i="2"/>
  <c r="AU424" i="2"/>
  <c r="AO425" i="2"/>
  <c r="AP425" i="2"/>
  <c r="AQ425" i="2" s="1"/>
  <c r="AT425" i="2"/>
  <c r="AU425" i="2"/>
  <c r="AO426" i="2"/>
  <c r="AP426" i="2"/>
  <c r="AQ426" i="2" s="1"/>
  <c r="AT426" i="2"/>
  <c r="AU426" i="2"/>
  <c r="AO427" i="2"/>
  <c r="AP427" i="2"/>
  <c r="AQ427" i="2" s="1"/>
  <c r="AT427" i="2"/>
  <c r="AU427" i="2"/>
  <c r="AO428" i="2"/>
  <c r="AP428" i="2"/>
  <c r="AQ428" i="2" s="1"/>
  <c r="AT428" i="2"/>
  <c r="AU428" i="2"/>
  <c r="AO429" i="2"/>
  <c r="AP429" i="2"/>
  <c r="AQ429" i="2" s="1"/>
  <c r="AT429" i="2"/>
  <c r="AU429" i="2"/>
  <c r="AO430" i="2"/>
  <c r="AP430" i="2"/>
  <c r="AQ430" i="2" s="1"/>
  <c r="AT430" i="2"/>
  <c r="AU430" i="2"/>
  <c r="AO431" i="2"/>
  <c r="AP431" i="2"/>
  <c r="AQ431" i="2" s="1"/>
  <c r="AT431" i="2"/>
  <c r="AU431" i="2"/>
  <c r="AO432" i="2"/>
  <c r="AP432" i="2"/>
  <c r="AQ432" i="2" s="1"/>
  <c r="AT432" i="2"/>
  <c r="AU432" i="2"/>
  <c r="AO433" i="2"/>
  <c r="AP433" i="2"/>
  <c r="AQ433" i="2" s="1"/>
  <c r="AT433" i="2"/>
  <c r="AU433" i="2"/>
  <c r="AO434" i="2"/>
  <c r="AP434" i="2"/>
  <c r="AQ434" i="2" s="1"/>
  <c r="AT434" i="2"/>
  <c r="AU434" i="2"/>
  <c r="AO435" i="2"/>
  <c r="AP435" i="2"/>
  <c r="AQ435" i="2" s="1"/>
  <c r="AR435" i="2" s="1"/>
  <c r="AT435" i="2"/>
  <c r="AU435" i="2"/>
  <c r="AO436" i="2"/>
  <c r="AP436" i="2"/>
  <c r="AQ436" i="2" s="1"/>
  <c r="AT436" i="2"/>
  <c r="AU436" i="2"/>
  <c r="AO437" i="2"/>
  <c r="AP437" i="2"/>
  <c r="AQ437" i="2" s="1"/>
  <c r="AT437" i="2"/>
  <c r="AU437" i="2"/>
  <c r="AO438" i="2"/>
  <c r="AP438" i="2"/>
  <c r="AQ438" i="2" s="1"/>
  <c r="AT438" i="2"/>
  <c r="AU438" i="2"/>
  <c r="AO439" i="2"/>
  <c r="AP439" i="2"/>
  <c r="AQ439" i="2"/>
  <c r="AR439" i="2" s="1"/>
  <c r="AW439" i="2" s="1"/>
  <c r="AT439" i="2"/>
  <c r="AU439" i="2"/>
  <c r="AO440" i="2"/>
  <c r="AP440" i="2"/>
  <c r="AQ440" i="2" s="1"/>
  <c r="AT440" i="2"/>
  <c r="AU440" i="2"/>
  <c r="AO441" i="2"/>
  <c r="AP441" i="2"/>
  <c r="AQ441" i="2" s="1"/>
  <c r="AR441" i="2"/>
  <c r="AT441" i="2"/>
  <c r="AU441" i="2"/>
  <c r="AO442" i="2"/>
  <c r="AP442" i="2"/>
  <c r="AQ442" i="2" s="1"/>
  <c r="AT442" i="2"/>
  <c r="AU442" i="2"/>
  <c r="AO443" i="2"/>
  <c r="AP443" i="2"/>
  <c r="AQ443" i="2" s="1"/>
  <c r="AT443" i="2"/>
  <c r="AU443" i="2"/>
  <c r="AO444" i="2"/>
  <c r="AP444" i="2"/>
  <c r="AQ444" i="2" s="1"/>
  <c r="AT444" i="2"/>
  <c r="AU444" i="2"/>
  <c r="AO445" i="2"/>
  <c r="AP445" i="2"/>
  <c r="AQ445" i="2"/>
  <c r="AR445" i="2" s="1"/>
  <c r="AT445" i="2"/>
  <c r="AU445" i="2"/>
  <c r="AO446" i="2"/>
  <c r="AP446" i="2"/>
  <c r="AQ446" i="2" s="1"/>
  <c r="AT446" i="2"/>
  <c r="AU446" i="2"/>
  <c r="AO447" i="2"/>
  <c r="AP447" i="2"/>
  <c r="AQ447" i="2" s="1"/>
  <c r="AR447" i="2" s="1"/>
  <c r="AT447" i="2"/>
  <c r="AU447" i="2"/>
  <c r="AO448" i="2"/>
  <c r="AP448" i="2"/>
  <c r="AQ448" i="2" s="1"/>
  <c r="AR448" i="2" s="1"/>
  <c r="AT448" i="2"/>
  <c r="AU448" i="2"/>
  <c r="AO449" i="2"/>
  <c r="AP449" i="2"/>
  <c r="AQ449" i="2" s="1"/>
  <c r="AT449" i="2"/>
  <c r="AU449" i="2"/>
  <c r="AO450" i="2"/>
  <c r="AP450" i="2"/>
  <c r="AQ450" i="2" s="1"/>
  <c r="AT450" i="2"/>
  <c r="AU450" i="2"/>
  <c r="AO451" i="2"/>
  <c r="AP451" i="2"/>
  <c r="AQ451" i="2" s="1"/>
  <c r="AR451" i="2" s="1"/>
  <c r="AT451" i="2"/>
  <c r="AU451" i="2"/>
  <c r="AO452" i="2"/>
  <c r="AP452" i="2"/>
  <c r="AQ452" i="2" s="1"/>
  <c r="AT452" i="2"/>
  <c r="AU452" i="2"/>
  <c r="AO453" i="2"/>
  <c r="AP453" i="2"/>
  <c r="AQ453" i="2" s="1"/>
  <c r="AR453" i="2" s="1"/>
  <c r="AT453" i="2"/>
  <c r="AU453" i="2"/>
  <c r="AO454" i="2"/>
  <c r="AP454" i="2"/>
  <c r="AQ454" i="2"/>
  <c r="AR454" i="2"/>
  <c r="AT454" i="2"/>
  <c r="AW454" i="2" s="1"/>
  <c r="AU454" i="2"/>
  <c r="AX454" i="2" s="1"/>
  <c r="L454" i="2" s="1"/>
  <c r="G454" i="4" s="1"/>
  <c r="AO455" i="2"/>
  <c r="AP455" i="2"/>
  <c r="AQ455" i="2" s="1"/>
  <c r="AT455" i="2"/>
  <c r="AU455" i="2"/>
  <c r="AO456" i="2"/>
  <c r="AP456" i="2"/>
  <c r="AQ456" i="2" s="1"/>
  <c r="AT456" i="2"/>
  <c r="AU456" i="2"/>
  <c r="AO457" i="2"/>
  <c r="AP457" i="2"/>
  <c r="AQ457" i="2"/>
  <c r="AR457" i="2"/>
  <c r="AT457" i="2"/>
  <c r="AU457" i="2"/>
  <c r="AO458" i="2"/>
  <c r="AP458" i="2"/>
  <c r="AQ458" i="2" s="1"/>
  <c r="AT458" i="2"/>
  <c r="AU458" i="2"/>
  <c r="AO459" i="2"/>
  <c r="AP459" i="2"/>
  <c r="AQ459" i="2"/>
  <c r="AR459" i="2"/>
  <c r="AT459" i="2"/>
  <c r="AU459" i="2"/>
  <c r="AO460" i="2"/>
  <c r="AP460" i="2"/>
  <c r="AQ460" i="2" s="1"/>
  <c r="AR460" i="2" s="1"/>
  <c r="AW460" i="2" s="1"/>
  <c r="AT460" i="2"/>
  <c r="AU460" i="2"/>
  <c r="AO461" i="2"/>
  <c r="AP461" i="2"/>
  <c r="AQ461" i="2" s="1"/>
  <c r="AT461" i="2"/>
  <c r="AU461" i="2"/>
  <c r="AO462" i="2"/>
  <c r="AP462" i="2"/>
  <c r="AQ462" i="2" s="1"/>
  <c r="AT462" i="2"/>
  <c r="AU462" i="2"/>
  <c r="AO463" i="2"/>
  <c r="AP463" i="2"/>
  <c r="AQ463" i="2" s="1"/>
  <c r="AT463" i="2"/>
  <c r="AU463" i="2"/>
  <c r="AO464" i="2"/>
  <c r="AP464" i="2"/>
  <c r="AQ464" i="2" s="1"/>
  <c r="AT464" i="2"/>
  <c r="AU464" i="2"/>
  <c r="AO465" i="2"/>
  <c r="AP465" i="2"/>
  <c r="AQ465" i="2"/>
  <c r="AT465" i="2"/>
  <c r="AU465" i="2"/>
  <c r="AO466" i="2"/>
  <c r="AP466" i="2"/>
  <c r="AQ466" i="2"/>
  <c r="AR466" i="2" s="1"/>
  <c r="AT466" i="2"/>
  <c r="AU466" i="2"/>
  <c r="AO467" i="2"/>
  <c r="AP467" i="2"/>
  <c r="AQ467" i="2" s="1"/>
  <c r="AT467" i="2"/>
  <c r="AU467" i="2"/>
  <c r="AO468" i="2"/>
  <c r="AP468" i="2"/>
  <c r="AQ468" i="2" s="1"/>
  <c r="AR468" i="2" s="1"/>
  <c r="AT468" i="2"/>
  <c r="AU468" i="2"/>
  <c r="AO469" i="2"/>
  <c r="AP469" i="2"/>
  <c r="AQ469" i="2" s="1"/>
  <c r="AT469" i="2"/>
  <c r="AU469" i="2"/>
  <c r="AO470" i="2"/>
  <c r="AP470" i="2"/>
  <c r="AQ470" i="2" s="1"/>
  <c r="AT470" i="2"/>
  <c r="AU470" i="2"/>
  <c r="AO471" i="2"/>
  <c r="AP471" i="2"/>
  <c r="AQ471" i="2" s="1"/>
  <c r="AR471" i="2" s="1"/>
  <c r="AT471" i="2"/>
  <c r="AU471" i="2"/>
  <c r="AO472" i="2"/>
  <c r="AP472" i="2"/>
  <c r="AQ472" i="2" s="1"/>
  <c r="AR472" i="2" s="1"/>
  <c r="AT472" i="2"/>
  <c r="AU472" i="2"/>
  <c r="AO473" i="2"/>
  <c r="AP473" i="2"/>
  <c r="AQ473" i="2" s="1"/>
  <c r="AT473" i="2"/>
  <c r="AU473" i="2"/>
  <c r="AO474" i="2"/>
  <c r="AP474" i="2"/>
  <c r="AQ474" i="2" s="1"/>
  <c r="AT474" i="2"/>
  <c r="AU474" i="2"/>
  <c r="AO475" i="2"/>
  <c r="AP475" i="2"/>
  <c r="AQ475" i="2" s="1"/>
  <c r="AR475" i="2"/>
  <c r="AT475" i="2"/>
  <c r="AU475" i="2"/>
  <c r="AO476" i="2"/>
  <c r="AP476" i="2"/>
  <c r="AQ476" i="2" s="1"/>
  <c r="AT476" i="2"/>
  <c r="AU476" i="2"/>
  <c r="AO477" i="2"/>
  <c r="AP477" i="2"/>
  <c r="AQ477" i="2" s="1"/>
  <c r="AT477" i="2"/>
  <c r="AU477" i="2"/>
  <c r="AO478" i="2"/>
  <c r="AP478" i="2"/>
  <c r="AQ478" i="2" s="1"/>
  <c r="AT478" i="2"/>
  <c r="AU478" i="2"/>
  <c r="AO479" i="2"/>
  <c r="AP479" i="2"/>
  <c r="AQ479" i="2" s="1"/>
  <c r="AT479" i="2"/>
  <c r="AU479" i="2"/>
  <c r="AO480" i="2"/>
  <c r="AP480" i="2"/>
  <c r="AQ480" i="2" s="1"/>
  <c r="AT480" i="2"/>
  <c r="AU480" i="2"/>
  <c r="AO481" i="2"/>
  <c r="AP481" i="2"/>
  <c r="AQ481" i="2"/>
  <c r="AR481" i="2"/>
  <c r="AT481" i="2"/>
  <c r="AU481" i="2"/>
  <c r="AO482" i="2"/>
  <c r="AP482" i="2"/>
  <c r="AQ482" i="2" s="1"/>
  <c r="AT482" i="2"/>
  <c r="AU482" i="2"/>
  <c r="AO483" i="2"/>
  <c r="AP483" i="2"/>
  <c r="AQ483" i="2"/>
  <c r="AR483" i="2" s="1"/>
  <c r="AT483" i="2"/>
  <c r="AU483" i="2"/>
  <c r="AO484" i="2"/>
  <c r="AP484" i="2"/>
  <c r="AQ484" i="2" s="1"/>
  <c r="AR484" i="2" s="1"/>
  <c r="AT484" i="2"/>
  <c r="AU484" i="2"/>
  <c r="AO485" i="2"/>
  <c r="AP485" i="2"/>
  <c r="AQ485" i="2" s="1"/>
  <c r="AT485" i="2"/>
  <c r="AU485" i="2"/>
  <c r="AO486" i="2"/>
  <c r="AP486" i="2"/>
  <c r="AQ486" i="2"/>
  <c r="AR486" i="2"/>
  <c r="AT486" i="2"/>
  <c r="AU486" i="2"/>
  <c r="AO487" i="2"/>
  <c r="AP487" i="2"/>
  <c r="AQ487" i="2" s="1"/>
  <c r="AR487" i="2" s="1"/>
  <c r="AT487" i="2"/>
  <c r="AU487" i="2"/>
  <c r="AO488" i="2"/>
  <c r="AP488" i="2"/>
  <c r="AQ488" i="2" s="1"/>
  <c r="AT488" i="2"/>
  <c r="AU488" i="2"/>
  <c r="AO489" i="2"/>
  <c r="AP489" i="2"/>
  <c r="AQ489" i="2" s="1"/>
  <c r="AT489" i="2"/>
  <c r="AU489" i="2"/>
  <c r="AO490" i="2"/>
  <c r="AP490" i="2"/>
  <c r="AQ490" i="2" s="1"/>
  <c r="AR490" i="2" s="1"/>
  <c r="AT490" i="2"/>
  <c r="AU490" i="2"/>
  <c r="AO491" i="2"/>
  <c r="AP491" i="2"/>
  <c r="AQ491" i="2" s="1"/>
  <c r="AT491" i="2"/>
  <c r="AU491" i="2"/>
  <c r="AO492" i="2"/>
  <c r="AP492" i="2"/>
  <c r="AQ492" i="2" s="1"/>
  <c r="AT492" i="2"/>
  <c r="AU492" i="2"/>
  <c r="AO493" i="2"/>
  <c r="AP493" i="2"/>
  <c r="AQ493" i="2"/>
  <c r="AR493" i="2" s="1"/>
  <c r="AT493" i="2"/>
  <c r="AU493" i="2"/>
  <c r="AO494" i="2"/>
  <c r="AP494" i="2"/>
  <c r="AQ494" i="2" s="1"/>
  <c r="AT494" i="2"/>
  <c r="AU494" i="2"/>
  <c r="AO495" i="2"/>
  <c r="AP495" i="2"/>
  <c r="AQ495" i="2" s="1"/>
  <c r="AT495" i="2"/>
  <c r="AU495" i="2"/>
  <c r="AO496" i="2"/>
  <c r="AP496" i="2"/>
  <c r="AQ496" i="2" s="1"/>
  <c r="AT496" i="2"/>
  <c r="AU496" i="2"/>
  <c r="AO497" i="2"/>
  <c r="AP497" i="2"/>
  <c r="AQ497" i="2" s="1"/>
  <c r="AT497" i="2"/>
  <c r="AU497" i="2"/>
  <c r="AO498" i="2"/>
  <c r="AP498" i="2"/>
  <c r="AQ498" i="2" s="1"/>
  <c r="AT498" i="2"/>
  <c r="AU498" i="2"/>
  <c r="AO331" i="2"/>
  <c r="AP331" i="2"/>
  <c r="AQ331" i="2" s="1"/>
  <c r="AR331" i="2" s="1"/>
  <c r="AT331" i="2"/>
  <c r="AU331" i="2"/>
  <c r="AO332" i="2"/>
  <c r="AP332" i="2"/>
  <c r="AQ332" i="2"/>
  <c r="AR332" i="2" s="1"/>
  <c r="AT332" i="2"/>
  <c r="AU332" i="2"/>
  <c r="AO333" i="2"/>
  <c r="AP333" i="2"/>
  <c r="AQ333" i="2"/>
  <c r="AR333" i="2" s="1"/>
  <c r="AT333" i="2"/>
  <c r="AU333" i="2"/>
  <c r="AO334" i="2"/>
  <c r="AP334" i="2"/>
  <c r="AQ334" i="2" s="1"/>
  <c r="AR334" i="2" s="1"/>
  <c r="AX334" i="2" s="1"/>
  <c r="L334" i="2" s="1"/>
  <c r="G334" i="4" s="1"/>
  <c r="H334" i="4" s="1"/>
  <c r="AT334" i="2"/>
  <c r="AU334" i="2"/>
  <c r="AO335" i="2"/>
  <c r="AP335" i="2"/>
  <c r="AQ335" i="2"/>
  <c r="AR335" i="2" s="1"/>
  <c r="AT335" i="2"/>
  <c r="AU335" i="2"/>
  <c r="AO336" i="2"/>
  <c r="AP336" i="2"/>
  <c r="AQ336" i="2" s="1"/>
  <c r="AR336" i="2" s="1"/>
  <c r="AT336" i="2"/>
  <c r="AU336" i="2"/>
  <c r="AO337" i="2"/>
  <c r="AP337" i="2"/>
  <c r="AQ337" i="2" s="1"/>
  <c r="AT337" i="2"/>
  <c r="AU337" i="2"/>
  <c r="AO338" i="2"/>
  <c r="AP338" i="2"/>
  <c r="AQ338" i="2" s="1"/>
  <c r="AT338" i="2"/>
  <c r="AU338" i="2"/>
  <c r="AO339" i="2"/>
  <c r="AP339" i="2"/>
  <c r="AQ339" i="2" s="1"/>
  <c r="AT339" i="2"/>
  <c r="AU339" i="2"/>
  <c r="AO340" i="2"/>
  <c r="AP340" i="2"/>
  <c r="AQ340" i="2" s="1"/>
  <c r="AT340" i="2"/>
  <c r="AU340" i="2"/>
  <c r="AO341" i="2"/>
  <c r="AP341" i="2"/>
  <c r="AQ341" i="2"/>
  <c r="AR341" i="2" s="1"/>
  <c r="AT341" i="2"/>
  <c r="AU341" i="2"/>
  <c r="AO342" i="2"/>
  <c r="AP342" i="2"/>
  <c r="AQ342" i="2"/>
  <c r="AR342" i="2" s="1"/>
  <c r="AT342" i="2"/>
  <c r="AU342" i="2"/>
  <c r="AO343" i="2"/>
  <c r="AP343" i="2"/>
  <c r="AQ343" i="2"/>
  <c r="AR343" i="2"/>
  <c r="AT343" i="2"/>
  <c r="AU343" i="2"/>
  <c r="AO344" i="2"/>
  <c r="AP344" i="2"/>
  <c r="AQ344" i="2" s="1"/>
  <c r="AT344" i="2"/>
  <c r="AU344" i="2"/>
  <c r="AO345" i="2"/>
  <c r="AP345" i="2"/>
  <c r="AQ345" i="2"/>
  <c r="AT345" i="2"/>
  <c r="AU345" i="2"/>
  <c r="AO346" i="2"/>
  <c r="AP346" i="2"/>
  <c r="AQ346" i="2" s="1"/>
  <c r="AR346" i="2" s="1"/>
  <c r="AT346" i="2"/>
  <c r="AU346" i="2"/>
  <c r="AO347" i="2"/>
  <c r="AP347" i="2"/>
  <c r="AQ347" i="2" s="1"/>
  <c r="AR347" i="2" s="1"/>
  <c r="AT347" i="2"/>
  <c r="AU347" i="2"/>
  <c r="AO348" i="2"/>
  <c r="AP348" i="2"/>
  <c r="AQ348" i="2" s="1"/>
  <c r="AR348" i="2" s="1"/>
  <c r="AW348" i="2" s="1"/>
  <c r="AT348" i="2"/>
  <c r="AU348" i="2"/>
  <c r="AO349" i="2"/>
  <c r="AP349" i="2"/>
  <c r="AQ349" i="2" s="1"/>
  <c r="AT349" i="2"/>
  <c r="AU349" i="2"/>
  <c r="AO350" i="2"/>
  <c r="AP350" i="2"/>
  <c r="AQ350" i="2"/>
  <c r="AT350" i="2"/>
  <c r="AU350" i="2"/>
  <c r="AO351" i="2"/>
  <c r="AP351" i="2"/>
  <c r="AQ351" i="2" s="1"/>
  <c r="AT351" i="2"/>
  <c r="AU351" i="2"/>
  <c r="AO352" i="2"/>
  <c r="AP352" i="2"/>
  <c r="AQ352" i="2"/>
  <c r="AT352" i="2"/>
  <c r="AU352" i="2"/>
  <c r="AO353" i="2"/>
  <c r="AP353" i="2"/>
  <c r="AQ353" i="2"/>
  <c r="AR353" i="2" s="1"/>
  <c r="AT353" i="2"/>
  <c r="AU353" i="2"/>
  <c r="AO354" i="2"/>
  <c r="AP354" i="2"/>
  <c r="AQ354" i="2" s="1"/>
  <c r="AR354" i="2" s="1"/>
  <c r="AT354" i="2"/>
  <c r="AU354" i="2"/>
  <c r="AO355" i="2"/>
  <c r="AP355" i="2"/>
  <c r="AQ355" i="2" s="1"/>
  <c r="AR355" i="2" s="1"/>
  <c r="AT355" i="2"/>
  <c r="AU355" i="2"/>
  <c r="AO356" i="2"/>
  <c r="AP356" i="2"/>
  <c r="AQ356" i="2" s="1"/>
  <c r="AT356" i="2"/>
  <c r="AU356" i="2"/>
  <c r="AO357" i="2"/>
  <c r="AP357" i="2"/>
  <c r="AQ357" i="2"/>
  <c r="AT357" i="2"/>
  <c r="AU357" i="2"/>
  <c r="AO358" i="2"/>
  <c r="AP358" i="2"/>
  <c r="AQ358" i="2" s="1"/>
  <c r="AR358" i="2"/>
  <c r="AX358" i="2" s="1"/>
  <c r="L358" i="2" s="1"/>
  <c r="G358" i="4" s="1"/>
  <c r="H358" i="4" s="1"/>
  <c r="AT358" i="2"/>
  <c r="AU358" i="2"/>
  <c r="AO359" i="2"/>
  <c r="AP359" i="2"/>
  <c r="AQ359" i="2" s="1"/>
  <c r="AR359" i="2" s="1"/>
  <c r="AT359" i="2"/>
  <c r="AU359" i="2"/>
  <c r="AO360" i="2"/>
  <c r="AP360" i="2"/>
  <c r="AQ360" i="2" s="1"/>
  <c r="AR360" i="2"/>
  <c r="AX360" i="2" s="1"/>
  <c r="L360" i="2" s="1"/>
  <c r="G360" i="4" s="1"/>
  <c r="H360" i="4" s="1"/>
  <c r="AT360" i="2"/>
  <c r="AU360" i="2"/>
  <c r="AO361" i="2"/>
  <c r="AP361" i="2"/>
  <c r="AQ361" i="2" s="1"/>
  <c r="AR361" i="2" s="1"/>
  <c r="AW361" i="2" s="1"/>
  <c r="AT361" i="2"/>
  <c r="AU361" i="2"/>
  <c r="AO362" i="2"/>
  <c r="AP362" i="2"/>
  <c r="AQ362" i="2" s="1"/>
  <c r="AT362" i="2"/>
  <c r="AU362" i="2"/>
  <c r="AO363" i="2"/>
  <c r="AP363" i="2"/>
  <c r="AQ363" i="2" s="1"/>
  <c r="AT363" i="2"/>
  <c r="AU363" i="2"/>
  <c r="AO364" i="2"/>
  <c r="AP364" i="2"/>
  <c r="AQ364" i="2" s="1"/>
  <c r="AR364" i="2"/>
  <c r="AT364" i="2"/>
  <c r="AU364" i="2"/>
  <c r="AO365" i="2"/>
  <c r="AP365" i="2"/>
  <c r="AQ365" i="2"/>
  <c r="AR365" i="2"/>
  <c r="AT365" i="2"/>
  <c r="AU365" i="2"/>
  <c r="AO366" i="2"/>
  <c r="AP366" i="2"/>
  <c r="AQ366" i="2" s="1"/>
  <c r="AR366" i="2" s="1"/>
  <c r="AW366" i="2" s="1"/>
  <c r="AT366" i="2"/>
  <c r="AU366" i="2"/>
  <c r="AO367" i="2"/>
  <c r="AP367" i="2"/>
  <c r="AQ367" i="2"/>
  <c r="AT367" i="2"/>
  <c r="AU367" i="2"/>
  <c r="AO368" i="2"/>
  <c r="AP368" i="2"/>
  <c r="AQ368" i="2" s="1"/>
  <c r="AT368" i="2"/>
  <c r="AU368" i="2"/>
  <c r="AO369" i="2"/>
  <c r="AP369" i="2"/>
  <c r="AQ369" i="2" s="1"/>
  <c r="AT369" i="2"/>
  <c r="AU369" i="2"/>
  <c r="AO370" i="2"/>
  <c r="AP370" i="2"/>
  <c r="AQ370" i="2"/>
  <c r="AT370" i="2"/>
  <c r="AU370" i="2"/>
  <c r="AO371" i="2"/>
  <c r="AP371" i="2"/>
  <c r="AQ371" i="2" s="1"/>
  <c r="AR371" i="2" s="1"/>
  <c r="AT371" i="2"/>
  <c r="AU371" i="2"/>
  <c r="AO372" i="2"/>
  <c r="AP372" i="2"/>
  <c r="AQ372" i="2"/>
  <c r="AR372" i="2"/>
  <c r="AT372" i="2"/>
  <c r="AU372" i="2"/>
  <c r="AO373" i="2"/>
  <c r="AP373" i="2"/>
  <c r="AQ373" i="2"/>
  <c r="AR373" i="2" s="1"/>
  <c r="AW373" i="2" s="1"/>
  <c r="AT373" i="2"/>
  <c r="AU373" i="2"/>
  <c r="AO374" i="2"/>
  <c r="AP374" i="2"/>
  <c r="AQ374" i="2" s="1"/>
  <c r="AT374" i="2"/>
  <c r="AU374" i="2"/>
  <c r="AO375" i="2"/>
  <c r="AP375" i="2"/>
  <c r="AQ375" i="2" s="1"/>
  <c r="AT375" i="2"/>
  <c r="AU375" i="2"/>
  <c r="AO376" i="2"/>
  <c r="AP376" i="2"/>
  <c r="AQ376" i="2" s="1"/>
  <c r="AR376" i="2" s="1"/>
  <c r="AT376" i="2"/>
  <c r="AU376" i="2"/>
  <c r="AO377" i="2"/>
  <c r="AP377" i="2"/>
  <c r="AQ377" i="2"/>
  <c r="AR377" i="2" s="1"/>
  <c r="AT377" i="2"/>
  <c r="AU377" i="2"/>
  <c r="AO378" i="2"/>
  <c r="AP378" i="2"/>
  <c r="AQ378" i="2"/>
  <c r="AR378" i="2" s="1"/>
  <c r="AW378" i="2" s="1"/>
  <c r="AT378" i="2"/>
  <c r="AU378" i="2"/>
  <c r="AO379" i="2"/>
  <c r="AP379" i="2"/>
  <c r="AQ379" i="2"/>
  <c r="AT379" i="2"/>
  <c r="AU379" i="2"/>
  <c r="AO380" i="2"/>
  <c r="AP380" i="2"/>
  <c r="AQ380" i="2" s="1"/>
  <c r="AT380" i="2"/>
  <c r="AU380" i="2"/>
  <c r="AO381" i="2"/>
  <c r="AP381" i="2"/>
  <c r="AQ381" i="2" s="1"/>
  <c r="AT381" i="2"/>
  <c r="AU381" i="2"/>
  <c r="AO382" i="2"/>
  <c r="AP382" i="2"/>
  <c r="AQ382" i="2"/>
  <c r="AT382" i="2"/>
  <c r="AU382" i="2"/>
  <c r="AO383" i="2"/>
  <c r="AP383" i="2"/>
  <c r="AQ383" i="2" s="1"/>
  <c r="AR383" i="2" s="1"/>
  <c r="AT383" i="2"/>
  <c r="AU383" i="2"/>
  <c r="AO384" i="2"/>
  <c r="AP384" i="2"/>
  <c r="AQ384" i="2" s="1"/>
  <c r="AR384" i="2" s="1"/>
  <c r="AT384" i="2"/>
  <c r="AU384" i="2"/>
  <c r="AO385" i="2"/>
  <c r="AP385" i="2"/>
  <c r="AQ385" i="2" s="1"/>
  <c r="AR385" i="2" s="1"/>
  <c r="AT385" i="2"/>
  <c r="AU385" i="2"/>
  <c r="AO386" i="2"/>
  <c r="AP386" i="2"/>
  <c r="AQ386" i="2" s="1"/>
  <c r="AR386" i="2" s="1"/>
  <c r="AT386" i="2"/>
  <c r="AU386" i="2"/>
  <c r="AO387" i="2"/>
  <c r="AP387" i="2"/>
  <c r="AQ387" i="2" s="1"/>
  <c r="AT387" i="2"/>
  <c r="AU387" i="2"/>
  <c r="AO388" i="2"/>
  <c r="AP388" i="2"/>
  <c r="AQ388" i="2"/>
  <c r="AR388" i="2" s="1"/>
  <c r="AT388" i="2"/>
  <c r="AU388" i="2"/>
  <c r="AO389" i="2"/>
  <c r="AP389" i="2"/>
  <c r="AQ389" i="2" s="1"/>
  <c r="AT389" i="2"/>
  <c r="AU389" i="2"/>
  <c r="AO390" i="2"/>
  <c r="AP390" i="2"/>
  <c r="AQ390" i="2"/>
  <c r="AR390" i="2" s="1"/>
  <c r="AT390" i="2"/>
  <c r="AU390" i="2"/>
  <c r="AO391" i="2"/>
  <c r="AP391" i="2"/>
  <c r="AQ391" i="2" s="1"/>
  <c r="AR391" i="2" s="1"/>
  <c r="AT391" i="2"/>
  <c r="AU391" i="2"/>
  <c r="AO392" i="2"/>
  <c r="AP392" i="2"/>
  <c r="AQ392" i="2" s="1"/>
  <c r="AT392" i="2"/>
  <c r="AU392" i="2"/>
  <c r="AO393" i="2"/>
  <c r="AP393" i="2"/>
  <c r="AQ393" i="2" s="1"/>
  <c r="AR393" i="2"/>
  <c r="AT393" i="2"/>
  <c r="AU393" i="2"/>
  <c r="AO394" i="2"/>
  <c r="AP394" i="2"/>
  <c r="AQ394" i="2" s="1"/>
  <c r="AT394" i="2"/>
  <c r="AU394" i="2"/>
  <c r="AO395" i="2"/>
  <c r="AP395" i="2"/>
  <c r="AQ395" i="2"/>
  <c r="AT395" i="2"/>
  <c r="AU395" i="2"/>
  <c r="AO396" i="2"/>
  <c r="AP396" i="2"/>
  <c r="AQ396" i="2"/>
  <c r="AT396" i="2"/>
  <c r="AU396" i="2"/>
  <c r="AO397" i="2"/>
  <c r="AP397" i="2"/>
  <c r="AQ397" i="2" s="1"/>
  <c r="AT397" i="2"/>
  <c r="AU397" i="2"/>
  <c r="AO398" i="2"/>
  <c r="AP398" i="2"/>
  <c r="AQ398" i="2" s="1"/>
  <c r="AR398" i="2" s="1"/>
  <c r="AT398" i="2"/>
  <c r="AU398" i="2"/>
  <c r="AO399" i="2"/>
  <c r="AP399" i="2"/>
  <c r="AQ399" i="2" s="1"/>
  <c r="AT399" i="2"/>
  <c r="AU399" i="2"/>
  <c r="AO400" i="2"/>
  <c r="AP400" i="2"/>
  <c r="AQ400" i="2" s="1"/>
  <c r="AT400" i="2"/>
  <c r="AU400" i="2"/>
  <c r="AO401" i="2"/>
  <c r="AP401" i="2"/>
  <c r="AQ401" i="2"/>
  <c r="AR401" i="2"/>
  <c r="AT401" i="2"/>
  <c r="AU401" i="2"/>
  <c r="AO402" i="2"/>
  <c r="AR402" i="2" s="1"/>
  <c r="AP402" i="2"/>
  <c r="AQ402" i="2" s="1"/>
  <c r="AT402" i="2"/>
  <c r="AU402" i="2"/>
  <c r="AO403" i="2"/>
  <c r="AP403" i="2"/>
  <c r="AQ403" i="2"/>
  <c r="AR403" i="2" s="1"/>
  <c r="AT403" i="2"/>
  <c r="AU403" i="2"/>
  <c r="AO257" i="2"/>
  <c r="AP257" i="2"/>
  <c r="AQ257" i="2" s="1"/>
  <c r="AT257" i="2"/>
  <c r="AU257" i="2"/>
  <c r="AO258" i="2"/>
  <c r="AP258" i="2"/>
  <c r="AQ258" i="2" s="1"/>
  <c r="AR258" i="2" s="1"/>
  <c r="AT258" i="2"/>
  <c r="AU258" i="2"/>
  <c r="AO259" i="2"/>
  <c r="AP259" i="2"/>
  <c r="AQ259" i="2"/>
  <c r="AR259" i="2"/>
  <c r="AT259" i="2"/>
  <c r="AU259" i="2"/>
  <c r="AO260" i="2"/>
  <c r="AP260" i="2"/>
  <c r="AQ260" i="2" s="1"/>
  <c r="AT260" i="2"/>
  <c r="AU260" i="2"/>
  <c r="AO261" i="2"/>
  <c r="AP261" i="2"/>
  <c r="AQ261" i="2" s="1"/>
  <c r="AR261" i="2" s="1"/>
  <c r="AT261" i="2"/>
  <c r="AU261" i="2"/>
  <c r="AO262" i="2"/>
  <c r="AP262" i="2"/>
  <c r="AQ262" i="2" s="1"/>
  <c r="AT262" i="2"/>
  <c r="AU262" i="2"/>
  <c r="AO263" i="2"/>
  <c r="AP263" i="2"/>
  <c r="AQ263" i="2" s="1"/>
  <c r="AT263" i="2"/>
  <c r="AU263" i="2"/>
  <c r="AO264" i="2"/>
  <c r="AP264" i="2"/>
  <c r="AQ264" i="2" s="1"/>
  <c r="AR264" i="2" s="1"/>
  <c r="AT264" i="2"/>
  <c r="AU264" i="2"/>
  <c r="AO265" i="2"/>
  <c r="AP265" i="2"/>
  <c r="AQ265" i="2"/>
  <c r="AR265" i="2"/>
  <c r="AT265" i="2"/>
  <c r="AU265" i="2"/>
  <c r="AO266" i="2"/>
  <c r="AP266" i="2"/>
  <c r="AQ266" i="2" s="1"/>
  <c r="AT266" i="2"/>
  <c r="AU266" i="2"/>
  <c r="AO267" i="2"/>
  <c r="AP267" i="2"/>
  <c r="AQ267" i="2" s="1"/>
  <c r="AR267" i="2" s="1"/>
  <c r="AT267" i="2"/>
  <c r="AU267" i="2"/>
  <c r="AO268" i="2"/>
  <c r="AP268" i="2"/>
  <c r="AQ268" i="2"/>
  <c r="AR268" i="2" s="1"/>
  <c r="AX268" i="2" s="1"/>
  <c r="L268" i="2" s="1"/>
  <c r="G268" i="4" s="1"/>
  <c r="H268" i="4" s="1"/>
  <c r="AT268" i="2"/>
  <c r="AU268" i="2"/>
  <c r="AO269" i="2"/>
  <c r="AP269" i="2"/>
  <c r="AQ269" i="2" s="1"/>
  <c r="AT269" i="2"/>
  <c r="AU269" i="2"/>
  <c r="AO270" i="2"/>
  <c r="AP270" i="2"/>
  <c r="AQ270" i="2" s="1"/>
  <c r="AR270" i="2" s="1"/>
  <c r="AT270" i="2"/>
  <c r="AU270" i="2"/>
  <c r="AO271" i="2"/>
  <c r="AP271" i="2"/>
  <c r="AQ271" i="2"/>
  <c r="AR271" i="2" s="1"/>
  <c r="AW271" i="2" s="1"/>
  <c r="AT271" i="2"/>
  <c r="AU271" i="2"/>
  <c r="AO272" i="2"/>
  <c r="AP272" i="2"/>
  <c r="AQ272" i="2" s="1"/>
  <c r="AT272" i="2"/>
  <c r="AU272" i="2"/>
  <c r="AO273" i="2"/>
  <c r="AP273" i="2"/>
  <c r="AQ273" i="2" s="1"/>
  <c r="AR273" i="2" s="1"/>
  <c r="AT273" i="2"/>
  <c r="AU273" i="2"/>
  <c r="AO274" i="2"/>
  <c r="AP274" i="2"/>
  <c r="AQ274" i="2" s="1"/>
  <c r="AT274" i="2"/>
  <c r="AU274" i="2"/>
  <c r="AO275" i="2"/>
  <c r="AP275" i="2"/>
  <c r="AQ275" i="2" s="1"/>
  <c r="AT275" i="2"/>
  <c r="AU275" i="2"/>
  <c r="AO276" i="2"/>
  <c r="AP276" i="2"/>
  <c r="AQ276" i="2" s="1"/>
  <c r="AR276" i="2" s="1"/>
  <c r="AT276" i="2"/>
  <c r="AU276" i="2"/>
  <c r="AO277" i="2"/>
  <c r="AP277" i="2"/>
  <c r="AQ277" i="2" s="1"/>
  <c r="AR277" i="2" s="1"/>
  <c r="AX277" i="2" s="1"/>
  <c r="AT277" i="2"/>
  <c r="AU277" i="2"/>
  <c r="AO278" i="2"/>
  <c r="AP278" i="2"/>
  <c r="AQ278" i="2" s="1"/>
  <c r="AT278" i="2"/>
  <c r="AU278" i="2"/>
  <c r="AO279" i="2"/>
  <c r="AP279" i="2"/>
  <c r="AQ279" i="2" s="1"/>
  <c r="AR279" i="2" s="1"/>
  <c r="AT279" i="2"/>
  <c r="AU279" i="2"/>
  <c r="AO280" i="2"/>
  <c r="AP280" i="2"/>
  <c r="AQ280" i="2" s="1"/>
  <c r="AR280" i="2" s="1"/>
  <c r="AX280" i="2" s="1"/>
  <c r="L280" i="2" s="1"/>
  <c r="G280" i="4" s="1"/>
  <c r="H280" i="4" s="1"/>
  <c r="AT280" i="2"/>
  <c r="AU280" i="2"/>
  <c r="AO281" i="2"/>
  <c r="AP281" i="2"/>
  <c r="AQ281" i="2" s="1"/>
  <c r="AT281" i="2"/>
  <c r="AU281" i="2"/>
  <c r="AO282" i="2"/>
  <c r="AP282" i="2"/>
  <c r="AQ282" i="2" s="1"/>
  <c r="AR282" i="2" s="1"/>
  <c r="AT282" i="2"/>
  <c r="AU282" i="2"/>
  <c r="AO283" i="2"/>
  <c r="AP283" i="2"/>
  <c r="AQ283" i="2" s="1"/>
  <c r="AR283" i="2" s="1"/>
  <c r="AT283" i="2"/>
  <c r="AU283" i="2"/>
  <c r="AO284" i="2"/>
  <c r="AP284" i="2"/>
  <c r="AQ284" i="2" s="1"/>
  <c r="AT284" i="2"/>
  <c r="AU284" i="2"/>
  <c r="AO285" i="2"/>
  <c r="AP285" i="2"/>
  <c r="AQ285" i="2" s="1"/>
  <c r="AR285" i="2" s="1"/>
  <c r="AT285" i="2"/>
  <c r="AU285" i="2"/>
  <c r="AO286" i="2"/>
  <c r="AP286" i="2"/>
  <c r="AQ286" i="2" s="1"/>
  <c r="AT286" i="2"/>
  <c r="AU286" i="2"/>
  <c r="AO287" i="2"/>
  <c r="AP287" i="2"/>
  <c r="AQ287" i="2" s="1"/>
  <c r="AT287" i="2"/>
  <c r="AU287" i="2"/>
  <c r="AO288" i="2"/>
  <c r="AP288" i="2"/>
  <c r="AQ288" i="2" s="1"/>
  <c r="AR288" i="2" s="1"/>
  <c r="AT288" i="2"/>
  <c r="AU288" i="2"/>
  <c r="AO289" i="2"/>
  <c r="AP289" i="2"/>
  <c r="AQ289" i="2"/>
  <c r="AR289" i="2"/>
  <c r="AT289" i="2"/>
  <c r="AU289" i="2"/>
  <c r="AO290" i="2"/>
  <c r="AP290" i="2"/>
  <c r="AQ290" i="2" s="1"/>
  <c r="AT290" i="2"/>
  <c r="AU290" i="2"/>
  <c r="AO291" i="2"/>
  <c r="AP291" i="2"/>
  <c r="AQ291" i="2" s="1"/>
  <c r="AR291" i="2" s="1"/>
  <c r="AT291" i="2"/>
  <c r="AU291" i="2"/>
  <c r="AO292" i="2"/>
  <c r="AP292" i="2"/>
  <c r="AQ292" i="2" s="1"/>
  <c r="AR292" i="2" s="1"/>
  <c r="AT292" i="2"/>
  <c r="AU292" i="2"/>
  <c r="AO293" i="2"/>
  <c r="AP293" i="2"/>
  <c r="AQ293" i="2" s="1"/>
  <c r="AT293" i="2"/>
  <c r="AU293" i="2"/>
  <c r="AO294" i="2"/>
  <c r="AP294" i="2"/>
  <c r="AQ294" i="2" s="1"/>
  <c r="AR294" i="2" s="1"/>
  <c r="AT294" i="2"/>
  <c r="AU294" i="2"/>
  <c r="AO295" i="2"/>
  <c r="AP295" i="2"/>
  <c r="AQ295" i="2" s="1"/>
  <c r="AR295" i="2" s="1"/>
  <c r="AT295" i="2"/>
  <c r="AU295" i="2"/>
  <c r="AO296" i="2"/>
  <c r="AP296" i="2"/>
  <c r="AQ296" i="2" s="1"/>
  <c r="AT296" i="2"/>
  <c r="AU296" i="2"/>
  <c r="AO297" i="2"/>
  <c r="AP297" i="2"/>
  <c r="AQ297" i="2" s="1"/>
  <c r="AR297" i="2" s="1"/>
  <c r="AT297" i="2"/>
  <c r="AU297" i="2"/>
  <c r="AO298" i="2"/>
  <c r="AP298" i="2"/>
  <c r="AQ298" i="2" s="1"/>
  <c r="AT298" i="2"/>
  <c r="AU298" i="2"/>
  <c r="AO299" i="2"/>
  <c r="AP299" i="2"/>
  <c r="AQ299" i="2" s="1"/>
  <c r="AT299" i="2"/>
  <c r="AU299" i="2"/>
  <c r="AO300" i="2"/>
  <c r="AP300" i="2"/>
  <c r="AQ300" i="2" s="1"/>
  <c r="AR300" i="2" s="1"/>
  <c r="AT300" i="2"/>
  <c r="AU300" i="2"/>
  <c r="AO301" i="2"/>
  <c r="AP301" i="2"/>
  <c r="AQ301" i="2"/>
  <c r="AR301" i="2"/>
  <c r="AX301" i="2" s="1"/>
  <c r="L301" i="2" s="1"/>
  <c r="G301" i="4" s="1"/>
  <c r="H301" i="4" s="1"/>
  <c r="AT301" i="2"/>
  <c r="AU301" i="2"/>
  <c r="AO302" i="2"/>
  <c r="AP302" i="2"/>
  <c r="AQ302" i="2" s="1"/>
  <c r="AT302" i="2"/>
  <c r="AU302" i="2"/>
  <c r="AO303" i="2"/>
  <c r="AP303" i="2"/>
  <c r="AQ303" i="2" s="1"/>
  <c r="AR303" i="2" s="1"/>
  <c r="AT303" i="2"/>
  <c r="AU303" i="2"/>
  <c r="AO304" i="2"/>
  <c r="AP304" i="2"/>
  <c r="AQ304" i="2"/>
  <c r="AR304" i="2" s="1"/>
  <c r="AT304" i="2"/>
  <c r="AU304" i="2"/>
  <c r="AO305" i="2"/>
  <c r="AP305" i="2"/>
  <c r="AQ305" i="2" s="1"/>
  <c r="AT305" i="2"/>
  <c r="AU305" i="2"/>
  <c r="AO306" i="2"/>
  <c r="AP306" i="2"/>
  <c r="AQ306" i="2" s="1"/>
  <c r="AR306" i="2" s="1"/>
  <c r="AT306" i="2"/>
  <c r="AU306" i="2"/>
  <c r="AO307" i="2"/>
  <c r="AP307" i="2"/>
  <c r="AQ307" i="2" s="1"/>
  <c r="AT307" i="2"/>
  <c r="AU307" i="2"/>
  <c r="AO308" i="2"/>
  <c r="AP308" i="2"/>
  <c r="AQ308" i="2" s="1"/>
  <c r="AT308" i="2"/>
  <c r="AU308" i="2"/>
  <c r="AO309" i="2"/>
  <c r="AP309" i="2"/>
  <c r="AQ309" i="2" s="1"/>
  <c r="AR309" i="2" s="1"/>
  <c r="AT309" i="2"/>
  <c r="AU309" i="2"/>
  <c r="AO310" i="2"/>
  <c r="AP310" i="2"/>
  <c r="AQ310" i="2" s="1"/>
  <c r="AT310" i="2"/>
  <c r="AU310" i="2"/>
  <c r="AO311" i="2"/>
  <c r="AP311" i="2"/>
  <c r="AQ311" i="2" s="1"/>
  <c r="AT311" i="2"/>
  <c r="AU311" i="2"/>
  <c r="AO312" i="2"/>
  <c r="AP312" i="2"/>
  <c r="AQ312" i="2" s="1"/>
  <c r="AR312" i="2" s="1"/>
  <c r="AT312" i="2"/>
  <c r="AU312" i="2"/>
  <c r="AO313" i="2"/>
  <c r="AP313" i="2"/>
  <c r="AQ313" i="2" s="1"/>
  <c r="AR313" i="2" s="1"/>
  <c r="AT313" i="2"/>
  <c r="AU313" i="2"/>
  <c r="AO314" i="2"/>
  <c r="AP314" i="2"/>
  <c r="AQ314" i="2" s="1"/>
  <c r="AT314" i="2"/>
  <c r="AU314" i="2"/>
  <c r="AO315" i="2"/>
  <c r="AP315" i="2"/>
  <c r="AQ315" i="2" s="1"/>
  <c r="AR315" i="2" s="1"/>
  <c r="AT315" i="2"/>
  <c r="AU315" i="2"/>
  <c r="AO316" i="2"/>
  <c r="AP316" i="2"/>
  <c r="AQ316" i="2" s="1"/>
  <c r="AR316" i="2" s="1"/>
  <c r="AT316" i="2"/>
  <c r="AU316" i="2"/>
  <c r="AO317" i="2"/>
  <c r="AP317" i="2"/>
  <c r="AQ317" i="2" s="1"/>
  <c r="AT317" i="2"/>
  <c r="AU317" i="2"/>
  <c r="AO318" i="2"/>
  <c r="AP318" i="2"/>
  <c r="AQ318" i="2" s="1"/>
  <c r="AR318" i="2" s="1"/>
  <c r="AT318" i="2"/>
  <c r="AU318" i="2"/>
  <c r="AO319" i="2"/>
  <c r="AP319" i="2"/>
  <c r="AQ319" i="2" s="1"/>
  <c r="AR319" i="2" s="1"/>
  <c r="AX319" i="2" s="1"/>
  <c r="L319" i="2" s="1"/>
  <c r="G319" i="4" s="1"/>
  <c r="H319" i="4" s="1"/>
  <c r="AT319" i="2"/>
  <c r="AU319" i="2"/>
  <c r="AO320" i="2"/>
  <c r="AP320" i="2"/>
  <c r="AQ320" i="2" s="1"/>
  <c r="AT320" i="2"/>
  <c r="AU320" i="2"/>
  <c r="AO321" i="2"/>
  <c r="AP321" i="2"/>
  <c r="AQ321" i="2" s="1"/>
  <c r="AR321" i="2" s="1"/>
  <c r="AT321" i="2"/>
  <c r="AU321" i="2"/>
  <c r="AO322" i="2"/>
  <c r="AP322" i="2"/>
  <c r="AQ322" i="2" s="1"/>
  <c r="AT322" i="2"/>
  <c r="AU322" i="2"/>
  <c r="AO323" i="2"/>
  <c r="AP323" i="2"/>
  <c r="AQ323" i="2" s="1"/>
  <c r="AT323" i="2"/>
  <c r="AU323" i="2"/>
  <c r="AO324" i="2"/>
  <c r="AP324" i="2"/>
  <c r="AQ324" i="2" s="1"/>
  <c r="AR324" i="2" s="1"/>
  <c r="AT324" i="2"/>
  <c r="AU324" i="2"/>
  <c r="AO325" i="2"/>
  <c r="AP325" i="2"/>
  <c r="AQ325" i="2" s="1"/>
  <c r="AR325" i="2" s="1"/>
  <c r="AT325" i="2"/>
  <c r="AU325" i="2"/>
  <c r="AO326" i="2"/>
  <c r="AP326" i="2"/>
  <c r="AQ326" i="2" s="1"/>
  <c r="AT326" i="2"/>
  <c r="AU326" i="2"/>
  <c r="AO327" i="2"/>
  <c r="AP327" i="2"/>
  <c r="AQ327" i="2" s="1"/>
  <c r="AT327" i="2"/>
  <c r="AU327" i="2"/>
  <c r="AO328" i="2"/>
  <c r="AP328" i="2"/>
  <c r="AQ328" i="2" s="1"/>
  <c r="AR328" i="2" s="1"/>
  <c r="AT328" i="2"/>
  <c r="AU328" i="2"/>
  <c r="AO329" i="2"/>
  <c r="AP329" i="2"/>
  <c r="AQ329" i="2" s="1"/>
  <c r="AT329" i="2"/>
  <c r="AU329" i="2"/>
  <c r="AO330" i="2"/>
  <c r="AP330" i="2"/>
  <c r="AQ330" i="2" s="1"/>
  <c r="AR330" i="2" s="1"/>
  <c r="AT330" i="2"/>
  <c r="AU330" i="2"/>
  <c r="AO142" i="2"/>
  <c r="AP142" i="2"/>
  <c r="AQ142" i="2" s="1"/>
  <c r="AR142" i="2" s="1"/>
  <c r="AT142" i="2"/>
  <c r="AU142" i="2"/>
  <c r="AO143" i="2"/>
  <c r="AP143" i="2"/>
  <c r="AQ143" i="2"/>
  <c r="AT143" i="2"/>
  <c r="AU143" i="2"/>
  <c r="AO144" i="2"/>
  <c r="AP144" i="2"/>
  <c r="AQ144" i="2"/>
  <c r="AR144" i="2" s="1"/>
  <c r="AT144" i="2"/>
  <c r="AU144" i="2"/>
  <c r="AO145" i="2"/>
  <c r="AP145" i="2"/>
  <c r="AQ145" i="2"/>
  <c r="AT145" i="2"/>
  <c r="AU145" i="2"/>
  <c r="AO146" i="2"/>
  <c r="AP146" i="2"/>
  <c r="AQ146" i="2" s="1"/>
  <c r="AR146" i="2" s="1"/>
  <c r="AT146" i="2"/>
  <c r="AU146" i="2"/>
  <c r="AO147" i="2"/>
  <c r="AP147" i="2"/>
  <c r="AQ147" i="2" s="1"/>
  <c r="AT147" i="2"/>
  <c r="AU147" i="2"/>
  <c r="AO148" i="2"/>
  <c r="AP148" i="2"/>
  <c r="AQ148" i="2"/>
  <c r="AR148" i="2" s="1"/>
  <c r="AT148" i="2"/>
  <c r="AU148" i="2"/>
  <c r="AO149" i="2"/>
  <c r="AP149" i="2"/>
  <c r="AQ149" i="2"/>
  <c r="AT149" i="2"/>
  <c r="AU149" i="2"/>
  <c r="AO150" i="2"/>
  <c r="AP150" i="2"/>
  <c r="AQ150" i="2" s="1"/>
  <c r="AR150" i="2" s="1"/>
  <c r="AT150" i="2"/>
  <c r="AU150" i="2"/>
  <c r="AO151" i="2"/>
  <c r="AP151" i="2"/>
  <c r="AQ151" i="2" s="1"/>
  <c r="AR151" i="2" s="1"/>
  <c r="AT151" i="2"/>
  <c r="AU151" i="2"/>
  <c r="AO152" i="2"/>
  <c r="AP152" i="2"/>
  <c r="AQ152" i="2" s="1"/>
  <c r="AT152" i="2"/>
  <c r="AU152" i="2"/>
  <c r="AO153" i="2"/>
  <c r="AP153" i="2"/>
  <c r="AQ153" i="2" s="1"/>
  <c r="AR153" i="2" s="1"/>
  <c r="AT153" i="2"/>
  <c r="AU153" i="2"/>
  <c r="AO154" i="2"/>
  <c r="AP154" i="2"/>
  <c r="AQ154" i="2"/>
  <c r="AT154" i="2"/>
  <c r="AU154" i="2"/>
  <c r="AO155" i="2"/>
  <c r="AP155" i="2"/>
  <c r="AQ155" i="2" s="1"/>
  <c r="AT155" i="2"/>
  <c r="AU155" i="2"/>
  <c r="AO156" i="2"/>
  <c r="AP156" i="2"/>
  <c r="AQ156" i="2" s="1"/>
  <c r="AT156" i="2"/>
  <c r="AU156" i="2"/>
  <c r="AO157" i="2"/>
  <c r="AP157" i="2"/>
  <c r="AQ157" i="2" s="1"/>
  <c r="AR157" i="2" s="1"/>
  <c r="AT157" i="2"/>
  <c r="AU157" i="2"/>
  <c r="AO158" i="2"/>
  <c r="AP158" i="2"/>
  <c r="AQ158" i="2"/>
  <c r="AT158" i="2"/>
  <c r="AU158" i="2"/>
  <c r="AO159" i="2"/>
  <c r="AP159" i="2"/>
  <c r="AQ159" i="2"/>
  <c r="AR159" i="2"/>
  <c r="AT159" i="2"/>
  <c r="AU159" i="2"/>
  <c r="AO160" i="2"/>
  <c r="AP160" i="2"/>
  <c r="AQ160" i="2" s="1"/>
  <c r="AR160" i="2" s="1"/>
  <c r="AT160" i="2"/>
  <c r="AU160" i="2"/>
  <c r="AO161" i="2"/>
  <c r="AP161" i="2"/>
  <c r="AQ161" i="2"/>
  <c r="AR161" i="2"/>
  <c r="AT161" i="2"/>
  <c r="AU161" i="2"/>
  <c r="AO162" i="2"/>
  <c r="AP162" i="2"/>
  <c r="AQ162" i="2"/>
  <c r="AT162" i="2"/>
  <c r="AU162" i="2"/>
  <c r="AO163" i="2"/>
  <c r="AP163" i="2"/>
  <c r="AQ163" i="2" s="1"/>
  <c r="AR163" i="2" s="1"/>
  <c r="AT163" i="2"/>
  <c r="AU163" i="2"/>
  <c r="AO164" i="2"/>
  <c r="AP164" i="2"/>
  <c r="AQ164" i="2" s="1"/>
  <c r="AT164" i="2"/>
  <c r="AU164" i="2"/>
  <c r="AO165" i="2"/>
  <c r="AP165" i="2"/>
  <c r="AQ165" i="2" s="1"/>
  <c r="AR165" i="2" s="1"/>
  <c r="AW165" i="2" s="1"/>
  <c r="AT165" i="2"/>
  <c r="AU165" i="2"/>
  <c r="AO166" i="2"/>
  <c r="AP166" i="2"/>
  <c r="AQ166" i="2" s="1"/>
  <c r="AR166" i="2" s="1"/>
  <c r="AT166" i="2"/>
  <c r="AU166" i="2"/>
  <c r="AO167" i="2"/>
  <c r="AP167" i="2"/>
  <c r="AQ167" i="2" s="1"/>
  <c r="AR167" i="2" s="1"/>
  <c r="AT167" i="2"/>
  <c r="AU167" i="2"/>
  <c r="AO168" i="2"/>
  <c r="AP168" i="2"/>
  <c r="AQ168" i="2" s="1"/>
  <c r="AT168" i="2"/>
  <c r="AU168" i="2"/>
  <c r="AO169" i="2"/>
  <c r="AP169" i="2"/>
  <c r="AQ169" i="2" s="1"/>
  <c r="AR169" i="2" s="1"/>
  <c r="AT169" i="2"/>
  <c r="AU169" i="2"/>
  <c r="AO170" i="2"/>
  <c r="AP170" i="2"/>
  <c r="AQ170" i="2" s="1"/>
  <c r="AR170" i="2" s="1"/>
  <c r="AT170" i="2"/>
  <c r="AU170" i="2"/>
  <c r="AO171" i="2"/>
  <c r="AP171" i="2"/>
  <c r="AQ171" i="2" s="1"/>
  <c r="AT171" i="2"/>
  <c r="AU171" i="2"/>
  <c r="AO172" i="2"/>
  <c r="AP172" i="2"/>
  <c r="AQ172" i="2" s="1"/>
  <c r="AR172" i="2" s="1"/>
  <c r="AT172" i="2"/>
  <c r="AU172" i="2"/>
  <c r="AO173" i="2"/>
  <c r="AP173" i="2"/>
  <c r="AQ173" i="2" s="1"/>
  <c r="AT173" i="2"/>
  <c r="AU173" i="2"/>
  <c r="AO174" i="2"/>
  <c r="AP174" i="2"/>
  <c r="AQ174" i="2" s="1"/>
  <c r="AT174" i="2"/>
  <c r="AU174" i="2"/>
  <c r="AO175" i="2"/>
  <c r="AP175" i="2"/>
  <c r="AQ175" i="2"/>
  <c r="AR175" i="2" s="1"/>
  <c r="AT175" i="2"/>
  <c r="AU175" i="2"/>
  <c r="AO176" i="2"/>
  <c r="AP176" i="2"/>
  <c r="AQ176" i="2"/>
  <c r="AR176" i="2" s="1"/>
  <c r="AT176" i="2"/>
  <c r="AU176" i="2"/>
  <c r="AO177" i="2"/>
  <c r="AP177" i="2"/>
  <c r="AQ177" i="2" s="1"/>
  <c r="AR177" i="2" s="1"/>
  <c r="AT177" i="2"/>
  <c r="AU177" i="2"/>
  <c r="AO178" i="2"/>
  <c r="AP178" i="2"/>
  <c r="AQ178" i="2" s="1"/>
  <c r="AR178" i="2" s="1"/>
  <c r="AT178" i="2"/>
  <c r="AU178" i="2"/>
  <c r="AO179" i="2"/>
  <c r="AP179" i="2"/>
  <c r="AQ179" i="2"/>
  <c r="AR179" i="2" s="1"/>
  <c r="AT179" i="2"/>
  <c r="AU179" i="2"/>
  <c r="AO180" i="2"/>
  <c r="AP180" i="2"/>
  <c r="AQ180" i="2"/>
  <c r="AR180" i="2"/>
  <c r="AT180" i="2"/>
  <c r="AU180" i="2"/>
  <c r="AO181" i="2"/>
  <c r="AP181" i="2"/>
  <c r="AQ181" i="2" s="1"/>
  <c r="AR181" i="2" s="1"/>
  <c r="AT181" i="2"/>
  <c r="AU181" i="2"/>
  <c r="AO182" i="2"/>
  <c r="AP182" i="2"/>
  <c r="AQ182" i="2"/>
  <c r="AR182" i="2"/>
  <c r="AT182" i="2"/>
  <c r="AU182" i="2"/>
  <c r="AO183" i="2"/>
  <c r="AP183" i="2"/>
  <c r="AQ183" i="2" s="1"/>
  <c r="AR183" i="2" s="1"/>
  <c r="AT183" i="2"/>
  <c r="AU183" i="2"/>
  <c r="AO184" i="2"/>
  <c r="AP184" i="2"/>
  <c r="AQ184" i="2" s="1"/>
  <c r="AR184" i="2" s="1"/>
  <c r="AT184" i="2"/>
  <c r="AU184" i="2"/>
  <c r="AO185" i="2"/>
  <c r="AP185" i="2"/>
  <c r="AQ185" i="2" s="1"/>
  <c r="AR185" i="2" s="1"/>
  <c r="AT185" i="2"/>
  <c r="AU185" i="2"/>
  <c r="AO186" i="2"/>
  <c r="AP186" i="2"/>
  <c r="AQ186" i="2"/>
  <c r="AT186" i="2"/>
  <c r="AU186" i="2"/>
  <c r="AO187" i="2"/>
  <c r="AP187" i="2"/>
  <c r="AQ187" i="2" s="1"/>
  <c r="AR187" i="2" s="1"/>
  <c r="AT187" i="2"/>
  <c r="AU187" i="2"/>
  <c r="AO188" i="2"/>
  <c r="AP188" i="2"/>
  <c r="AQ188" i="2" s="1"/>
  <c r="AT188" i="2"/>
  <c r="AU188" i="2"/>
  <c r="AO189" i="2"/>
  <c r="AP189" i="2"/>
  <c r="AQ189" i="2"/>
  <c r="AR189" i="2"/>
  <c r="AX189" i="2" s="1"/>
  <c r="L189" i="2" s="1"/>
  <c r="G189" i="4" s="1"/>
  <c r="H189" i="4" s="1"/>
  <c r="AT189" i="2"/>
  <c r="AU189" i="2"/>
  <c r="AO190" i="2"/>
  <c r="AP190" i="2"/>
  <c r="AQ190" i="2" s="1"/>
  <c r="AR190" i="2" s="1"/>
  <c r="AT190" i="2"/>
  <c r="AU190" i="2"/>
  <c r="AO191" i="2"/>
  <c r="AP191" i="2"/>
  <c r="AQ191" i="2"/>
  <c r="AR191" i="2"/>
  <c r="AT191" i="2"/>
  <c r="AU191" i="2"/>
  <c r="AO192" i="2"/>
  <c r="AP192" i="2"/>
  <c r="AQ192" i="2" s="1"/>
  <c r="AT192" i="2"/>
  <c r="AU192" i="2"/>
  <c r="AO193" i="2"/>
  <c r="AP193" i="2"/>
  <c r="AQ193" i="2"/>
  <c r="AR193" i="2" s="1"/>
  <c r="AT193" i="2"/>
  <c r="AU193" i="2"/>
  <c r="AO194" i="2"/>
  <c r="AP194" i="2"/>
  <c r="AQ194" i="2" s="1"/>
  <c r="AR194" i="2" s="1"/>
  <c r="AT194" i="2"/>
  <c r="AU194" i="2"/>
  <c r="AO195" i="2"/>
  <c r="AP195" i="2"/>
  <c r="AQ195" i="2"/>
  <c r="AR195" i="2"/>
  <c r="AT195" i="2"/>
  <c r="AU195" i="2"/>
  <c r="AO196" i="2"/>
  <c r="AP196" i="2"/>
  <c r="AQ196" i="2" s="1"/>
  <c r="AR196" i="2" s="1"/>
  <c r="AT196" i="2"/>
  <c r="AU196" i="2"/>
  <c r="AO197" i="2"/>
  <c r="AP197" i="2"/>
  <c r="AQ197" i="2" s="1"/>
  <c r="AR197" i="2" s="1"/>
  <c r="AT197" i="2"/>
  <c r="AU197" i="2"/>
  <c r="AO198" i="2"/>
  <c r="AP198" i="2"/>
  <c r="AQ198" i="2"/>
  <c r="AR198" i="2"/>
  <c r="AW198" i="2" s="1"/>
  <c r="AT198" i="2"/>
  <c r="AU198" i="2"/>
  <c r="AO199" i="2"/>
  <c r="AP199" i="2"/>
  <c r="AQ199" i="2" s="1"/>
  <c r="AR199" i="2" s="1"/>
  <c r="AT199" i="2"/>
  <c r="AU199" i="2"/>
  <c r="AO200" i="2"/>
  <c r="AP200" i="2"/>
  <c r="AQ200" i="2"/>
  <c r="AR200" i="2"/>
  <c r="AT200" i="2"/>
  <c r="AU200" i="2"/>
  <c r="AO201" i="2"/>
  <c r="AP201" i="2"/>
  <c r="AQ201" i="2" s="1"/>
  <c r="AR201" i="2" s="1"/>
  <c r="AT201" i="2"/>
  <c r="AU201" i="2"/>
  <c r="AO202" i="2"/>
  <c r="AP202" i="2"/>
  <c r="AQ202" i="2"/>
  <c r="AR202" i="2" s="1"/>
  <c r="AT202" i="2"/>
  <c r="AU202" i="2"/>
  <c r="AO203" i="2"/>
  <c r="AP203" i="2"/>
  <c r="AQ203" i="2" s="1"/>
  <c r="AT203" i="2"/>
  <c r="AU203" i="2"/>
  <c r="AO204" i="2"/>
  <c r="AP204" i="2"/>
  <c r="AQ204" i="2"/>
  <c r="AR204" i="2" s="1"/>
  <c r="AT204" i="2"/>
  <c r="AU204" i="2"/>
  <c r="AO205" i="2"/>
  <c r="AP205" i="2"/>
  <c r="AQ205" i="2" s="1"/>
  <c r="AR205" i="2" s="1"/>
  <c r="AT205" i="2"/>
  <c r="AU205" i="2"/>
  <c r="AO206" i="2"/>
  <c r="AP206" i="2"/>
  <c r="AQ206" i="2" s="1"/>
  <c r="AR206" i="2" s="1"/>
  <c r="AT206" i="2"/>
  <c r="AU206" i="2"/>
  <c r="AO207" i="2"/>
  <c r="AP207" i="2"/>
  <c r="AQ207" i="2" s="1"/>
  <c r="AT207" i="2"/>
  <c r="AU207" i="2"/>
  <c r="AO208" i="2"/>
  <c r="AP208" i="2"/>
  <c r="AQ208" i="2" s="1"/>
  <c r="AR208" i="2" s="1"/>
  <c r="AT208" i="2"/>
  <c r="AU208" i="2"/>
  <c r="AO209" i="2"/>
  <c r="AP209" i="2"/>
  <c r="AQ209" i="2" s="1"/>
  <c r="AT209" i="2"/>
  <c r="AU209" i="2"/>
  <c r="AO210" i="2"/>
  <c r="AP210" i="2"/>
  <c r="AQ210" i="2"/>
  <c r="AR210" i="2"/>
  <c r="AW210" i="2" s="1"/>
  <c r="AT210" i="2"/>
  <c r="AU210" i="2"/>
  <c r="AO211" i="2"/>
  <c r="AP211" i="2"/>
  <c r="AQ211" i="2" s="1"/>
  <c r="AR211" i="2" s="1"/>
  <c r="AT211" i="2"/>
  <c r="AU211" i="2"/>
  <c r="AO212" i="2"/>
  <c r="AP212" i="2"/>
  <c r="AQ212" i="2" s="1"/>
  <c r="AR212" i="2" s="1"/>
  <c r="AT212" i="2"/>
  <c r="AU212" i="2"/>
  <c r="AO213" i="2"/>
  <c r="AP213" i="2"/>
  <c r="AQ213" i="2" s="1"/>
  <c r="AR213" i="2" s="1"/>
  <c r="AT213" i="2"/>
  <c r="AU213" i="2"/>
  <c r="AO214" i="2"/>
  <c r="AP214" i="2"/>
  <c r="AQ214" i="2"/>
  <c r="AR214" i="2" s="1"/>
  <c r="AT214" i="2"/>
  <c r="AU214" i="2"/>
  <c r="AO215" i="2"/>
  <c r="AP215" i="2"/>
  <c r="AQ215" i="2" s="1"/>
  <c r="AR215" i="2" s="1"/>
  <c r="AT215" i="2"/>
  <c r="AU215" i="2"/>
  <c r="AO216" i="2"/>
  <c r="AP216" i="2"/>
  <c r="AQ216" i="2"/>
  <c r="AR216" i="2" s="1"/>
  <c r="AT216" i="2"/>
  <c r="AU216" i="2"/>
  <c r="AO217" i="2"/>
  <c r="AP217" i="2"/>
  <c r="AQ217" i="2" s="1"/>
  <c r="AR217" i="2" s="1"/>
  <c r="AT217" i="2"/>
  <c r="AU217" i="2"/>
  <c r="AO218" i="2"/>
  <c r="AP218" i="2"/>
  <c r="AQ218" i="2" s="1"/>
  <c r="AR218" i="2" s="1"/>
  <c r="AT218" i="2"/>
  <c r="AU218" i="2"/>
  <c r="AO219" i="2"/>
  <c r="AP219" i="2"/>
  <c r="AQ219" i="2"/>
  <c r="AR219" i="2" s="1"/>
  <c r="AT219" i="2"/>
  <c r="AU219" i="2"/>
  <c r="AO220" i="2"/>
  <c r="AP220" i="2"/>
  <c r="AQ220" i="2" s="1"/>
  <c r="AR220" i="2" s="1"/>
  <c r="AT220" i="2"/>
  <c r="AU220" i="2"/>
  <c r="AO221" i="2"/>
  <c r="AP221" i="2"/>
  <c r="AQ221" i="2" s="1"/>
  <c r="AR221" i="2" s="1"/>
  <c r="AT221" i="2"/>
  <c r="AU221" i="2"/>
  <c r="AO222" i="2"/>
  <c r="AP222" i="2"/>
  <c r="AQ222" i="2" s="1"/>
  <c r="AT222" i="2"/>
  <c r="AU222" i="2"/>
  <c r="AO223" i="2"/>
  <c r="AP223" i="2"/>
  <c r="AQ223" i="2" s="1"/>
  <c r="AR223" i="2" s="1"/>
  <c r="AT223" i="2"/>
  <c r="AU223" i="2"/>
  <c r="AO224" i="2"/>
  <c r="AP224" i="2"/>
  <c r="AQ224" i="2" s="1"/>
  <c r="AT224" i="2"/>
  <c r="AU224" i="2"/>
  <c r="AO225" i="2"/>
  <c r="AP225" i="2"/>
  <c r="AQ225" i="2"/>
  <c r="AR225" i="2"/>
  <c r="AW225" i="2" s="1"/>
  <c r="AT225" i="2"/>
  <c r="AU225" i="2"/>
  <c r="AO226" i="2"/>
  <c r="AP226" i="2"/>
  <c r="AQ226" i="2"/>
  <c r="AR226" i="2" s="1"/>
  <c r="AT226" i="2"/>
  <c r="AU226" i="2"/>
  <c r="AO227" i="2"/>
  <c r="AP227" i="2"/>
  <c r="AQ227" i="2" s="1"/>
  <c r="AR227" i="2" s="1"/>
  <c r="AT227" i="2"/>
  <c r="AU227" i="2"/>
  <c r="AO228" i="2"/>
  <c r="AP228" i="2"/>
  <c r="AQ228" i="2" s="1"/>
  <c r="AT228" i="2"/>
  <c r="AU228" i="2"/>
  <c r="AO229" i="2"/>
  <c r="AP229" i="2"/>
  <c r="AQ229" i="2"/>
  <c r="AR229" i="2" s="1"/>
  <c r="AT229" i="2"/>
  <c r="AU229" i="2"/>
  <c r="AO230" i="2"/>
  <c r="AP230" i="2"/>
  <c r="AQ230" i="2"/>
  <c r="AR230" i="2" s="1"/>
  <c r="AT230" i="2"/>
  <c r="AU230" i="2"/>
  <c r="AO231" i="2"/>
  <c r="AP231" i="2"/>
  <c r="AQ231" i="2"/>
  <c r="AR231" i="2"/>
  <c r="AT231" i="2"/>
  <c r="AU231" i="2"/>
  <c r="AO232" i="2"/>
  <c r="AP232" i="2"/>
  <c r="AQ232" i="2"/>
  <c r="AR232" i="2" s="1"/>
  <c r="AT232" i="2"/>
  <c r="AU232" i="2"/>
  <c r="AO233" i="2"/>
  <c r="AP233" i="2"/>
  <c r="AQ233" i="2" s="1"/>
  <c r="AR233" i="2" s="1"/>
  <c r="AT233" i="2"/>
  <c r="AU233" i="2"/>
  <c r="AO234" i="2"/>
  <c r="AP234" i="2"/>
  <c r="AQ234" i="2" s="1"/>
  <c r="AR234" i="2" s="1"/>
  <c r="AT234" i="2"/>
  <c r="AU234" i="2"/>
  <c r="AO235" i="2"/>
  <c r="AP235" i="2"/>
  <c r="AQ235" i="2"/>
  <c r="AR235" i="2" s="1"/>
  <c r="AT235" i="2"/>
  <c r="AU235" i="2"/>
  <c r="AO236" i="2"/>
  <c r="AP236" i="2"/>
  <c r="AQ236" i="2" s="1"/>
  <c r="AR236" i="2" s="1"/>
  <c r="AT236" i="2"/>
  <c r="AU236" i="2"/>
  <c r="AO237" i="2"/>
  <c r="AP237" i="2"/>
  <c r="AQ237" i="2"/>
  <c r="AR237" i="2"/>
  <c r="AT237" i="2"/>
  <c r="AU237" i="2"/>
  <c r="AO238" i="2"/>
  <c r="AP238" i="2"/>
  <c r="AQ238" i="2" s="1"/>
  <c r="AR238" i="2" s="1"/>
  <c r="AT238" i="2"/>
  <c r="AU238" i="2"/>
  <c r="AO239" i="2"/>
  <c r="AP239" i="2"/>
  <c r="AQ239" i="2" s="1"/>
  <c r="AT239" i="2"/>
  <c r="AU239" i="2"/>
  <c r="AO240" i="2"/>
  <c r="AP240" i="2"/>
  <c r="AQ240" i="2"/>
  <c r="AR240" i="2"/>
  <c r="AW240" i="2" s="1"/>
  <c r="AT240" i="2"/>
  <c r="AU240" i="2"/>
  <c r="AO241" i="2"/>
  <c r="AP241" i="2"/>
  <c r="AQ241" i="2" s="1"/>
  <c r="AR241" i="2" s="1"/>
  <c r="AT241" i="2"/>
  <c r="AU241" i="2"/>
  <c r="AO242" i="2"/>
  <c r="AP242" i="2"/>
  <c r="AQ242" i="2"/>
  <c r="AR242" i="2"/>
  <c r="AT242" i="2"/>
  <c r="AU242" i="2"/>
  <c r="AO243" i="2"/>
  <c r="AP243" i="2"/>
  <c r="AQ243" i="2" s="1"/>
  <c r="AT243" i="2"/>
  <c r="AU243" i="2"/>
  <c r="AO244" i="2"/>
  <c r="AP244" i="2"/>
  <c r="AQ244" i="2"/>
  <c r="AT244" i="2"/>
  <c r="AU244" i="2"/>
  <c r="AO245" i="2"/>
  <c r="AP245" i="2"/>
  <c r="AQ245" i="2" s="1"/>
  <c r="AT245" i="2"/>
  <c r="AU245" i="2"/>
  <c r="AO246" i="2"/>
  <c r="AP246" i="2"/>
  <c r="AQ246" i="2" s="1"/>
  <c r="AR246" i="2" s="1"/>
  <c r="AT246" i="2"/>
  <c r="AU246" i="2"/>
  <c r="AO247" i="2"/>
  <c r="AP247" i="2"/>
  <c r="AQ247" i="2"/>
  <c r="AT247" i="2"/>
  <c r="AU247" i="2"/>
  <c r="AO248" i="2"/>
  <c r="AP248" i="2"/>
  <c r="AQ248" i="2" s="1"/>
  <c r="AR248" i="2" s="1"/>
  <c r="AT248" i="2"/>
  <c r="AU248" i="2"/>
  <c r="AO249" i="2"/>
  <c r="AP249" i="2"/>
  <c r="AQ249" i="2" s="1"/>
  <c r="AR249" i="2" s="1"/>
  <c r="AT249" i="2"/>
  <c r="AU249" i="2"/>
  <c r="AO250" i="2"/>
  <c r="AP250" i="2"/>
  <c r="AQ250" i="2"/>
  <c r="AT250" i="2"/>
  <c r="AU250" i="2"/>
  <c r="AO251" i="2"/>
  <c r="AP251" i="2"/>
  <c r="AQ251" i="2"/>
  <c r="AR251" i="2" s="1"/>
  <c r="AT251" i="2"/>
  <c r="AU251" i="2"/>
  <c r="AO252" i="2"/>
  <c r="AP252" i="2"/>
  <c r="AQ252" i="2"/>
  <c r="AR252" i="2"/>
  <c r="AT252" i="2"/>
  <c r="AU252" i="2"/>
  <c r="AO253" i="2"/>
  <c r="AP253" i="2"/>
  <c r="AQ253" i="2"/>
  <c r="AT253" i="2"/>
  <c r="AU253" i="2"/>
  <c r="AO254" i="2"/>
  <c r="AP254" i="2"/>
  <c r="AQ254" i="2" s="1"/>
  <c r="AR254" i="2" s="1"/>
  <c r="AT254" i="2"/>
  <c r="AU254" i="2"/>
  <c r="AO255" i="2"/>
  <c r="AP255" i="2"/>
  <c r="AQ255" i="2"/>
  <c r="AR255" i="2"/>
  <c r="AW255" i="2" s="1"/>
  <c r="AT255" i="2"/>
  <c r="AU255" i="2"/>
  <c r="AO256" i="2"/>
  <c r="AP256" i="2"/>
  <c r="AQ256" i="2" s="1"/>
  <c r="AT256" i="2"/>
  <c r="AU256" i="2"/>
  <c r="AO111" i="2"/>
  <c r="AP111" i="2"/>
  <c r="AQ111" i="2"/>
  <c r="AT111" i="2"/>
  <c r="AU111" i="2"/>
  <c r="AO112" i="2"/>
  <c r="AP112" i="2"/>
  <c r="AQ112" i="2"/>
  <c r="AT112" i="2"/>
  <c r="AU112" i="2"/>
  <c r="AO113" i="2"/>
  <c r="AP113" i="2"/>
  <c r="AQ113" i="2" s="1"/>
  <c r="AT113" i="2"/>
  <c r="AU113" i="2"/>
  <c r="AO114" i="2"/>
  <c r="AP114" i="2"/>
  <c r="AQ114" i="2" s="1"/>
  <c r="AR114" i="2" s="1"/>
  <c r="AT114" i="2"/>
  <c r="AU114" i="2"/>
  <c r="AO115" i="2"/>
  <c r="AP115" i="2"/>
  <c r="AQ115" i="2" s="1"/>
  <c r="AT115" i="2"/>
  <c r="AU115" i="2"/>
  <c r="AO116" i="2"/>
  <c r="AP116" i="2"/>
  <c r="AQ116" i="2"/>
  <c r="AR116" i="2"/>
  <c r="AT116" i="2"/>
  <c r="AU116" i="2"/>
  <c r="AO117" i="2"/>
  <c r="AP117" i="2"/>
  <c r="AQ117" i="2" s="1"/>
  <c r="AT117" i="2"/>
  <c r="AU117" i="2"/>
  <c r="AO118" i="2"/>
  <c r="AP118" i="2"/>
  <c r="AQ118" i="2" s="1"/>
  <c r="AT118" i="2"/>
  <c r="AU118" i="2"/>
  <c r="AO119" i="2"/>
  <c r="AP119" i="2"/>
  <c r="AQ119" i="2"/>
  <c r="AT119" i="2"/>
  <c r="AU119" i="2"/>
  <c r="AO120" i="2"/>
  <c r="AP120" i="2"/>
  <c r="AQ120" i="2"/>
  <c r="AR120" i="2" s="1"/>
  <c r="AT120" i="2"/>
  <c r="AU120" i="2"/>
  <c r="AO121" i="2"/>
  <c r="AP121" i="2"/>
  <c r="AQ121" i="2" s="1"/>
  <c r="AT121" i="2"/>
  <c r="AU121" i="2"/>
  <c r="AO122" i="2"/>
  <c r="AP122" i="2"/>
  <c r="AQ122" i="2" s="1"/>
  <c r="AT122" i="2"/>
  <c r="AU122" i="2"/>
  <c r="AO123" i="2"/>
  <c r="AP123" i="2"/>
  <c r="AQ123" i="2" s="1"/>
  <c r="AT123" i="2"/>
  <c r="AU123" i="2"/>
  <c r="AO124" i="2"/>
  <c r="AP124" i="2"/>
  <c r="AQ124" i="2" s="1"/>
  <c r="AT124" i="2"/>
  <c r="AU124" i="2"/>
  <c r="AO125" i="2"/>
  <c r="AP125" i="2"/>
  <c r="AQ125" i="2" s="1"/>
  <c r="AT125" i="2"/>
  <c r="AU125" i="2"/>
  <c r="AO126" i="2"/>
  <c r="AP126" i="2"/>
  <c r="AQ126" i="2" s="1"/>
  <c r="AR126" i="2" s="1"/>
  <c r="AT126" i="2"/>
  <c r="AU126" i="2"/>
  <c r="AO127" i="2"/>
  <c r="AP127" i="2"/>
  <c r="AQ127" i="2" s="1"/>
  <c r="AT127" i="2"/>
  <c r="AU127" i="2"/>
  <c r="AO128" i="2"/>
  <c r="AP128" i="2"/>
  <c r="AQ128" i="2"/>
  <c r="AT128" i="2"/>
  <c r="AU128" i="2"/>
  <c r="AO129" i="2"/>
  <c r="AP129" i="2"/>
  <c r="AQ129" i="2" s="1"/>
  <c r="AR129" i="2" s="1"/>
  <c r="AT129" i="2"/>
  <c r="AU129" i="2"/>
  <c r="AO130" i="2"/>
  <c r="AP130" i="2"/>
  <c r="AQ130" i="2"/>
  <c r="AT130" i="2"/>
  <c r="AU130" i="2"/>
  <c r="AO131" i="2"/>
  <c r="AP131" i="2"/>
  <c r="AQ131" i="2" s="1"/>
  <c r="AR131" i="2" s="1"/>
  <c r="AT131" i="2"/>
  <c r="AU131" i="2"/>
  <c r="AO132" i="2"/>
  <c r="AP132" i="2"/>
  <c r="AQ132" i="2" s="1"/>
  <c r="AT132" i="2"/>
  <c r="AU132" i="2"/>
  <c r="AO133" i="2"/>
  <c r="AP133" i="2"/>
  <c r="AQ133" i="2" s="1"/>
  <c r="AT133" i="2"/>
  <c r="AU133" i="2"/>
  <c r="AO134" i="2"/>
  <c r="AP134" i="2"/>
  <c r="AQ134" i="2" s="1"/>
  <c r="AT134" i="2"/>
  <c r="AU134" i="2"/>
  <c r="AO135" i="2"/>
  <c r="AP135" i="2"/>
  <c r="AQ135" i="2"/>
  <c r="AR135" i="2"/>
  <c r="AT135" i="2"/>
  <c r="AU135" i="2"/>
  <c r="AO136" i="2"/>
  <c r="AP136" i="2"/>
  <c r="AQ136" i="2" s="1"/>
  <c r="AT136" i="2"/>
  <c r="AU136" i="2"/>
  <c r="AO137" i="2"/>
  <c r="AP137" i="2"/>
  <c r="AQ137" i="2"/>
  <c r="AR137" i="2"/>
  <c r="AT137" i="2"/>
  <c r="AU137" i="2"/>
  <c r="AO138" i="2"/>
  <c r="AP138" i="2"/>
  <c r="AQ138" i="2" s="1"/>
  <c r="AT138" i="2"/>
  <c r="AU138" i="2"/>
  <c r="AO139" i="2"/>
  <c r="AP139" i="2"/>
  <c r="AQ139" i="2"/>
  <c r="AT139" i="2"/>
  <c r="AU139" i="2"/>
  <c r="AO140" i="2"/>
  <c r="AP140" i="2"/>
  <c r="AQ140" i="2" s="1"/>
  <c r="AT140" i="2"/>
  <c r="AU140" i="2"/>
  <c r="AO141" i="2"/>
  <c r="AP141" i="2"/>
  <c r="AQ141" i="2" s="1"/>
  <c r="AT141" i="2"/>
  <c r="AU141" i="2"/>
  <c r="F11" i="2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D1" i="2"/>
  <c r="C6" i="4"/>
  <c r="C5" i="4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W4" i="4" a="1"/>
  <c r="W4" i="4" s="1"/>
  <c r="F4" i="4" s="1"/>
  <c r="H10" i="4" s="1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" i="4"/>
  <c r="C8" i="4"/>
  <c r="C4" i="4"/>
  <c r="C3" i="4"/>
  <c r="I1" i="4"/>
  <c r="A48" i="1"/>
  <c r="A47" i="1"/>
  <c r="A46" i="1"/>
  <c r="A45" i="1"/>
  <c r="A44" i="1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5" i="2"/>
  <c r="AP16" i="2"/>
  <c r="AP17" i="2"/>
  <c r="AP18" i="2"/>
  <c r="AP19" i="2"/>
  <c r="AP20" i="2"/>
  <c r="AP21" i="2"/>
  <c r="AP22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4" i="1"/>
  <c r="AW472" i="2" l="1"/>
  <c r="AX472" i="2"/>
  <c r="L472" i="2" s="1"/>
  <c r="G472" i="4" s="1"/>
  <c r="AW234" i="2"/>
  <c r="AX234" i="2"/>
  <c r="L234" i="2" s="1"/>
  <c r="G234" i="4" s="1"/>
  <c r="H234" i="4" s="1"/>
  <c r="AW393" i="2"/>
  <c r="AX289" i="2"/>
  <c r="L289" i="2" s="1"/>
  <c r="G289" i="4" s="1"/>
  <c r="H289" i="4" s="1"/>
  <c r="AR329" i="2"/>
  <c r="AX329" i="2" s="1"/>
  <c r="L329" i="2" s="1"/>
  <c r="G329" i="4" s="1"/>
  <c r="H329" i="4" s="1"/>
  <c r="AR362" i="2"/>
  <c r="AX362" i="2" s="1"/>
  <c r="L362" i="2" s="1"/>
  <c r="G362" i="4" s="1"/>
  <c r="H362" i="4" s="1"/>
  <c r="AW129" i="2"/>
  <c r="AW254" i="2"/>
  <c r="AX364" i="2"/>
  <c r="L364" i="2" s="1"/>
  <c r="G364" i="4" s="1"/>
  <c r="H364" i="4" s="1"/>
  <c r="AW451" i="2"/>
  <c r="AW445" i="2"/>
  <c r="AW385" i="2"/>
  <c r="AW355" i="2"/>
  <c r="AW295" i="2"/>
  <c r="AX150" i="2"/>
  <c r="L150" i="2" s="1"/>
  <c r="G150" i="4" s="1"/>
  <c r="H150" i="4" s="1"/>
  <c r="AR350" i="2"/>
  <c r="AW350" i="2" s="1"/>
  <c r="AW332" i="2"/>
  <c r="AW475" i="2"/>
  <c r="AX376" i="2"/>
  <c r="L376" i="2" s="1"/>
  <c r="G376" i="4" s="1"/>
  <c r="H376" i="4" s="1"/>
  <c r="AW359" i="2"/>
  <c r="AR357" i="2"/>
  <c r="AW357" i="2" s="1"/>
  <c r="AR352" i="2"/>
  <c r="AW352" i="2" s="1"/>
  <c r="AW167" i="2"/>
  <c r="AR119" i="2"/>
  <c r="AW119" i="2" s="1"/>
  <c r="AX390" i="2"/>
  <c r="L390" i="2" s="1"/>
  <c r="G390" i="4" s="1"/>
  <c r="H390" i="4" s="1"/>
  <c r="AR465" i="2"/>
  <c r="AX225" i="2"/>
  <c r="L225" i="2" s="1"/>
  <c r="G225" i="4" s="1"/>
  <c r="H225" i="4" s="1"/>
  <c r="AR158" i="2"/>
  <c r="AX158" i="2" s="1"/>
  <c r="L158" i="2" s="1"/>
  <c r="G158" i="4" s="1"/>
  <c r="H158" i="4" s="1"/>
  <c r="AX328" i="2"/>
  <c r="L328" i="2" s="1"/>
  <c r="G328" i="4" s="1"/>
  <c r="H328" i="4" s="1"/>
  <c r="AX346" i="2"/>
  <c r="L346" i="2" s="1"/>
  <c r="G346" i="4" s="1"/>
  <c r="H346" i="4" s="1"/>
  <c r="AW335" i="2"/>
  <c r="AX265" i="2"/>
  <c r="L265" i="2" s="1"/>
  <c r="G265" i="4" s="1"/>
  <c r="H265" i="4" s="1"/>
  <c r="AW457" i="2"/>
  <c r="AX292" i="2"/>
  <c r="L292" i="2" s="1"/>
  <c r="G292" i="4" s="1"/>
  <c r="H292" i="4" s="1"/>
  <c r="AX240" i="2"/>
  <c r="L240" i="2" s="1"/>
  <c r="G240" i="4" s="1"/>
  <c r="H240" i="4" s="1"/>
  <c r="AW189" i="2"/>
  <c r="AR269" i="2"/>
  <c r="AX269" i="2" s="1"/>
  <c r="L269" i="2" s="1"/>
  <c r="G269" i="4" s="1"/>
  <c r="H269" i="4" s="1"/>
  <c r="AR389" i="2"/>
  <c r="AW389" i="2" s="1"/>
  <c r="AR480" i="2"/>
  <c r="AX480" i="2" s="1"/>
  <c r="L480" i="2" s="1"/>
  <c r="G480" i="4" s="1"/>
  <c r="H480" i="4" s="1"/>
  <c r="AR504" i="2"/>
  <c r="AW484" i="2"/>
  <c r="AW347" i="2"/>
  <c r="AR162" i="2"/>
  <c r="AW162" i="2" s="1"/>
  <c r="AW159" i="2"/>
  <c r="AW384" i="2"/>
  <c r="AX384" i="2"/>
  <c r="L384" i="2" s="1"/>
  <c r="G384" i="4" s="1"/>
  <c r="H384" i="4" s="1"/>
  <c r="AX249" i="2"/>
  <c r="L249" i="2" s="1"/>
  <c r="G249" i="4" s="1"/>
  <c r="H249" i="4" s="1"/>
  <c r="AW249" i="2"/>
  <c r="AW177" i="2"/>
  <c r="AX177" i="2"/>
  <c r="L177" i="2" s="1"/>
  <c r="G177" i="4" s="1"/>
  <c r="H177" i="4" s="1"/>
  <c r="AX219" i="2"/>
  <c r="L219" i="2" s="1"/>
  <c r="G219" i="4" s="1"/>
  <c r="H219" i="4" s="1"/>
  <c r="AW219" i="2"/>
  <c r="AW204" i="2"/>
  <c r="AX204" i="2"/>
  <c r="L204" i="2" s="1"/>
  <c r="G204" i="4" s="1"/>
  <c r="H204" i="4" s="1"/>
  <c r="AX213" i="2"/>
  <c r="L213" i="2" s="1"/>
  <c r="G213" i="4" s="1"/>
  <c r="H213" i="4" s="1"/>
  <c r="AW213" i="2"/>
  <c r="AR138" i="2"/>
  <c r="AW138" i="2" s="1"/>
  <c r="AR121" i="2"/>
  <c r="AW121" i="2" s="1"/>
  <c r="AX246" i="2"/>
  <c r="L246" i="2" s="1"/>
  <c r="G246" i="4" s="1"/>
  <c r="H246" i="4" s="1"/>
  <c r="AW246" i="2"/>
  <c r="AR239" i="2"/>
  <c r="AW239" i="2" s="1"/>
  <c r="AR152" i="2"/>
  <c r="AW152" i="2" s="1"/>
  <c r="AR339" i="2"/>
  <c r="AW339" i="2" s="1"/>
  <c r="AW336" i="2"/>
  <c r="AR489" i="2"/>
  <c r="AW489" i="2" s="1"/>
  <c r="AW126" i="2"/>
  <c r="AW343" i="2"/>
  <c r="AW283" i="2"/>
  <c r="AR421" i="2"/>
  <c r="AW421" i="2" s="1"/>
  <c r="AW415" i="2"/>
  <c r="AX304" i="2"/>
  <c r="L304" i="2" s="1"/>
  <c r="G304" i="4" s="1"/>
  <c r="H304" i="4" s="1"/>
  <c r="AR380" i="2"/>
  <c r="AW380" i="2" s="1"/>
  <c r="AR375" i="2"/>
  <c r="AX439" i="2"/>
  <c r="L439" i="2" s="1"/>
  <c r="G439" i="4" s="1"/>
  <c r="H439" i="4" s="1"/>
  <c r="AR423" i="2"/>
  <c r="AX423" i="2" s="1"/>
  <c r="L423" i="2" s="1"/>
  <c r="G423" i="4" s="1"/>
  <c r="H423" i="4" s="1"/>
  <c r="AW406" i="2"/>
  <c r="H454" i="4"/>
  <c r="AX255" i="2"/>
  <c r="L255" i="2" s="1"/>
  <c r="G255" i="4" s="1"/>
  <c r="H255" i="4" s="1"/>
  <c r="AR382" i="2"/>
  <c r="AW382" i="2" s="1"/>
  <c r="AR409" i="2"/>
  <c r="AX409" i="2" s="1"/>
  <c r="L409" i="2" s="1"/>
  <c r="G409" i="4" s="1"/>
  <c r="H409" i="4" s="1"/>
  <c r="AR117" i="2"/>
  <c r="AW117" i="2" s="1"/>
  <c r="AR222" i="2"/>
  <c r="AW222" i="2" s="1"/>
  <c r="AW170" i="2"/>
  <c r="AR143" i="2"/>
  <c r="AW143" i="2" s="1"/>
  <c r="AR395" i="2"/>
  <c r="AW395" i="2" s="1"/>
  <c r="AR387" i="2"/>
  <c r="AW387" i="2" s="1"/>
  <c r="AR442" i="2"/>
  <c r="AX442" i="2" s="1"/>
  <c r="L442" i="2" s="1"/>
  <c r="G442" i="4" s="1"/>
  <c r="H442" i="4" s="1"/>
  <c r="AR308" i="2"/>
  <c r="AX308" i="2" s="1"/>
  <c r="L308" i="2" s="1"/>
  <c r="G308" i="4" s="1"/>
  <c r="H308" i="4" s="1"/>
  <c r="AW183" i="2"/>
  <c r="AX183" i="2"/>
  <c r="L183" i="2" s="1"/>
  <c r="G183" i="4" s="1"/>
  <c r="H183" i="4" s="1"/>
  <c r="AR188" i="2"/>
  <c r="AW188" i="2" s="1"/>
  <c r="AR305" i="2"/>
  <c r="AW305" i="2" s="1"/>
  <c r="AR281" i="2"/>
  <c r="AX281" i="2" s="1"/>
  <c r="L281" i="2" s="1"/>
  <c r="G281" i="4" s="1"/>
  <c r="H281" i="4" s="1"/>
  <c r="AX316" i="2"/>
  <c r="L316" i="2" s="1"/>
  <c r="G316" i="4" s="1"/>
  <c r="H316" i="4" s="1"/>
  <c r="AR203" i="2"/>
  <c r="AW203" i="2" s="1"/>
  <c r="AR429" i="2"/>
  <c r="AX429" i="2" s="1"/>
  <c r="L429" i="2" s="1"/>
  <c r="G429" i="4" s="1"/>
  <c r="H429" i="4" s="1"/>
  <c r="AR207" i="2"/>
  <c r="AX207" i="2" s="1"/>
  <c r="L207" i="2" s="1"/>
  <c r="G207" i="4" s="1"/>
  <c r="H207" i="4" s="1"/>
  <c r="AX198" i="2"/>
  <c r="L198" i="2" s="1"/>
  <c r="G198" i="4" s="1"/>
  <c r="H198" i="4" s="1"/>
  <c r="AW158" i="2"/>
  <c r="AR134" i="2"/>
  <c r="AW134" i="2" s="1"/>
  <c r="AR155" i="2"/>
  <c r="AW155" i="2" s="1"/>
  <c r="AR400" i="2"/>
  <c r="AW400" i="2" s="1"/>
  <c r="AR392" i="2"/>
  <c r="AW392" i="2" s="1"/>
  <c r="AR111" i="2"/>
  <c r="AW111" i="2" s="1"/>
  <c r="AW180" i="2"/>
  <c r="AX159" i="2"/>
  <c r="L159" i="2" s="1"/>
  <c r="G159" i="4" s="1"/>
  <c r="H159" i="4" s="1"/>
  <c r="AR363" i="2"/>
  <c r="AX363" i="2" s="1"/>
  <c r="L363" i="2" s="1"/>
  <c r="G363" i="4" s="1"/>
  <c r="H363" i="4" s="1"/>
  <c r="AR174" i="2"/>
  <c r="AW174" i="2" s="1"/>
  <c r="AW259" i="2"/>
  <c r="AW360" i="2"/>
  <c r="AR433" i="2"/>
  <c r="AW433" i="2" s="1"/>
  <c r="AR113" i="2"/>
  <c r="AW113" i="2" s="1"/>
  <c r="AX210" i="2"/>
  <c r="L210" i="2" s="1"/>
  <c r="G210" i="4" s="1"/>
  <c r="H210" i="4" s="1"/>
  <c r="AR149" i="2"/>
  <c r="AW149" i="2" s="1"/>
  <c r="AW372" i="2"/>
  <c r="AX372" i="2"/>
  <c r="L372" i="2" s="1"/>
  <c r="G372" i="4" s="1"/>
  <c r="H372" i="4" s="1"/>
  <c r="AW216" i="2"/>
  <c r="AX201" i="2"/>
  <c r="L201" i="2" s="1"/>
  <c r="G201" i="4" s="1"/>
  <c r="H201" i="4" s="1"/>
  <c r="AW195" i="2"/>
  <c r="AW182" i="2"/>
  <c r="AW144" i="2"/>
  <c r="AW328" i="2"/>
  <c r="AR320" i="2"/>
  <c r="AW320" i="2" s="1"/>
  <c r="AR293" i="2"/>
  <c r="AR379" i="2"/>
  <c r="AW379" i="2" s="1"/>
  <c r="AR370" i="2"/>
  <c r="AX370" i="2" s="1"/>
  <c r="L370" i="2" s="1"/>
  <c r="G370" i="4" s="1"/>
  <c r="H370" i="4" s="1"/>
  <c r="AR130" i="2"/>
  <c r="AX130" i="2" s="1"/>
  <c r="L130" i="2" s="1"/>
  <c r="G130" i="4" s="1"/>
  <c r="H130" i="4" s="1"/>
  <c r="AR171" i="2"/>
  <c r="AW171" i="2" s="1"/>
  <c r="AW319" i="2"/>
  <c r="AR317" i="2"/>
  <c r="AW317" i="2" s="1"/>
  <c r="AR272" i="2"/>
  <c r="AX272" i="2" s="1"/>
  <c r="L272" i="2" s="1"/>
  <c r="G272" i="4" s="1"/>
  <c r="H272" i="4" s="1"/>
  <c r="AX403" i="2"/>
  <c r="L403" i="2" s="1"/>
  <c r="G403" i="4" s="1"/>
  <c r="H403" i="4" s="1"/>
  <c r="AR345" i="2"/>
  <c r="AW345" i="2" s="1"/>
  <c r="AR128" i="2"/>
  <c r="AW128" i="2" s="1"/>
  <c r="AW252" i="2"/>
  <c r="AX237" i="2"/>
  <c r="L237" i="2" s="1"/>
  <c r="G237" i="4" s="1"/>
  <c r="H237" i="4" s="1"/>
  <c r="AW231" i="2"/>
  <c r="AW218" i="2"/>
  <c r="AR396" i="2"/>
  <c r="AX396" i="2" s="1"/>
  <c r="L396" i="2" s="1"/>
  <c r="G396" i="4" s="1"/>
  <c r="H396" i="4" s="1"/>
  <c r="AW388" i="2"/>
  <c r="AR367" i="2"/>
  <c r="AW367" i="2" s="1"/>
  <c r="AX448" i="2"/>
  <c r="L448" i="2" s="1"/>
  <c r="G448" i="4" s="1"/>
  <c r="H448" i="4" s="1"/>
  <c r="AR125" i="2"/>
  <c r="AW125" i="2" s="1"/>
  <c r="AR186" i="2"/>
  <c r="AW186" i="2" s="1"/>
  <c r="AR168" i="2"/>
  <c r="AX168" i="2" s="1"/>
  <c r="L168" i="2" s="1"/>
  <c r="G168" i="4" s="1"/>
  <c r="H168" i="4" s="1"/>
  <c r="H472" i="4"/>
  <c r="AR351" i="2"/>
  <c r="AX457" i="2"/>
  <c r="L457" i="2" s="1"/>
  <c r="G457" i="4" s="1"/>
  <c r="H457" i="4" s="1"/>
  <c r="AR368" i="2"/>
  <c r="AW368" i="2" s="1"/>
  <c r="AR344" i="2"/>
  <c r="AW344" i="2" s="1"/>
  <c r="AW386" i="2"/>
  <c r="AR356" i="2"/>
  <c r="AW356" i="2" s="1"/>
  <c r="AR338" i="2"/>
  <c r="AW338" i="2" s="1"/>
  <c r="AR456" i="2"/>
  <c r="AW456" i="2" s="1"/>
  <c r="AW448" i="2"/>
  <c r="AR404" i="2"/>
  <c r="AW404" i="2" s="1"/>
  <c r="AR340" i="2"/>
  <c r="AX340" i="2" s="1"/>
  <c r="L340" i="2" s="1"/>
  <c r="G340" i="4" s="1"/>
  <c r="H340" i="4" s="1"/>
  <c r="AX445" i="2"/>
  <c r="L445" i="2" s="1"/>
  <c r="G445" i="4" s="1"/>
  <c r="H445" i="4" s="1"/>
  <c r="AR430" i="2"/>
  <c r="AX430" i="2" s="1"/>
  <c r="L430" i="2" s="1"/>
  <c r="G430" i="4" s="1"/>
  <c r="H430" i="4" s="1"/>
  <c r="H365" i="4"/>
  <c r="AR502" i="2"/>
  <c r="AX502" i="2" s="1"/>
  <c r="L502" i="2" s="1"/>
  <c r="G502" i="4" s="1"/>
  <c r="H502" i="4" s="1"/>
  <c r="AR499" i="2"/>
  <c r="AW499" i="2" s="1"/>
  <c r="AR508" i="2"/>
  <c r="AW508" i="2" s="1"/>
  <c r="AR506" i="2"/>
  <c r="AX493" i="2"/>
  <c r="L493" i="2" s="1"/>
  <c r="G493" i="4" s="1"/>
  <c r="H493" i="4" s="1"/>
  <c r="AR505" i="2"/>
  <c r="AX505" i="2" s="1"/>
  <c r="L505" i="2" s="1"/>
  <c r="G505" i="4" s="1"/>
  <c r="H505" i="4" s="1"/>
  <c r="AW504" i="2"/>
  <c r="AR494" i="2"/>
  <c r="AW494" i="2" s="1"/>
  <c r="AR501" i="2"/>
  <c r="AR496" i="2"/>
  <c r="AR500" i="2"/>
  <c r="AW500" i="2" s="1"/>
  <c r="AW493" i="2"/>
  <c r="AR510" i="2"/>
  <c r="AW510" i="2" s="1"/>
  <c r="AR498" i="2"/>
  <c r="AW498" i="2" s="1"/>
  <c r="AR495" i="2"/>
  <c r="AW495" i="2" s="1"/>
  <c r="AR509" i="2"/>
  <c r="AR503" i="2"/>
  <c r="AX503" i="2" s="1"/>
  <c r="L503" i="2" s="1"/>
  <c r="G503" i="4" s="1"/>
  <c r="H503" i="4" s="1"/>
  <c r="AR492" i="2"/>
  <c r="AW492" i="2" s="1"/>
  <c r="AR478" i="2"/>
  <c r="AR469" i="2"/>
  <c r="AW469" i="2" s="1"/>
  <c r="AW487" i="2"/>
  <c r="AX487" i="2"/>
  <c r="L487" i="2" s="1"/>
  <c r="G487" i="4" s="1"/>
  <c r="H487" i="4" s="1"/>
  <c r="AR491" i="2"/>
  <c r="AW466" i="2"/>
  <c r="AW481" i="2"/>
  <c r="AR479" i="2"/>
  <c r="AR485" i="2"/>
  <c r="AW485" i="2" s="1"/>
  <c r="AW490" i="2"/>
  <c r="AX475" i="2"/>
  <c r="L475" i="2" s="1"/>
  <c r="G475" i="4" s="1"/>
  <c r="H475" i="4" s="1"/>
  <c r="AX466" i="2"/>
  <c r="L466" i="2" s="1"/>
  <c r="G466" i="4" s="1"/>
  <c r="H466" i="4" s="1"/>
  <c r="AR463" i="2"/>
  <c r="AW463" i="2" s="1"/>
  <c r="AR462" i="2"/>
  <c r="AW462" i="2" s="1"/>
  <c r="AX463" i="2"/>
  <c r="L463" i="2" s="1"/>
  <c r="G463" i="4" s="1"/>
  <c r="H463" i="4" s="1"/>
  <c r="AX451" i="2"/>
  <c r="L451" i="2" s="1"/>
  <c r="G451" i="4" s="1"/>
  <c r="H451" i="4" s="1"/>
  <c r="AR436" i="2"/>
  <c r="AW436" i="2" s="1"/>
  <c r="AR418" i="2"/>
  <c r="AW418" i="2" s="1"/>
  <c r="AR427" i="2"/>
  <c r="AW427" i="2" s="1"/>
  <c r="AX424" i="2"/>
  <c r="L424" i="2" s="1"/>
  <c r="G424" i="4" s="1"/>
  <c r="H424" i="4" s="1"/>
  <c r="AX415" i="2"/>
  <c r="L415" i="2" s="1"/>
  <c r="G415" i="4" s="1"/>
  <c r="H415" i="4" s="1"/>
  <c r="AW424" i="2"/>
  <c r="AX412" i="2"/>
  <c r="L412" i="2" s="1"/>
  <c r="G412" i="4" s="1"/>
  <c r="H412" i="4" s="1"/>
  <c r="AW412" i="2"/>
  <c r="AX421" i="2"/>
  <c r="L421" i="2" s="1"/>
  <c r="G421" i="4" s="1"/>
  <c r="H421" i="4" s="1"/>
  <c r="AX418" i="2"/>
  <c r="L418" i="2" s="1"/>
  <c r="G418" i="4" s="1"/>
  <c r="H418" i="4" s="1"/>
  <c r="AW391" i="2"/>
  <c r="AX391" i="2"/>
  <c r="L391" i="2" s="1"/>
  <c r="G391" i="4" s="1"/>
  <c r="H391" i="4" s="1"/>
  <c r="AW402" i="2"/>
  <c r="AX402" i="2"/>
  <c r="L402" i="2" s="1"/>
  <c r="G402" i="4" s="1"/>
  <c r="H402" i="4" s="1"/>
  <c r="AR397" i="2"/>
  <c r="AR399" i="2"/>
  <c r="AR394" i="2"/>
  <c r="AW390" i="2"/>
  <c r="AW403" i="2"/>
  <c r="AX393" i="2"/>
  <c r="L393" i="2" s="1"/>
  <c r="G393" i="4" s="1"/>
  <c r="H393" i="4" s="1"/>
  <c r="AX388" i="2"/>
  <c r="L388" i="2" s="1"/>
  <c r="G388" i="4" s="1"/>
  <c r="H388" i="4" s="1"/>
  <c r="AX406" i="2"/>
  <c r="L406" i="2" s="1"/>
  <c r="G406" i="4" s="1"/>
  <c r="H406" i="4" s="1"/>
  <c r="AW398" i="2"/>
  <c r="AW401" i="2"/>
  <c r="AR405" i="2"/>
  <c r="AX405" i="2" s="1"/>
  <c r="L405" i="2" s="1"/>
  <c r="G405" i="4" s="1"/>
  <c r="H405" i="4" s="1"/>
  <c r="AX379" i="2"/>
  <c r="L379" i="2" s="1"/>
  <c r="G379" i="4" s="1"/>
  <c r="H379" i="4" s="1"/>
  <c r="AX375" i="2"/>
  <c r="L375" i="2" s="1"/>
  <c r="G375" i="4" s="1"/>
  <c r="H375" i="4" s="1"/>
  <c r="AW375" i="2"/>
  <c r="AR374" i="2"/>
  <c r="AW374" i="2" s="1"/>
  <c r="AW370" i="2"/>
  <c r="AW363" i="2"/>
  <c r="AR369" i="2"/>
  <c r="AR381" i="2"/>
  <c r="AW383" i="2"/>
  <c r="AW371" i="2"/>
  <c r="AW376" i="2"/>
  <c r="AW364" i="2"/>
  <c r="AW377" i="2"/>
  <c r="AW365" i="2"/>
  <c r="AX385" i="2"/>
  <c r="L385" i="2" s="1"/>
  <c r="G385" i="4" s="1"/>
  <c r="H385" i="4" s="1"/>
  <c r="AX373" i="2"/>
  <c r="L373" i="2" s="1"/>
  <c r="G373" i="4" s="1"/>
  <c r="H373" i="4" s="1"/>
  <c r="AX361" i="2"/>
  <c r="L361" i="2" s="1"/>
  <c r="G361" i="4" s="1"/>
  <c r="H361" i="4" s="1"/>
  <c r="AX378" i="2"/>
  <c r="L378" i="2" s="1"/>
  <c r="G378" i="4" s="1"/>
  <c r="H378" i="4" s="1"/>
  <c r="AX366" i="2"/>
  <c r="L366" i="2" s="1"/>
  <c r="G366" i="4" s="1"/>
  <c r="H366" i="4" s="1"/>
  <c r="AR349" i="2"/>
  <c r="AX342" i="2"/>
  <c r="L342" i="2" s="1"/>
  <c r="G342" i="4" s="1"/>
  <c r="H342" i="4" s="1"/>
  <c r="AW342" i="2"/>
  <c r="AW351" i="2"/>
  <c r="AX351" i="2"/>
  <c r="L351" i="2" s="1"/>
  <c r="G351" i="4" s="1"/>
  <c r="H351" i="4" s="1"/>
  <c r="AR337" i="2"/>
  <c r="AX354" i="2"/>
  <c r="L354" i="2" s="1"/>
  <c r="G354" i="4" s="1"/>
  <c r="H354" i="4" s="1"/>
  <c r="AW354" i="2"/>
  <c r="AX355" i="2"/>
  <c r="L355" i="2" s="1"/>
  <c r="G355" i="4" s="1"/>
  <c r="H355" i="4" s="1"/>
  <c r="AX343" i="2"/>
  <c r="L343" i="2" s="1"/>
  <c r="G343" i="4" s="1"/>
  <c r="H343" i="4" s="1"/>
  <c r="AX348" i="2"/>
  <c r="L348" i="2" s="1"/>
  <c r="G348" i="4" s="1"/>
  <c r="H348" i="4" s="1"/>
  <c r="AX336" i="2"/>
  <c r="L336" i="2" s="1"/>
  <c r="G336" i="4" s="1"/>
  <c r="H336" i="4" s="1"/>
  <c r="AW353" i="2"/>
  <c r="AW341" i="2"/>
  <c r="AW334" i="2"/>
  <c r="AW358" i="2"/>
  <c r="AW346" i="2"/>
  <c r="AW325" i="2"/>
  <c r="AX325" i="2"/>
  <c r="L325" i="2" s="1"/>
  <c r="G325" i="4" s="1"/>
  <c r="H325" i="4" s="1"/>
  <c r="AR322" i="2"/>
  <c r="AX322" i="2" s="1"/>
  <c r="L322" i="2" s="1"/>
  <c r="G322" i="4" s="1"/>
  <c r="H322" i="4" s="1"/>
  <c r="AW331" i="2"/>
  <c r="AX331" i="2"/>
  <c r="L331" i="2" s="1"/>
  <c r="G331" i="4" s="1"/>
  <c r="H331" i="4" s="1"/>
  <c r="AW333" i="2"/>
  <c r="AX333" i="2"/>
  <c r="L333" i="2" s="1"/>
  <c r="G333" i="4" s="1"/>
  <c r="H333" i="4" s="1"/>
  <c r="AW316" i="2"/>
  <c r="AR327" i="2"/>
  <c r="AW327" i="2" s="1"/>
  <c r="AW313" i="2"/>
  <c r="AX313" i="2"/>
  <c r="L313" i="2" s="1"/>
  <c r="G313" i="4" s="1"/>
  <c r="H313" i="4" s="1"/>
  <c r="AR310" i="2"/>
  <c r="AR307" i="2"/>
  <c r="AW304" i="2"/>
  <c r="AR243" i="2"/>
  <c r="AR298" i="2"/>
  <c r="AR262" i="2"/>
  <c r="AR209" i="2"/>
  <c r="AW209" i="2" s="1"/>
  <c r="AR245" i="2"/>
  <c r="AW245" i="2" s="1"/>
  <c r="AR274" i="2"/>
  <c r="AR192" i="2"/>
  <c r="AR286" i="2"/>
  <c r="AR224" i="2"/>
  <c r="AW224" i="2" s="1"/>
  <c r="AR228" i="2"/>
  <c r="AR256" i="2"/>
  <c r="AX256" i="2" s="1"/>
  <c r="L256" i="2" s="1"/>
  <c r="G256" i="4" s="1"/>
  <c r="H256" i="4" s="1"/>
  <c r="AW233" i="2"/>
  <c r="AW227" i="2"/>
  <c r="AW242" i="2"/>
  <c r="AW215" i="2"/>
  <c r="AW179" i="2"/>
  <c r="AR244" i="2"/>
  <c r="AX244" i="2" s="1"/>
  <c r="L244" i="2" s="1"/>
  <c r="G244" i="4" s="1"/>
  <c r="H244" i="4" s="1"/>
  <c r="AW221" i="2"/>
  <c r="AW185" i="2"/>
  <c r="AW200" i="2"/>
  <c r="AW301" i="2"/>
  <c r="AW289" i="2"/>
  <c r="AW277" i="2"/>
  <c r="AW265" i="2"/>
  <c r="AW251" i="2"/>
  <c r="AW194" i="2"/>
  <c r="AR260" i="2"/>
  <c r="AX260" i="2" s="1"/>
  <c r="L260" i="2" s="1"/>
  <c r="G260" i="4" s="1"/>
  <c r="H260" i="4" s="1"/>
  <c r="AX252" i="2"/>
  <c r="L252" i="2" s="1"/>
  <c r="G252" i="4" s="1"/>
  <c r="H252" i="4" s="1"/>
  <c r="AW237" i="2"/>
  <c r="AX216" i="2"/>
  <c r="L216" i="2" s="1"/>
  <c r="G216" i="4" s="1"/>
  <c r="H216" i="4" s="1"/>
  <c r="AW201" i="2"/>
  <c r="AX180" i="2"/>
  <c r="L180" i="2" s="1"/>
  <c r="G180" i="4" s="1"/>
  <c r="H180" i="4" s="1"/>
  <c r="AX295" i="2"/>
  <c r="L295" i="2" s="1"/>
  <c r="G295" i="4" s="1"/>
  <c r="H295" i="4" s="1"/>
  <c r="AX283" i="2"/>
  <c r="L283" i="2" s="1"/>
  <c r="G283" i="4" s="1"/>
  <c r="H283" i="4" s="1"/>
  <c r="AX271" i="2"/>
  <c r="L271" i="2" s="1"/>
  <c r="G271" i="4" s="1"/>
  <c r="H271" i="4" s="1"/>
  <c r="AX259" i="2"/>
  <c r="L259" i="2" s="1"/>
  <c r="G259" i="4" s="1"/>
  <c r="H259" i="4" s="1"/>
  <c r="AR247" i="2"/>
  <c r="AX247" i="2" s="1"/>
  <c r="L247" i="2" s="1"/>
  <c r="G247" i="4" s="1"/>
  <c r="H247" i="4" s="1"/>
  <c r="AX231" i="2"/>
  <c r="L231" i="2" s="1"/>
  <c r="G231" i="4" s="1"/>
  <c r="H231" i="4" s="1"/>
  <c r="AX195" i="2"/>
  <c r="L195" i="2" s="1"/>
  <c r="G195" i="4" s="1"/>
  <c r="H195" i="4" s="1"/>
  <c r="AR257" i="2"/>
  <c r="AW257" i="2" s="1"/>
  <c r="AW197" i="2"/>
  <c r="AW248" i="2"/>
  <c r="AW212" i="2"/>
  <c r="AR250" i="2"/>
  <c r="AX250" i="2" s="1"/>
  <c r="L250" i="2" s="1"/>
  <c r="G250" i="4" s="1"/>
  <c r="H250" i="4" s="1"/>
  <c r="AW191" i="2"/>
  <c r="AW292" i="2"/>
  <c r="AW280" i="2"/>
  <c r="AW268" i="2"/>
  <c r="AW206" i="2"/>
  <c r="AW236" i="2"/>
  <c r="AR253" i="2"/>
  <c r="AX253" i="2" s="1"/>
  <c r="L253" i="2" s="1"/>
  <c r="G253" i="4" s="1"/>
  <c r="H253" i="4" s="1"/>
  <c r="AW230" i="2"/>
  <c r="AR296" i="2"/>
  <c r="AR284" i="2"/>
  <c r="AR141" i="2"/>
  <c r="AW141" i="2" s="1"/>
  <c r="AR173" i="2"/>
  <c r="AW173" i="2" s="1"/>
  <c r="AR156" i="2"/>
  <c r="AW153" i="2"/>
  <c r="AX153" i="2"/>
  <c r="L153" i="2" s="1"/>
  <c r="G153" i="4" s="1"/>
  <c r="H153" i="4" s="1"/>
  <c r="AR140" i="2"/>
  <c r="AW140" i="2" s="1"/>
  <c r="AR123" i="2"/>
  <c r="AW123" i="2" s="1"/>
  <c r="AR132" i="2"/>
  <c r="AW132" i="2" s="1"/>
  <c r="AR122" i="2"/>
  <c r="AW122" i="2" s="1"/>
  <c r="AR147" i="2"/>
  <c r="AR164" i="2"/>
  <c r="AW164" i="2" s="1"/>
  <c r="AX165" i="2"/>
  <c r="L165" i="2" s="1"/>
  <c r="G165" i="4" s="1"/>
  <c r="H165" i="4" s="1"/>
  <c r="AW150" i="2"/>
  <c r="AR115" i="2"/>
  <c r="AW115" i="2" s="1"/>
  <c r="AR154" i="2"/>
  <c r="AW154" i="2" s="1"/>
  <c r="AX144" i="2"/>
  <c r="L144" i="2" s="1"/>
  <c r="G144" i="4" s="1"/>
  <c r="H144" i="4" s="1"/>
  <c r="AR136" i="2"/>
  <c r="AX136" i="2" s="1"/>
  <c r="L136" i="2" s="1"/>
  <c r="G136" i="4" s="1"/>
  <c r="H136" i="4" s="1"/>
  <c r="AR133" i="2"/>
  <c r="AX133" i="2" s="1"/>
  <c r="L133" i="2" s="1"/>
  <c r="G133" i="4" s="1"/>
  <c r="H133" i="4" s="1"/>
  <c r="AR118" i="2"/>
  <c r="AW118" i="2" s="1"/>
  <c r="AR139" i="2"/>
  <c r="AW131" i="2"/>
  <c r="AW114" i="2"/>
  <c r="AW146" i="2"/>
  <c r="AW135" i="2"/>
  <c r="AR127" i="2"/>
  <c r="AX127" i="2" s="1"/>
  <c r="L127" i="2" s="1"/>
  <c r="G127" i="4" s="1"/>
  <c r="H127" i="4" s="1"/>
  <c r="AW116" i="2"/>
  <c r="AW161" i="2"/>
  <c r="AW137" i="2"/>
  <c r="AW120" i="2"/>
  <c r="AR112" i="2"/>
  <c r="AW112" i="2" s="1"/>
  <c r="AW176" i="2"/>
  <c r="AR124" i="2"/>
  <c r="AR145" i="2"/>
  <c r="AX145" i="2" s="1"/>
  <c r="L145" i="2" s="1"/>
  <c r="G145" i="4" s="1"/>
  <c r="H145" i="4" s="1"/>
  <c r="AW507" i="2"/>
  <c r="AX507" i="2"/>
  <c r="L507" i="2" s="1"/>
  <c r="G507" i="4" s="1"/>
  <c r="H507" i="4" s="1"/>
  <c r="AW509" i="2"/>
  <c r="AX509" i="2"/>
  <c r="L509" i="2" s="1"/>
  <c r="G509" i="4" s="1"/>
  <c r="H509" i="4" s="1"/>
  <c r="AW506" i="2"/>
  <c r="AX506" i="2"/>
  <c r="L506" i="2" s="1"/>
  <c r="G506" i="4" s="1"/>
  <c r="H506" i="4" s="1"/>
  <c r="AX504" i="2"/>
  <c r="L504" i="2" s="1"/>
  <c r="G504" i="4" s="1"/>
  <c r="H504" i="4" s="1"/>
  <c r="AW502" i="2"/>
  <c r="AR420" i="2"/>
  <c r="AR450" i="2"/>
  <c r="AW468" i="2"/>
  <c r="AX468" i="2"/>
  <c r="L468" i="2" s="1"/>
  <c r="G468" i="4" s="1"/>
  <c r="H468" i="4" s="1"/>
  <c r="AR408" i="2"/>
  <c r="AR477" i="2"/>
  <c r="AR438" i="2"/>
  <c r="AW483" i="2"/>
  <c r="AX483" i="2"/>
  <c r="L483" i="2" s="1"/>
  <c r="G483" i="4" s="1"/>
  <c r="H483" i="4" s="1"/>
  <c r="AR426" i="2"/>
  <c r="AW405" i="2"/>
  <c r="AR474" i="2"/>
  <c r="AR414" i="2"/>
  <c r="AR444" i="2"/>
  <c r="AR432" i="2"/>
  <c r="AR473" i="2"/>
  <c r="AR488" i="2"/>
  <c r="AW465" i="2"/>
  <c r="AX465" i="2"/>
  <c r="L465" i="2" s="1"/>
  <c r="G465" i="4" s="1"/>
  <c r="H465" i="4" s="1"/>
  <c r="AW459" i="2"/>
  <c r="AX459" i="2"/>
  <c r="L459" i="2" s="1"/>
  <c r="G459" i="4" s="1"/>
  <c r="H459" i="4" s="1"/>
  <c r="AW447" i="2"/>
  <c r="AX447" i="2"/>
  <c r="L447" i="2" s="1"/>
  <c r="G447" i="4" s="1"/>
  <c r="H447" i="4" s="1"/>
  <c r="AW441" i="2"/>
  <c r="AX441" i="2"/>
  <c r="L441" i="2" s="1"/>
  <c r="G441" i="4" s="1"/>
  <c r="H441" i="4" s="1"/>
  <c r="AW435" i="2"/>
  <c r="AX435" i="2"/>
  <c r="L435" i="2" s="1"/>
  <c r="G435" i="4" s="1"/>
  <c r="H435" i="4" s="1"/>
  <c r="AW429" i="2"/>
  <c r="AW417" i="2"/>
  <c r="AX417" i="2"/>
  <c r="L417" i="2" s="1"/>
  <c r="G417" i="4" s="1"/>
  <c r="H417" i="4" s="1"/>
  <c r="AR482" i="2"/>
  <c r="AR461" i="2"/>
  <c r="AR455" i="2"/>
  <c r="AR449" i="2"/>
  <c r="AR443" i="2"/>
  <c r="AR437" i="2"/>
  <c r="AR431" i="2"/>
  <c r="AR425" i="2"/>
  <c r="AR419" i="2"/>
  <c r="AR413" i="2"/>
  <c r="AR497" i="2"/>
  <c r="AX481" i="2"/>
  <c r="L481" i="2" s="1"/>
  <c r="G481" i="4" s="1"/>
  <c r="H481" i="4" s="1"/>
  <c r="AX460" i="2"/>
  <c r="L460" i="2" s="1"/>
  <c r="G460" i="4" s="1"/>
  <c r="H460" i="4" s="1"/>
  <c r="AR407" i="2"/>
  <c r="AR476" i="2"/>
  <c r="AX490" i="2"/>
  <c r="L490" i="2" s="1"/>
  <c r="G490" i="4" s="1"/>
  <c r="H490" i="4" s="1"/>
  <c r="AR470" i="2"/>
  <c r="AW471" i="2"/>
  <c r="AX471" i="2"/>
  <c r="L471" i="2" s="1"/>
  <c r="G471" i="4" s="1"/>
  <c r="H471" i="4" s="1"/>
  <c r="AW486" i="2"/>
  <c r="AX486" i="2"/>
  <c r="L486" i="2" s="1"/>
  <c r="G486" i="4" s="1"/>
  <c r="H486" i="4" s="1"/>
  <c r="AX484" i="2"/>
  <c r="L484" i="2" s="1"/>
  <c r="G484" i="4" s="1"/>
  <c r="H484" i="4" s="1"/>
  <c r="AR464" i="2"/>
  <c r="AR458" i="2"/>
  <c r="AR452" i="2"/>
  <c r="AR446" i="2"/>
  <c r="AR440" i="2"/>
  <c r="AR434" i="2"/>
  <c r="AR428" i="2"/>
  <c r="AR422" i="2"/>
  <c r="AR416" i="2"/>
  <c r="AR410" i="2"/>
  <c r="AW480" i="2"/>
  <c r="AR467" i="2"/>
  <c r="AW453" i="2"/>
  <c r="AX453" i="2"/>
  <c r="L453" i="2" s="1"/>
  <c r="G453" i="4" s="1"/>
  <c r="H453" i="4" s="1"/>
  <c r="AW411" i="2"/>
  <c r="AX411" i="2"/>
  <c r="L411" i="2" s="1"/>
  <c r="G411" i="4" s="1"/>
  <c r="H411" i="4" s="1"/>
  <c r="AX404" i="2"/>
  <c r="L404" i="2" s="1"/>
  <c r="G404" i="4" s="1"/>
  <c r="H404" i="4" s="1"/>
  <c r="AX332" i="2"/>
  <c r="L332" i="2" s="1"/>
  <c r="G332" i="4" s="1"/>
  <c r="H332" i="4" s="1"/>
  <c r="AX401" i="2"/>
  <c r="L401" i="2" s="1"/>
  <c r="G401" i="4" s="1"/>
  <c r="H401" i="4" s="1"/>
  <c r="AX398" i="2"/>
  <c r="L398" i="2" s="1"/>
  <c r="G398" i="4" s="1"/>
  <c r="H398" i="4" s="1"/>
  <c r="AX389" i="2"/>
  <c r="L389" i="2" s="1"/>
  <c r="G389" i="4" s="1"/>
  <c r="H389" i="4" s="1"/>
  <c r="AX386" i="2"/>
  <c r="L386" i="2" s="1"/>
  <c r="G386" i="4" s="1"/>
  <c r="H386" i="4" s="1"/>
  <c r="AX383" i="2"/>
  <c r="L383" i="2" s="1"/>
  <c r="G383" i="4" s="1"/>
  <c r="H383" i="4" s="1"/>
  <c r="AX380" i="2"/>
  <c r="L380" i="2" s="1"/>
  <c r="G380" i="4" s="1"/>
  <c r="H380" i="4" s="1"/>
  <c r="AX377" i="2"/>
  <c r="L377" i="2" s="1"/>
  <c r="G377" i="4" s="1"/>
  <c r="H377" i="4" s="1"/>
  <c r="AX371" i="2"/>
  <c r="L371" i="2" s="1"/>
  <c r="G371" i="4" s="1"/>
  <c r="H371" i="4" s="1"/>
  <c r="AX368" i="2"/>
  <c r="L368" i="2" s="1"/>
  <c r="G368" i="4" s="1"/>
  <c r="H368" i="4" s="1"/>
  <c r="AX365" i="2"/>
  <c r="L365" i="2" s="1"/>
  <c r="G365" i="4" s="1"/>
  <c r="AX359" i="2"/>
  <c r="L359" i="2" s="1"/>
  <c r="G359" i="4" s="1"/>
  <c r="H359" i="4" s="1"/>
  <c r="AX353" i="2"/>
  <c r="L353" i="2" s="1"/>
  <c r="G353" i="4" s="1"/>
  <c r="H353" i="4" s="1"/>
  <c r="AX350" i="2"/>
  <c r="L350" i="2" s="1"/>
  <c r="G350" i="4" s="1"/>
  <c r="H350" i="4" s="1"/>
  <c r="AX347" i="2"/>
  <c r="L347" i="2" s="1"/>
  <c r="G347" i="4" s="1"/>
  <c r="H347" i="4" s="1"/>
  <c r="AX341" i="2"/>
  <c r="L341" i="2" s="1"/>
  <c r="G341" i="4" s="1"/>
  <c r="H341" i="4" s="1"/>
  <c r="AX335" i="2"/>
  <c r="L335" i="2" s="1"/>
  <c r="G335" i="4" s="1"/>
  <c r="H335" i="4" s="1"/>
  <c r="AR326" i="2"/>
  <c r="AR314" i="2"/>
  <c r="AR302" i="2"/>
  <c r="AR290" i="2"/>
  <c r="AR278" i="2"/>
  <c r="AW321" i="2"/>
  <c r="AX321" i="2"/>
  <c r="L321" i="2" s="1"/>
  <c r="G321" i="4" s="1"/>
  <c r="H321" i="4" s="1"/>
  <c r="AW309" i="2"/>
  <c r="AX309" i="2"/>
  <c r="L309" i="2" s="1"/>
  <c r="G309" i="4" s="1"/>
  <c r="H309" i="4" s="1"/>
  <c r="AW297" i="2"/>
  <c r="AX297" i="2"/>
  <c r="L297" i="2" s="1"/>
  <c r="G297" i="4" s="1"/>
  <c r="H297" i="4" s="1"/>
  <c r="AW285" i="2"/>
  <c r="AX285" i="2"/>
  <c r="L285" i="2" s="1"/>
  <c r="G285" i="4" s="1"/>
  <c r="H285" i="4" s="1"/>
  <c r="AW273" i="2"/>
  <c r="AX273" i="2"/>
  <c r="L273" i="2" s="1"/>
  <c r="G273" i="4" s="1"/>
  <c r="H273" i="4" s="1"/>
  <c r="AW261" i="2"/>
  <c r="AX261" i="2"/>
  <c r="L261" i="2" s="1"/>
  <c r="G261" i="4" s="1"/>
  <c r="H261" i="4" s="1"/>
  <c r="AW312" i="2"/>
  <c r="AX312" i="2"/>
  <c r="L312" i="2" s="1"/>
  <c r="G312" i="4" s="1"/>
  <c r="H312" i="4" s="1"/>
  <c r="AW264" i="2"/>
  <c r="AX264" i="2"/>
  <c r="L264" i="2" s="1"/>
  <c r="G264" i="4" s="1"/>
  <c r="H264" i="4" s="1"/>
  <c r="AR323" i="2"/>
  <c r="AR275" i="2"/>
  <c r="AW330" i="2"/>
  <c r="AX330" i="2"/>
  <c r="L330" i="2" s="1"/>
  <c r="G330" i="4" s="1"/>
  <c r="H330" i="4" s="1"/>
  <c r="AW318" i="2"/>
  <c r="AX318" i="2"/>
  <c r="L318" i="2" s="1"/>
  <c r="G318" i="4" s="1"/>
  <c r="H318" i="4" s="1"/>
  <c r="AW306" i="2"/>
  <c r="AX306" i="2"/>
  <c r="L306" i="2" s="1"/>
  <c r="G306" i="4" s="1"/>
  <c r="H306" i="4" s="1"/>
  <c r="AW294" i="2"/>
  <c r="AX294" i="2"/>
  <c r="L294" i="2" s="1"/>
  <c r="G294" i="4" s="1"/>
  <c r="H294" i="4" s="1"/>
  <c r="AW282" i="2"/>
  <c r="AX282" i="2"/>
  <c r="L282" i="2" s="1"/>
  <c r="G282" i="4" s="1"/>
  <c r="H282" i="4" s="1"/>
  <c r="AW258" i="2"/>
  <c r="AX258" i="2"/>
  <c r="L258" i="2" s="1"/>
  <c r="G258" i="4" s="1"/>
  <c r="H258" i="4" s="1"/>
  <c r="AW270" i="2"/>
  <c r="AX270" i="2"/>
  <c r="L270" i="2" s="1"/>
  <c r="G270" i="4" s="1"/>
  <c r="H270" i="4" s="1"/>
  <c r="AW276" i="2"/>
  <c r="AX276" i="2"/>
  <c r="L276" i="2" s="1"/>
  <c r="G276" i="4" s="1"/>
  <c r="H276" i="4" s="1"/>
  <c r="AR287" i="2"/>
  <c r="AW296" i="2"/>
  <c r="AX296" i="2"/>
  <c r="L296" i="2" s="1"/>
  <c r="G296" i="4" s="1"/>
  <c r="H296" i="4" s="1"/>
  <c r="AW284" i="2"/>
  <c r="AX284" i="2"/>
  <c r="L284" i="2" s="1"/>
  <c r="G284" i="4" s="1"/>
  <c r="H284" i="4" s="1"/>
  <c r="AW272" i="2"/>
  <c r="AW324" i="2"/>
  <c r="AX324" i="2"/>
  <c r="L324" i="2" s="1"/>
  <c r="G324" i="4" s="1"/>
  <c r="H324" i="4" s="1"/>
  <c r="AW300" i="2"/>
  <c r="AX300" i="2"/>
  <c r="L300" i="2" s="1"/>
  <c r="G300" i="4" s="1"/>
  <c r="H300" i="4" s="1"/>
  <c r="AW288" i="2"/>
  <c r="AX288" i="2"/>
  <c r="L288" i="2" s="1"/>
  <c r="G288" i="4" s="1"/>
  <c r="H288" i="4" s="1"/>
  <c r="AW279" i="2"/>
  <c r="AX279" i="2"/>
  <c r="L279" i="2" s="1"/>
  <c r="G279" i="4" s="1"/>
  <c r="H279" i="4" s="1"/>
  <c r="AW267" i="2"/>
  <c r="AX267" i="2"/>
  <c r="L267" i="2" s="1"/>
  <c r="G267" i="4" s="1"/>
  <c r="H267" i="4" s="1"/>
  <c r="AR266" i="2"/>
  <c r="AR311" i="2"/>
  <c r="AR299" i="2"/>
  <c r="AR263" i="2"/>
  <c r="AW315" i="2"/>
  <c r="AX315" i="2"/>
  <c r="L315" i="2" s="1"/>
  <c r="G315" i="4" s="1"/>
  <c r="H315" i="4" s="1"/>
  <c r="AW303" i="2"/>
  <c r="AX303" i="2"/>
  <c r="L303" i="2" s="1"/>
  <c r="G303" i="4" s="1"/>
  <c r="H303" i="4" s="1"/>
  <c r="AW291" i="2"/>
  <c r="AX291" i="2"/>
  <c r="L291" i="2" s="1"/>
  <c r="G291" i="4" s="1"/>
  <c r="H291" i="4" s="1"/>
  <c r="AW329" i="2"/>
  <c r="AX293" i="2"/>
  <c r="L293" i="2" s="1"/>
  <c r="G293" i="4" s="1"/>
  <c r="H293" i="4" s="1"/>
  <c r="AW293" i="2"/>
  <c r="AW281" i="2"/>
  <c r="AW269" i="2"/>
  <c r="AW241" i="2"/>
  <c r="AX241" i="2"/>
  <c r="L241" i="2" s="1"/>
  <c r="G241" i="4" s="1"/>
  <c r="H241" i="4" s="1"/>
  <c r="AW205" i="2"/>
  <c r="AX205" i="2"/>
  <c r="L205" i="2" s="1"/>
  <c r="G205" i="4" s="1"/>
  <c r="H205" i="4" s="1"/>
  <c r="AX169" i="2"/>
  <c r="L169" i="2" s="1"/>
  <c r="G169" i="4" s="1"/>
  <c r="H169" i="4" s="1"/>
  <c r="AW169" i="2"/>
  <c r="AW223" i="2"/>
  <c r="AX223" i="2"/>
  <c r="L223" i="2" s="1"/>
  <c r="G223" i="4" s="1"/>
  <c r="H223" i="4" s="1"/>
  <c r="AX187" i="2"/>
  <c r="L187" i="2" s="1"/>
  <c r="G187" i="4" s="1"/>
  <c r="H187" i="4" s="1"/>
  <c r="AW187" i="2"/>
  <c r="AW151" i="2"/>
  <c r="AX151" i="2"/>
  <c r="L151" i="2" s="1"/>
  <c r="G151" i="4" s="1"/>
  <c r="H151" i="4" s="1"/>
  <c r="AX238" i="2"/>
  <c r="L238" i="2" s="1"/>
  <c r="G238" i="4" s="1"/>
  <c r="H238" i="4" s="1"/>
  <c r="AW238" i="2"/>
  <c r="AX202" i="2"/>
  <c r="L202" i="2" s="1"/>
  <c r="G202" i="4" s="1"/>
  <c r="H202" i="4" s="1"/>
  <c r="AW202" i="2"/>
  <c r="AW166" i="2"/>
  <c r="AX166" i="2"/>
  <c r="L166" i="2" s="1"/>
  <c r="G166" i="4" s="1"/>
  <c r="H166" i="4" s="1"/>
  <c r="AW217" i="2"/>
  <c r="AX217" i="2"/>
  <c r="L217" i="2" s="1"/>
  <c r="G217" i="4" s="1"/>
  <c r="H217" i="4" s="1"/>
  <c r="AW181" i="2"/>
  <c r="AX181" i="2"/>
  <c r="L181" i="2" s="1"/>
  <c r="G181" i="4" s="1"/>
  <c r="H181" i="4" s="1"/>
  <c r="AW232" i="2"/>
  <c r="AX232" i="2"/>
  <c r="L232" i="2" s="1"/>
  <c r="G232" i="4" s="1"/>
  <c r="H232" i="4" s="1"/>
  <c r="AX196" i="2"/>
  <c r="L196" i="2" s="1"/>
  <c r="G196" i="4" s="1"/>
  <c r="H196" i="4" s="1"/>
  <c r="AW196" i="2"/>
  <c r="AW160" i="2"/>
  <c r="AX160" i="2"/>
  <c r="L160" i="2" s="1"/>
  <c r="G160" i="4" s="1"/>
  <c r="H160" i="4" s="1"/>
  <c r="AW211" i="2"/>
  <c r="AX211" i="2"/>
  <c r="L211" i="2" s="1"/>
  <c r="G211" i="4" s="1"/>
  <c r="H211" i="4" s="1"/>
  <c r="AW175" i="2"/>
  <c r="AX175" i="2"/>
  <c r="L175" i="2" s="1"/>
  <c r="G175" i="4" s="1"/>
  <c r="H175" i="4" s="1"/>
  <c r="AW226" i="2"/>
  <c r="AX226" i="2"/>
  <c r="L226" i="2" s="1"/>
  <c r="G226" i="4" s="1"/>
  <c r="H226" i="4" s="1"/>
  <c r="AW190" i="2"/>
  <c r="AX190" i="2"/>
  <c r="L190" i="2" s="1"/>
  <c r="G190" i="4" s="1"/>
  <c r="H190" i="4" s="1"/>
  <c r="AW220" i="2"/>
  <c r="AX220" i="2"/>
  <c r="L220" i="2" s="1"/>
  <c r="G220" i="4" s="1"/>
  <c r="H220" i="4" s="1"/>
  <c r="AX184" i="2"/>
  <c r="L184" i="2" s="1"/>
  <c r="G184" i="4" s="1"/>
  <c r="H184" i="4" s="1"/>
  <c r="AW184" i="2"/>
  <c r="AW148" i="2"/>
  <c r="AX148" i="2"/>
  <c r="L148" i="2" s="1"/>
  <c r="G148" i="4" s="1"/>
  <c r="H148" i="4" s="1"/>
  <c r="AX235" i="2"/>
  <c r="L235" i="2" s="1"/>
  <c r="G235" i="4" s="1"/>
  <c r="H235" i="4" s="1"/>
  <c r="AW235" i="2"/>
  <c r="AW199" i="2"/>
  <c r="AX199" i="2"/>
  <c r="L199" i="2" s="1"/>
  <c r="G199" i="4" s="1"/>
  <c r="H199" i="4" s="1"/>
  <c r="AW163" i="2"/>
  <c r="AX163" i="2"/>
  <c r="L163" i="2" s="1"/>
  <c r="G163" i="4" s="1"/>
  <c r="H163" i="4" s="1"/>
  <c r="AW214" i="2"/>
  <c r="AX214" i="2"/>
  <c r="L214" i="2" s="1"/>
  <c r="G214" i="4" s="1"/>
  <c r="H214" i="4" s="1"/>
  <c r="AX178" i="2"/>
  <c r="L178" i="2" s="1"/>
  <c r="G178" i="4" s="1"/>
  <c r="H178" i="4" s="1"/>
  <c r="AW178" i="2"/>
  <c r="AW142" i="2"/>
  <c r="AX142" i="2"/>
  <c r="L142" i="2" s="1"/>
  <c r="G142" i="4" s="1"/>
  <c r="H142" i="4" s="1"/>
  <c r="AW229" i="2"/>
  <c r="AX229" i="2"/>
  <c r="L229" i="2" s="1"/>
  <c r="G229" i="4" s="1"/>
  <c r="H229" i="4" s="1"/>
  <c r="AX193" i="2"/>
  <c r="L193" i="2" s="1"/>
  <c r="G193" i="4" s="1"/>
  <c r="H193" i="4" s="1"/>
  <c r="AW193" i="2"/>
  <c r="AW157" i="2"/>
  <c r="AX157" i="2"/>
  <c r="L157" i="2" s="1"/>
  <c r="G157" i="4" s="1"/>
  <c r="H157" i="4" s="1"/>
  <c r="AW208" i="2"/>
  <c r="AX208" i="2"/>
  <c r="L208" i="2" s="1"/>
  <c r="G208" i="4" s="1"/>
  <c r="H208" i="4" s="1"/>
  <c r="AW172" i="2"/>
  <c r="AX172" i="2"/>
  <c r="L172" i="2" s="1"/>
  <c r="G172" i="4" s="1"/>
  <c r="H172" i="4" s="1"/>
  <c r="AX254" i="2"/>
  <c r="L254" i="2" s="1"/>
  <c r="G254" i="4" s="1"/>
  <c r="H254" i="4" s="1"/>
  <c r="AX251" i="2"/>
  <c r="L251" i="2" s="1"/>
  <c r="G251" i="4" s="1"/>
  <c r="H251" i="4" s="1"/>
  <c r="AX248" i="2"/>
  <c r="L248" i="2" s="1"/>
  <c r="G248" i="4" s="1"/>
  <c r="H248" i="4" s="1"/>
  <c r="AX242" i="2"/>
  <c r="L242" i="2" s="1"/>
  <c r="G242" i="4" s="1"/>
  <c r="H242" i="4" s="1"/>
  <c r="AX236" i="2"/>
  <c r="L236" i="2" s="1"/>
  <c r="G236" i="4" s="1"/>
  <c r="H236" i="4" s="1"/>
  <c r="AX233" i="2"/>
  <c r="L233" i="2" s="1"/>
  <c r="G233" i="4" s="1"/>
  <c r="H233" i="4" s="1"/>
  <c r="AX230" i="2"/>
  <c r="L230" i="2" s="1"/>
  <c r="G230" i="4" s="1"/>
  <c r="H230" i="4" s="1"/>
  <c r="AX227" i="2"/>
  <c r="L227" i="2" s="1"/>
  <c r="G227" i="4" s="1"/>
  <c r="H227" i="4" s="1"/>
  <c r="AX221" i="2"/>
  <c r="L221" i="2" s="1"/>
  <c r="G221" i="4" s="1"/>
  <c r="H221" i="4" s="1"/>
  <c r="AX218" i="2"/>
  <c r="L218" i="2" s="1"/>
  <c r="G218" i="4" s="1"/>
  <c r="H218" i="4" s="1"/>
  <c r="AX215" i="2"/>
  <c r="L215" i="2" s="1"/>
  <c r="G215" i="4" s="1"/>
  <c r="H215" i="4" s="1"/>
  <c r="AX212" i="2"/>
  <c r="L212" i="2" s="1"/>
  <c r="G212" i="4" s="1"/>
  <c r="H212" i="4" s="1"/>
  <c r="AX209" i="2"/>
  <c r="L209" i="2" s="1"/>
  <c r="G209" i="4" s="1"/>
  <c r="H209" i="4" s="1"/>
  <c r="AX206" i="2"/>
  <c r="L206" i="2" s="1"/>
  <c r="G206" i="4" s="1"/>
  <c r="H206" i="4" s="1"/>
  <c r="AX203" i="2"/>
  <c r="L203" i="2" s="1"/>
  <c r="G203" i="4" s="1"/>
  <c r="H203" i="4" s="1"/>
  <c r="AX200" i="2"/>
  <c r="L200" i="2" s="1"/>
  <c r="G200" i="4" s="1"/>
  <c r="H200" i="4" s="1"/>
  <c r="AX197" i="2"/>
  <c r="L197" i="2" s="1"/>
  <c r="G197" i="4" s="1"/>
  <c r="H197" i="4" s="1"/>
  <c r="AX194" i="2"/>
  <c r="L194" i="2" s="1"/>
  <c r="G194" i="4" s="1"/>
  <c r="H194" i="4" s="1"/>
  <c r="AX191" i="2"/>
  <c r="L191" i="2" s="1"/>
  <c r="G191" i="4" s="1"/>
  <c r="H191" i="4" s="1"/>
  <c r="AX185" i="2"/>
  <c r="L185" i="2" s="1"/>
  <c r="G185" i="4" s="1"/>
  <c r="H185" i="4" s="1"/>
  <c r="AX182" i="2"/>
  <c r="L182" i="2" s="1"/>
  <c r="G182" i="4" s="1"/>
  <c r="H182" i="4" s="1"/>
  <c r="AX179" i="2"/>
  <c r="L179" i="2" s="1"/>
  <c r="G179" i="4" s="1"/>
  <c r="H179" i="4" s="1"/>
  <c r="AX176" i="2"/>
  <c r="L176" i="2" s="1"/>
  <c r="G176" i="4" s="1"/>
  <c r="H176" i="4" s="1"/>
  <c r="AX170" i="2"/>
  <c r="L170" i="2" s="1"/>
  <c r="G170" i="4" s="1"/>
  <c r="H170" i="4" s="1"/>
  <c r="AX167" i="2"/>
  <c r="L167" i="2" s="1"/>
  <c r="G167" i="4" s="1"/>
  <c r="H167" i="4" s="1"/>
  <c r="AX164" i="2"/>
  <c r="L164" i="2" s="1"/>
  <c r="G164" i="4" s="1"/>
  <c r="H164" i="4" s="1"/>
  <c r="AX161" i="2"/>
  <c r="L161" i="2" s="1"/>
  <c r="G161" i="4" s="1"/>
  <c r="H161" i="4" s="1"/>
  <c r="AX146" i="2"/>
  <c r="L146" i="2" s="1"/>
  <c r="G146" i="4" s="1"/>
  <c r="H146" i="4" s="1"/>
  <c r="AX143" i="2"/>
  <c r="L143" i="2" s="1"/>
  <c r="G143" i="4" s="1"/>
  <c r="H143" i="4" s="1"/>
  <c r="AW139" i="2"/>
  <c r="AX139" i="2"/>
  <c r="L139" i="2" s="1"/>
  <c r="G139" i="4" s="1"/>
  <c r="H139" i="4" s="1"/>
  <c r="AX115" i="2"/>
  <c r="L115" i="2" s="1"/>
  <c r="G115" i="4" s="1"/>
  <c r="H115" i="4" s="1"/>
  <c r="AX124" i="2"/>
  <c r="L124" i="2" s="1"/>
  <c r="G124" i="4" s="1"/>
  <c r="H124" i="4" s="1"/>
  <c r="AW124" i="2"/>
  <c r="AX137" i="2"/>
  <c r="L137" i="2" s="1"/>
  <c r="G137" i="4" s="1"/>
  <c r="H137" i="4" s="1"/>
  <c r="AX134" i="2"/>
  <c r="L134" i="2" s="1"/>
  <c r="G134" i="4" s="1"/>
  <c r="H134" i="4" s="1"/>
  <c r="AX131" i="2"/>
  <c r="L131" i="2" s="1"/>
  <c r="G131" i="4" s="1"/>
  <c r="H131" i="4" s="1"/>
  <c r="AX125" i="2"/>
  <c r="L125" i="2" s="1"/>
  <c r="G125" i="4" s="1"/>
  <c r="H125" i="4" s="1"/>
  <c r="AX122" i="2"/>
  <c r="L122" i="2" s="1"/>
  <c r="G122" i="4" s="1"/>
  <c r="H122" i="4" s="1"/>
  <c r="AX119" i="2"/>
  <c r="L119" i="2" s="1"/>
  <c r="G119" i="4" s="1"/>
  <c r="H119" i="4" s="1"/>
  <c r="AX116" i="2"/>
  <c r="L116" i="2" s="1"/>
  <c r="G116" i="4" s="1"/>
  <c r="H116" i="4" s="1"/>
  <c r="AX113" i="2"/>
  <c r="L113" i="2" s="1"/>
  <c r="G113" i="4" s="1"/>
  <c r="H113" i="4" s="1"/>
  <c r="AX135" i="2"/>
  <c r="L135" i="2" s="1"/>
  <c r="G135" i="4" s="1"/>
  <c r="H135" i="4" s="1"/>
  <c r="AX132" i="2"/>
  <c r="L132" i="2" s="1"/>
  <c r="G132" i="4" s="1"/>
  <c r="H132" i="4" s="1"/>
  <c r="AX129" i="2"/>
  <c r="L129" i="2" s="1"/>
  <c r="G129" i="4" s="1"/>
  <c r="H129" i="4" s="1"/>
  <c r="AX126" i="2"/>
  <c r="L126" i="2" s="1"/>
  <c r="G126" i="4" s="1"/>
  <c r="H126" i="4" s="1"/>
  <c r="AX120" i="2"/>
  <c r="L120" i="2" s="1"/>
  <c r="G120" i="4" s="1"/>
  <c r="H120" i="4" s="1"/>
  <c r="AX114" i="2"/>
  <c r="L114" i="2" s="1"/>
  <c r="G114" i="4" s="1"/>
  <c r="H114" i="4" s="1"/>
  <c r="G10" i="4"/>
  <c r="C1" i="4"/>
  <c r="AD12" i="2"/>
  <c r="AF12" i="2" s="1"/>
  <c r="AD13" i="2"/>
  <c r="AF13" i="2" s="1"/>
  <c r="AD14" i="2"/>
  <c r="AF14" i="2" s="1"/>
  <c r="AD11" i="2"/>
  <c r="AF11" i="2" s="1"/>
  <c r="AG11" i="2" s="1"/>
  <c r="AW340" i="2" l="1"/>
  <c r="AX117" i="2"/>
  <c r="L117" i="2" s="1"/>
  <c r="G117" i="4" s="1"/>
  <c r="H117" i="4" s="1"/>
  <c r="AX128" i="2"/>
  <c r="L128" i="2" s="1"/>
  <c r="G128" i="4" s="1"/>
  <c r="H128" i="4" s="1"/>
  <c r="AX305" i="2"/>
  <c r="L305" i="2" s="1"/>
  <c r="G305" i="4" s="1"/>
  <c r="H305" i="4" s="1"/>
  <c r="AW260" i="2"/>
  <c r="AX222" i="2"/>
  <c r="L222" i="2" s="1"/>
  <c r="G222" i="4" s="1"/>
  <c r="H222" i="4" s="1"/>
  <c r="AW127" i="2"/>
  <c r="AW423" i="2"/>
  <c r="AX171" i="2"/>
  <c r="L171" i="2" s="1"/>
  <c r="G171" i="4" s="1"/>
  <c r="H171" i="4" s="1"/>
  <c r="AX352" i="2"/>
  <c r="L352" i="2" s="1"/>
  <c r="G352" i="4" s="1"/>
  <c r="H352" i="4" s="1"/>
  <c r="AW362" i="2"/>
  <c r="AX245" i="2"/>
  <c r="L245" i="2" s="1"/>
  <c r="G245" i="4" s="1"/>
  <c r="H245" i="4" s="1"/>
  <c r="AX121" i="2"/>
  <c r="L121" i="2" s="1"/>
  <c r="G121" i="4" s="1"/>
  <c r="H121" i="4" s="1"/>
  <c r="AX327" i="2"/>
  <c r="L327" i="2" s="1"/>
  <c r="G327" i="4" s="1"/>
  <c r="H327" i="4" s="1"/>
  <c r="AX374" i="2"/>
  <c r="L374" i="2" s="1"/>
  <c r="G374" i="4" s="1"/>
  <c r="H374" i="4" s="1"/>
  <c r="AX400" i="2"/>
  <c r="L400" i="2" s="1"/>
  <c r="G400" i="4" s="1"/>
  <c r="H400" i="4" s="1"/>
  <c r="AX188" i="2"/>
  <c r="L188" i="2" s="1"/>
  <c r="G188" i="4" s="1"/>
  <c r="H188" i="4" s="1"/>
  <c r="AX140" i="2"/>
  <c r="L140" i="2" s="1"/>
  <c r="G140" i="4" s="1"/>
  <c r="H140" i="4" s="1"/>
  <c r="AX149" i="2"/>
  <c r="L149" i="2" s="1"/>
  <c r="G149" i="4" s="1"/>
  <c r="H149" i="4" s="1"/>
  <c r="AW247" i="2"/>
  <c r="AW130" i="2"/>
  <c r="AX155" i="2"/>
  <c r="L155" i="2" s="1"/>
  <c r="G155" i="4" s="1"/>
  <c r="H155" i="4" s="1"/>
  <c r="AX162" i="2"/>
  <c r="L162" i="2" s="1"/>
  <c r="G162" i="4" s="1"/>
  <c r="H162" i="4" s="1"/>
  <c r="AX186" i="2"/>
  <c r="L186" i="2" s="1"/>
  <c r="G186" i="4" s="1"/>
  <c r="H186" i="4" s="1"/>
  <c r="AX357" i="2"/>
  <c r="L357" i="2" s="1"/>
  <c r="G357" i="4" s="1"/>
  <c r="H357" i="4" s="1"/>
  <c r="AX367" i="2"/>
  <c r="L367" i="2" s="1"/>
  <c r="G367" i="4" s="1"/>
  <c r="H367" i="4" s="1"/>
  <c r="AX138" i="2"/>
  <c r="L138" i="2" s="1"/>
  <c r="G138" i="4" s="1"/>
  <c r="H138" i="4" s="1"/>
  <c r="AX320" i="2"/>
  <c r="L320" i="2" s="1"/>
  <c r="G320" i="4" s="1"/>
  <c r="H320" i="4" s="1"/>
  <c r="AW442" i="2"/>
  <c r="AX118" i="2"/>
  <c r="L118" i="2" s="1"/>
  <c r="G118" i="4" s="1"/>
  <c r="H118" i="4" s="1"/>
  <c r="AX338" i="2"/>
  <c r="L338" i="2" s="1"/>
  <c r="G338" i="4" s="1"/>
  <c r="H338" i="4" s="1"/>
  <c r="AW430" i="2"/>
  <c r="AW409" i="2"/>
  <c r="AX508" i="2"/>
  <c r="L508" i="2" s="1"/>
  <c r="G508" i="4" s="1"/>
  <c r="H508" i="4" s="1"/>
  <c r="AX152" i="2"/>
  <c r="L152" i="2" s="1"/>
  <c r="G152" i="4" s="1"/>
  <c r="H152" i="4" s="1"/>
  <c r="AX345" i="2"/>
  <c r="L345" i="2" s="1"/>
  <c r="G345" i="4" s="1"/>
  <c r="H345" i="4" s="1"/>
  <c r="AW396" i="2"/>
  <c r="AX433" i="2"/>
  <c r="L433" i="2" s="1"/>
  <c r="G433" i="4" s="1"/>
  <c r="H433" i="4" s="1"/>
  <c r="AX489" i="2"/>
  <c r="L489" i="2" s="1"/>
  <c r="G489" i="4" s="1"/>
  <c r="H489" i="4" s="1"/>
  <c r="AW308" i="2"/>
  <c r="AW207" i="2"/>
  <c r="AX344" i="2"/>
  <c r="L344" i="2" s="1"/>
  <c r="G344" i="4" s="1"/>
  <c r="H344" i="4" s="1"/>
  <c r="AX141" i="2"/>
  <c r="L141" i="2" s="1"/>
  <c r="G141" i="4" s="1"/>
  <c r="H141" i="4" s="1"/>
  <c r="AW145" i="2"/>
  <c r="AX111" i="2"/>
  <c r="L111" i="2" s="1"/>
  <c r="G111" i="4" s="1"/>
  <c r="H111" i="4" s="1"/>
  <c r="AX356" i="2"/>
  <c r="L356" i="2" s="1"/>
  <c r="G356" i="4" s="1"/>
  <c r="H356" i="4" s="1"/>
  <c r="AX392" i="2"/>
  <c r="L392" i="2" s="1"/>
  <c r="G392" i="4" s="1"/>
  <c r="H392" i="4" s="1"/>
  <c r="AX456" i="2"/>
  <c r="L456" i="2" s="1"/>
  <c r="G456" i="4" s="1"/>
  <c r="H456" i="4" s="1"/>
  <c r="AX462" i="2"/>
  <c r="L462" i="2" s="1"/>
  <c r="G462" i="4" s="1"/>
  <c r="H462" i="4" s="1"/>
  <c r="AW168" i="2"/>
  <c r="AX317" i="2"/>
  <c r="L317" i="2" s="1"/>
  <c r="G317" i="4" s="1"/>
  <c r="H317" i="4" s="1"/>
  <c r="AX395" i="2"/>
  <c r="L395" i="2" s="1"/>
  <c r="G395" i="4" s="1"/>
  <c r="H395" i="4" s="1"/>
  <c r="AX469" i="2"/>
  <c r="L469" i="2" s="1"/>
  <c r="G469" i="4" s="1"/>
  <c r="H469" i="4" s="1"/>
  <c r="AW322" i="2"/>
  <c r="AX339" i="2"/>
  <c r="L339" i="2" s="1"/>
  <c r="G339" i="4" s="1"/>
  <c r="H339" i="4" s="1"/>
  <c r="AX382" i="2"/>
  <c r="L382" i="2" s="1"/>
  <c r="G382" i="4" s="1"/>
  <c r="H382" i="4" s="1"/>
  <c r="AX387" i="2"/>
  <c r="L387" i="2" s="1"/>
  <c r="G387" i="4" s="1"/>
  <c r="H387" i="4" s="1"/>
  <c r="AX239" i="2"/>
  <c r="L239" i="2" s="1"/>
  <c r="G239" i="4" s="1"/>
  <c r="H239" i="4" s="1"/>
  <c r="AW244" i="2"/>
  <c r="AX499" i="2"/>
  <c r="L499" i="2" s="1"/>
  <c r="G499" i="4" s="1"/>
  <c r="H499" i="4" s="1"/>
  <c r="AX174" i="2"/>
  <c r="L174" i="2" s="1"/>
  <c r="G174" i="4" s="1"/>
  <c r="H174" i="4" s="1"/>
  <c r="AX427" i="2"/>
  <c r="L427" i="2" s="1"/>
  <c r="G427" i="4" s="1"/>
  <c r="H427" i="4" s="1"/>
  <c r="AX436" i="2"/>
  <c r="L436" i="2" s="1"/>
  <c r="G436" i="4" s="1"/>
  <c r="H436" i="4" s="1"/>
  <c r="AW505" i="2"/>
  <c r="AX495" i="2"/>
  <c r="L495" i="2" s="1"/>
  <c r="G495" i="4" s="1"/>
  <c r="H495" i="4" s="1"/>
  <c r="AX494" i="2"/>
  <c r="L494" i="2" s="1"/>
  <c r="G494" i="4" s="1"/>
  <c r="H494" i="4" s="1"/>
  <c r="AX500" i="2"/>
  <c r="L500" i="2" s="1"/>
  <c r="G500" i="4" s="1"/>
  <c r="H500" i="4" s="1"/>
  <c r="AX498" i="2"/>
  <c r="L498" i="2" s="1"/>
  <c r="G498" i="4" s="1"/>
  <c r="H498" i="4" s="1"/>
  <c r="AX510" i="2"/>
  <c r="L510" i="2" s="1"/>
  <c r="G510" i="4" s="1"/>
  <c r="H510" i="4" s="1"/>
  <c r="AW503" i="2"/>
  <c r="AX492" i="2"/>
  <c r="L492" i="2" s="1"/>
  <c r="G492" i="4" s="1"/>
  <c r="H492" i="4" s="1"/>
  <c r="AX496" i="2"/>
  <c r="L496" i="2" s="1"/>
  <c r="G496" i="4" s="1"/>
  <c r="H496" i="4" s="1"/>
  <c r="AW496" i="2"/>
  <c r="AW501" i="2"/>
  <c r="AX501" i="2"/>
  <c r="L501" i="2" s="1"/>
  <c r="G501" i="4" s="1"/>
  <c r="H501" i="4" s="1"/>
  <c r="AW479" i="2"/>
  <c r="AX479" i="2"/>
  <c r="L479" i="2" s="1"/>
  <c r="G479" i="4" s="1"/>
  <c r="H479" i="4" s="1"/>
  <c r="AW491" i="2"/>
  <c r="AX491" i="2"/>
  <c r="L491" i="2" s="1"/>
  <c r="G491" i="4" s="1"/>
  <c r="H491" i="4" s="1"/>
  <c r="AX485" i="2"/>
  <c r="L485" i="2" s="1"/>
  <c r="G485" i="4" s="1"/>
  <c r="H485" i="4" s="1"/>
  <c r="AW478" i="2"/>
  <c r="AX478" i="2"/>
  <c r="L478" i="2" s="1"/>
  <c r="G478" i="4" s="1"/>
  <c r="H478" i="4" s="1"/>
  <c r="AW397" i="2"/>
  <c r="AX397" i="2"/>
  <c r="L397" i="2" s="1"/>
  <c r="G397" i="4" s="1"/>
  <c r="H397" i="4" s="1"/>
  <c r="AW394" i="2"/>
  <c r="AX394" i="2"/>
  <c r="L394" i="2" s="1"/>
  <c r="G394" i="4" s="1"/>
  <c r="H394" i="4" s="1"/>
  <c r="AW399" i="2"/>
  <c r="AX399" i="2"/>
  <c r="L399" i="2" s="1"/>
  <c r="G399" i="4" s="1"/>
  <c r="H399" i="4" s="1"/>
  <c r="AW381" i="2"/>
  <c r="AX381" i="2"/>
  <c r="L381" i="2" s="1"/>
  <c r="G381" i="4" s="1"/>
  <c r="H381" i="4" s="1"/>
  <c r="AW369" i="2"/>
  <c r="AX369" i="2"/>
  <c r="L369" i="2" s="1"/>
  <c r="G369" i="4" s="1"/>
  <c r="H369" i="4" s="1"/>
  <c r="AW337" i="2"/>
  <c r="AX337" i="2"/>
  <c r="L337" i="2" s="1"/>
  <c r="G337" i="4" s="1"/>
  <c r="H337" i="4" s="1"/>
  <c r="AW349" i="2"/>
  <c r="AX349" i="2"/>
  <c r="L349" i="2" s="1"/>
  <c r="G349" i="4" s="1"/>
  <c r="H349" i="4" s="1"/>
  <c r="AW307" i="2"/>
  <c r="AX307" i="2"/>
  <c r="L307" i="2" s="1"/>
  <c r="G307" i="4" s="1"/>
  <c r="H307" i="4" s="1"/>
  <c r="AW310" i="2"/>
  <c r="AX310" i="2"/>
  <c r="L310" i="2" s="1"/>
  <c r="G310" i="4" s="1"/>
  <c r="H310" i="4" s="1"/>
  <c r="AW262" i="2"/>
  <c r="AX262" i="2"/>
  <c r="L262" i="2" s="1"/>
  <c r="G262" i="4" s="1"/>
  <c r="H262" i="4" s="1"/>
  <c r="AX243" i="2"/>
  <c r="L243" i="2" s="1"/>
  <c r="G243" i="4" s="1"/>
  <c r="H243" i="4" s="1"/>
  <c r="AW243" i="2"/>
  <c r="AX224" i="2"/>
  <c r="L224" i="2" s="1"/>
  <c r="G224" i="4" s="1"/>
  <c r="H224" i="4" s="1"/>
  <c r="AW286" i="2"/>
  <c r="AX286" i="2"/>
  <c r="L286" i="2" s="1"/>
  <c r="G286" i="4" s="1"/>
  <c r="H286" i="4" s="1"/>
  <c r="AW250" i="2"/>
  <c r="AX257" i="2"/>
  <c r="L257" i="2" s="1"/>
  <c r="G257" i="4" s="1"/>
  <c r="H257" i="4" s="1"/>
  <c r="AX192" i="2"/>
  <c r="L192" i="2" s="1"/>
  <c r="G192" i="4" s="1"/>
  <c r="H192" i="4" s="1"/>
  <c r="AW192" i="2"/>
  <c r="AW256" i="2"/>
  <c r="AW253" i="2"/>
  <c r="AW274" i="2"/>
  <c r="AX274" i="2"/>
  <c r="L274" i="2" s="1"/>
  <c r="G274" i="4" s="1"/>
  <c r="H274" i="4" s="1"/>
  <c r="AW228" i="2"/>
  <c r="AX228" i="2"/>
  <c r="L228" i="2" s="1"/>
  <c r="G228" i="4" s="1"/>
  <c r="H228" i="4" s="1"/>
  <c r="AW298" i="2"/>
  <c r="AX298" i="2"/>
  <c r="L298" i="2" s="1"/>
  <c r="G298" i="4" s="1"/>
  <c r="H298" i="4" s="1"/>
  <c r="AX112" i="2"/>
  <c r="L112" i="2" s="1"/>
  <c r="G112" i="4" s="1"/>
  <c r="H112" i="4" s="1"/>
  <c r="AW133" i="2"/>
  <c r="AW156" i="2"/>
  <c r="AX156" i="2"/>
  <c r="L156" i="2" s="1"/>
  <c r="G156" i="4" s="1"/>
  <c r="H156" i="4" s="1"/>
  <c r="AW136" i="2"/>
  <c r="AX173" i="2"/>
  <c r="L173" i="2" s="1"/>
  <c r="G173" i="4" s="1"/>
  <c r="H173" i="4" s="1"/>
  <c r="AX123" i="2"/>
  <c r="L123" i="2" s="1"/>
  <c r="G123" i="4" s="1"/>
  <c r="H123" i="4" s="1"/>
  <c r="AX147" i="2"/>
  <c r="L147" i="2" s="1"/>
  <c r="G147" i="4" s="1"/>
  <c r="H147" i="4" s="1"/>
  <c r="AW147" i="2"/>
  <c r="AX154" i="2"/>
  <c r="L154" i="2" s="1"/>
  <c r="G154" i="4" s="1"/>
  <c r="H154" i="4" s="1"/>
  <c r="AW446" i="2"/>
  <c r="AX446" i="2"/>
  <c r="L446" i="2" s="1"/>
  <c r="G446" i="4" s="1"/>
  <c r="H446" i="4" s="1"/>
  <c r="AX443" i="2"/>
  <c r="L443" i="2" s="1"/>
  <c r="G443" i="4" s="1"/>
  <c r="H443" i="4" s="1"/>
  <c r="AW443" i="2"/>
  <c r="AW420" i="2"/>
  <c r="AX420" i="2"/>
  <c r="L420" i="2" s="1"/>
  <c r="G420" i="4" s="1"/>
  <c r="H420" i="4" s="1"/>
  <c r="AW452" i="2"/>
  <c r="AX452" i="2"/>
  <c r="L452" i="2" s="1"/>
  <c r="G452" i="4" s="1"/>
  <c r="H452" i="4" s="1"/>
  <c r="AW476" i="2"/>
  <c r="AX476" i="2"/>
  <c r="L476" i="2" s="1"/>
  <c r="G476" i="4" s="1"/>
  <c r="H476" i="4" s="1"/>
  <c r="AX449" i="2"/>
  <c r="L449" i="2" s="1"/>
  <c r="G449" i="4" s="1"/>
  <c r="H449" i="4" s="1"/>
  <c r="AW449" i="2"/>
  <c r="AW426" i="2"/>
  <c r="AX426" i="2"/>
  <c r="L426" i="2" s="1"/>
  <c r="G426" i="4" s="1"/>
  <c r="H426" i="4" s="1"/>
  <c r="AW458" i="2"/>
  <c r="AX458" i="2"/>
  <c r="L458" i="2" s="1"/>
  <c r="G458" i="4" s="1"/>
  <c r="H458" i="4" s="1"/>
  <c r="AW407" i="2"/>
  <c r="AX407" i="2"/>
  <c r="L407" i="2" s="1"/>
  <c r="G407" i="4" s="1"/>
  <c r="H407" i="4" s="1"/>
  <c r="AW455" i="2"/>
  <c r="AX455" i="2"/>
  <c r="L455" i="2" s="1"/>
  <c r="G455" i="4" s="1"/>
  <c r="H455" i="4" s="1"/>
  <c r="AW467" i="2"/>
  <c r="AX467" i="2"/>
  <c r="L467" i="2" s="1"/>
  <c r="G467" i="4" s="1"/>
  <c r="H467" i="4" s="1"/>
  <c r="AW464" i="2"/>
  <c r="AX464" i="2"/>
  <c r="L464" i="2" s="1"/>
  <c r="G464" i="4" s="1"/>
  <c r="H464" i="4" s="1"/>
  <c r="AW461" i="2"/>
  <c r="AX461" i="2"/>
  <c r="L461" i="2" s="1"/>
  <c r="G461" i="4" s="1"/>
  <c r="H461" i="4" s="1"/>
  <c r="AW482" i="2"/>
  <c r="AX482" i="2"/>
  <c r="L482" i="2" s="1"/>
  <c r="G482" i="4" s="1"/>
  <c r="H482" i="4" s="1"/>
  <c r="AW444" i="2"/>
  <c r="AX444" i="2"/>
  <c r="L444" i="2" s="1"/>
  <c r="G444" i="4" s="1"/>
  <c r="H444" i="4" s="1"/>
  <c r="AW438" i="2"/>
  <c r="AX438" i="2"/>
  <c r="L438" i="2" s="1"/>
  <c r="G438" i="4" s="1"/>
  <c r="H438" i="4" s="1"/>
  <c r="AW414" i="2"/>
  <c r="AX414" i="2"/>
  <c r="L414" i="2" s="1"/>
  <c r="G414" i="4" s="1"/>
  <c r="H414" i="4" s="1"/>
  <c r="AW477" i="2"/>
  <c r="AX477" i="2"/>
  <c r="L477" i="2" s="1"/>
  <c r="G477" i="4" s="1"/>
  <c r="H477" i="4" s="1"/>
  <c r="AW410" i="2"/>
  <c r="AX410" i="2"/>
  <c r="L410" i="2" s="1"/>
  <c r="G410" i="4" s="1"/>
  <c r="H410" i="4" s="1"/>
  <c r="AW497" i="2"/>
  <c r="AX497" i="2"/>
  <c r="L497" i="2" s="1"/>
  <c r="G497" i="4" s="1"/>
  <c r="H497" i="4" s="1"/>
  <c r="AW474" i="2"/>
  <c r="AX474" i="2"/>
  <c r="L474" i="2" s="1"/>
  <c r="G474" i="4" s="1"/>
  <c r="H474" i="4" s="1"/>
  <c r="AW408" i="2"/>
  <c r="AX408" i="2"/>
  <c r="L408" i="2" s="1"/>
  <c r="G408" i="4" s="1"/>
  <c r="H408" i="4" s="1"/>
  <c r="AW416" i="2"/>
  <c r="AX416" i="2"/>
  <c r="L416" i="2" s="1"/>
  <c r="G416" i="4" s="1"/>
  <c r="H416" i="4" s="1"/>
  <c r="AW413" i="2"/>
  <c r="AX413" i="2"/>
  <c r="L413" i="2" s="1"/>
  <c r="G413" i="4" s="1"/>
  <c r="H413" i="4" s="1"/>
  <c r="AX422" i="2"/>
  <c r="L422" i="2" s="1"/>
  <c r="G422" i="4" s="1"/>
  <c r="H422" i="4" s="1"/>
  <c r="AW422" i="2"/>
  <c r="AW419" i="2"/>
  <c r="AX419" i="2"/>
  <c r="L419" i="2" s="1"/>
  <c r="G419" i="4" s="1"/>
  <c r="H419" i="4" s="1"/>
  <c r="AW428" i="2"/>
  <c r="AX428" i="2"/>
  <c r="L428" i="2" s="1"/>
  <c r="G428" i="4" s="1"/>
  <c r="H428" i="4" s="1"/>
  <c r="AW425" i="2"/>
  <c r="AX425" i="2"/>
  <c r="L425" i="2" s="1"/>
  <c r="G425" i="4" s="1"/>
  <c r="H425" i="4" s="1"/>
  <c r="AW488" i="2"/>
  <c r="AX488" i="2"/>
  <c r="L488" i="2" s="1"/>
  <c r="G488" i="4" s="1"/>
  <c r="H488" i="4" s="1"/>
  <c r="AW450" i="2"/>
  <c r="AX450" i="2"/>
  <c r="L450" i="2" s="1"/>
  <c r="G450" i="4" s="1"/>
  <c r="H450" i="4" s="1"/>
  <c r="AW434" i="2"/>
  <c r="AX434" i="2"/>
  <c r="L434" i="2" s="1"/>
  <c r="G434" i="4" s="1"/>
  <c r="H434" i="4" s="1"/>
  <c r="AW470" i="2"/>
  <c r="AX470" i="2"/>
  <c r="L470" i="2" s="1"/>
  <c r="G470" i="4" s="1"/>
  <c r="H470" i="4" s="1"/>
  <c r="AW431" i="2"/>
  <c r="AX431" i="2"/>
  <c r="L431" i="2" s="1"/>
  <c r="G431" i="4" s="1"/>
  <c r="H431" i="4" s="1"/>
  <c r="AW473" i="2"/>
  <c r="AX473" i="2"/>
  <c r="L473" i="2" s="1"/>
  <c r="G473" i="4" s="1"/>
  <c r="H473" i="4" s="1"/>
  <c r="AW440" i="2"/>
  <c r="AX440" i="2"/>
  <c r="L440" i="2" s="1"/>
  <c r="G440" i="4" s="1"/>
  <c r="H440" i="4" s="1"/>
  <c r="AX437" i="2"/>
  <c r="L437" i="2" s="1"/>
  <c r="G437" i="4" s="1"/>
  <c r="H437" i="4" s="1"/>
  <c r="AW437" i="2"/>
  <c r="AW432" i="2"/>
  <c r="AX432" i="2"/>
  <c r="L432" i="2" s="1"/>
  <c r="G432" i="4" s="1"/>
  <c r="H432" i="4" s="1"/>
  <c r="AW323" i="2"/>
  <c r="AX323" i="2"/>
  <c r="L323" i="2" s="1"/>
  <c r="G323" i="4" s="1"/>
  <c r="H323" i="4" s="1"/>
  <c r="AW263" i="2"/>
  <c r="AX263" i="2"/>
  <c r="L263" i="2" s="1"/>
  <c r="G263" i="4" s="1"/>
  <c r="H263" i="4" s="1"/>
  <c r="AX311" i="2"/>
  <c r="L311" i="2" s="1"/>
  <c r="G311" i="4" s="1"/>
  <c r="H311" i="4" s="1"/>
  <c r="AW311" i="2"/>
  <c r="AX287" i="2"/>
  <c r="L287" i="2" s="1"/>
  <c r="G287" i="4" s="1"/>
  <c r="H287" i="4" s="1"/>
  <c r="AW287" i="2"/>
  <c r="AW290" i="2"/>
  <c r="AX290" i="2"/>
  <c r="L290" i="2" s="1"/>
  <c r="G290" i="4" s="1"/>
  <c r="H290" i="4" s="1"/>
  <c r="AW275" i="2"/>
  <c r="AX275" i="2"/>
  <c r="L275" i="2" s="1"/>
  <c r="G275" i="4" s="1"/>
  <c r="H275" i="4" s="1"/>
  <c r="AX299" i="2"/>
  <c r="L299" i="2" s="1"/>
  <c r="G299" i="4" s="1"/>
  <c r="H299" i="4" s="1"/>
  <c r="AW299" i="2"/>
  <c r="AW278" i="2"/>
  <c r="AX278" i="2"/>
  <c r="L278" i="2" s="1"/>
  <c r="G278" i="4" s="1"/>
  <c r="H278" i="4" s="1"/>
  <c r="AW266" i="2"/>
  <c r="AX266" i="2"/>
  <c r="L266" i="2" s="1"/>
  <c r="G266" i="4" s="1"/>
  <c r="H266" i="4" s="1"/>
  <c r="AX302" i="2"/>
  <c r="L302" i="2" s="1"/>
  <c r="G302" i="4" s="1"/>
  <c r="H302" i="4" s="1"/>
  <c r="AW302" i="2"/>
  <c r="AX314" i="2"/>
  <c r="L314" i="2" s="1"/>
  <c r="G314" i="4" s="1"/>
  <c r="H314" i="4" s="1"/>
  <c r="AW314" i="2"/>
  <c r="AW326" i="2"/>
  <c r="AX326" i="2"/>
  <c r="L326" i="2" s="1"/>
  <c r="G326" i="4" s="1"/>
  <c r="H326" i="4" s="1"/>
  <c r="AK13" i="2"/>
  <c r="AG13" i="2"/>
  <c r="AJ13" i="2"/>
  <c r="AI13" i="2"/>
  <c r="AH13" i="2"/>
  <c r="AH11" i="2"/>
  <c r="AK11" i="2"/>
  <c r="K5" i="2" s="1"/>
  <c r="AJ11" i="2"/>
  <c r="AI11" i="2"/>
  <c r="AK14" i="2"/>
  <c r="AG14" i="2"/>
  <c r="AI14" i="2"/>
  <c r="AH14" i="2"/>
  <c r="AH12" i="2"/>
  <c r="AK12" i="2"/>
  <c r="AG12" i="2"/>
  <c r="AJ12" i="2"/>
  <c r="AI12" i="2"/>
  <c r="AJ14" i="2"/>
  <c r="AU14" i="2" l="1"/>
  <c r="AP14" i="2"/>
  <c r="F14" i="2"/>
  <c r="AT14" i="2"/>
  <c r="F12" i="2"/>
  <c r="AP12" i="2"/>
  <c r="AT12" i="2"/>
  <c r="AU12" i="2"/>
  <c r="AU11" i="2"/>
  <c r="AT11" i="2"/>
  <c r="AP11" i="2"/>
  <c r="AP13" i="2"/>
  <c r="AP110" i="2"/>
  <c r="F13" i="2"/>
  <c r="F110" i="2"/>
  <c r="AT13" i="2"/>
  <c r="AT110" i="2"/>
  <c r="AU13" i="2"/>
  <c r="AU110" i="2"/>
  <c r="L10" i="2" l="1"/>
  <c r="M1" i="2" l="1"/>
  <c r="AO12" i="2"/>
  <c r="AQ12" i="2"/>
  <c r="AO13" i="2"/>
  <c r="AQ13" i="2"/>
  <c r="AO14" i="2"/>
  <c r="AQ14" i="2"/>
  <c r="AO15" i="2"/>
  <c r="AQ15" i="2"/>
  <c r="AO16" i="2"/>
  <c r="AQ16" i="2"/>
  <c r="AO17" i="2"/>
  <c r="AQ17" i="2"/>
  <c r="AO18" i="2"/>
  <c r="AQ18" i="2"/>
  <c r="AO19" i="2"/>
  <c r="AQ19" i="2"/>
  <c r="AO20" i="2"/>
  <c r="AQ20" i="2"/>
  <c r="AO21" i="2"/>
  <c r="AQ21" i="2"/>
  <c r="AO22" i="2"/>
  <c r="AQ22" i="2"/>
  <c r="AO23" i="2"/>
  <c r="AQ23" i="2"/>
  <c r="AO24" i="2"/>
  <c r="AQ24" i="2"/>
  <c r="AO25" i="2"/>
  <c r="AQ25" i="2"/>
  <c r="AO26" i="2"/>
  <c r="AQ26" i="2"/>
  <c r="AO27" i="2"/>
  <c r="AQ27" i="2"/>
  <c r="AO28" i="2"/>
  <c r="AQ28" i="2"/>
  <c r="AO29" i="2"/>
  <c r="AQ29" i="2"/>
  <c r="AO30" i="2"/>
  <c r="AQ30" i="2"/>
  <c r="AO31" i="2"/>
  <c r="AQ31" i="2"/>
  <c r="AO32" i="2"/>
  <c r="AQ32" i="2"/>
  <c r="AO33" i="2"/>
  <c r="AQ33" i="2"/>
  <c r="AO34" i="2"/>
  <c r="AQ34" i="2"/>
  <c r="AO35" i="2"/>
  <c r="AQ35" i="2"/>
  <c r="AO36" i="2"/>
  <c r="AQ36" i="2"/>
  <c r="AO37" i="2"/>
  <c r="AQ37" i="2"/>
  <c r="AO38" i="2"/>
  <c r="AQ38" i="2"/>
  <c r="AO39" i="2"/>
  <c r="AQ39" i="2"/>
  <c r="AO40" i="2"/>
  <c r="AQ40" i="2"/>
  <c r="AO41" i="2"/>
  <c r="AQ41" i="2"/>
  <c r="AO42" i="2"/>
  <c r="AQ42" i="2"/>
  <c r="AO43" i="2"/>
  <c r="AQ43" i="2"/>
  <c r="AO44" i="2"/>
  <c r="AQ44" i="2"/>
  <c r="AO45" i="2"/>
  <c r="AQ45" i="2"/>
  <c r="AO46" i="2"/>
  <c r="AQ46" i="2"/>
  <c r="AO47" i="2"/>
  <c r="AQ47" i="2"/>
  <c r="AO48" i="2"/>
  <c r="AQ48" i="2"/>
  <c r="AO49" i="2"/>
  <c r="AQ49" i="2"/>
  <c r="AO50" i="2"/>
  <c r="AQ50" i="2"/>
  <c r="AO51" i="2"/>
  <c r="AQ51" i="2"/>
  <c r="AO52" i="2"/>
  <c r="AQ52" i="2"/>
  <c r="AO53" i="2"/>
  <c r="AQ53" i="2"/>
  <c r="AO54" i="2"/>
  <c r="AQ54" i="2"/>
  <c r="AO55" i="2"/>
  <c r="AQ55" i="2"/>
  <c r="AO56" i="2"/>
  <c r="AQ56" i="2"/>
  <c r="AO57" i="2"/>
  <c r="AQ57" i="2"/>
  <c r="AO58" i="2"/>
  <c r="AQ58" i="2"/>
  <c r="AO59" i="2"/>
  <c r="AQ59" i="2"/>
  <c r="AO60" i="2"/>
  <c r="AQ60" i="2"/>
  <c r="AO61" i="2"/>
  <c r="AQ61" i="2"/>
  <c r="AO62" i="2"/>
  <c r="AQ62" i="2"/>
  <c r="AO63" i="2"/>
  <c r="AQ63" i="2"/>
  <c r="AO64" i="2"/>
  <c r="AQ64" i="2"/>
  <c r="AO65" i="2"/>
  <c r="AQ65" i="2"/>
  <c r="AO66" i="2"/>
  <c r="AQ66" i="2"/>
  <c r="AO67" i="2"/>
  <c r="AQ67" i="2"/>
  <c r="AO68" i="2"/>
  <c r="AQ68" i="2"/>
  <c r="AO69" i="2"/>
  <c r="AQ69" i="2"/>
  <c r="AO70" i="2"/>
  <c r="AQ70" i="2"/>
  <c r="AO71" i="2"/>
  <c r="AQ71" i="2"/>
  <c r="AO72" i="2"/>
  <c r="AQ72" i="2"/>
  <c r="AO73" i="2"/>
  <c r="AQ73" i="2"/>
  <c r="AO74" i="2"/>
  <c r="AQ74" i="2"/>
  <c r="AO75" i="2"/>
  <c r="AQ75" i="2"/>
  <c r="AO76" i="2"/>
  <c r="AQ76" i="2"/>
  <c r="AO77" i="2"/>
  <c r="AQ77" i="2"/>
  <c r="AO78" i="2"/>
  <c r="AQ78" i="2"/>
  <c r="AO79" i="2"/>
  <c r="AQ79" i="2"/>
  <c r="AO80" i="2"/>
  <c r="AQ80" i="2"/>
  <c r="AO81" i="2"/>
  <c r="AQ81" i="2"/>
  <c r="AO82" i="2"/>
  <c r="AQ82" i="2"/>
  <c r="AO83" i="2"/>
  <c r="AQ83" i="2"/>
  <c r="AO84" i="2"/>
  <c r="AQ84" i="2"/>
  <c r="AO85" i="2"/>
  <c r="AQ85" i="2"/>
  <c r="AO86" i="2"/>
  <c r="AQ86" i="2"/>
  <c r="AO87" i="2"/>
  <c r="AQ87" i="2"/>
  <c r="AO88" i="2"/>
  <c r="AQ88" i="2"/>
  <c r="AO89" i="2"/>
  <c r="AQ89" i="2"/>
  <c r="AO90" i="2"/>
  <c r="AQ90" i="2"/>
  <c r="AO91" i="2"/>
  <c r="AQ91" i="2"/>
  <c r="AO92" i="2"/>
  <c r="AQ92" i="2"/>
  <c r="AO93" i="2"/>
  <c r="AQ93" i="2"/>
  <c r="AO94" i="2"/>
  <c r="AQ94" i="2"/>
  <c r="AO95" i="2"/>
  <c r="AQ95" i="2"/>
  <c r="AO96" i="2"/>
  <c r="AQ96" i="2"/>
  <c r="AO97" i="2"/>
  <c r="AQ97" i="2"/>
  <c r="AO98" i="2"/>
  <c r="AQ98" i="2"/>
  <c r="AO99" i="2"/>
  <c r="AQ99" i="2"/>
  <c r="AO100" i="2"/>
  <c r="AQ100" i="2"/>
  <c r="AO101" i="2"/>
  <c r="AQ101" i="2"/>
  <c r="AO102" i="2"/>
  <c r="AQ102" i="2"/>
  <c r="AO103" i="2"/>
  <c r="AQ103" i="2"/>
  <c r="AO104" i="2"/>
  <c r="AQ104" i="2"/>
  <c r="AO105" i="2"/>
  <c r="AQ105" i="2"/>
  <c r="AO106" i="2"/>
  <c r="AQ106" i="2"/>
  <c r="AO107" i="2"/>
  <c r="AQ107" i="2"/>
  <c r="AO108" i="2"/>
  <c r="AQ108" i="2"/>
  <c r="AO109" i="2"/>
  <c r="AQ109" i="2"/>
  <c r="AO110" i="2"/>
  <c r="AQ110" i="2"/>
  <c r="AQ11" i="2"/>
  <c r="AO11" i="2"/>
  <c r="AR25" i="2" l="1"/>
  <c r="AW25" i="2" s="1"/>
  <c r="AR53" i="2"/>
  <c r="AW53" i="2" s="1"/>
  <c r="AR56" i="2"/>
  <c r="AW56" i="2" s="1"/>
  <c r="AR41" i="2"/>
  <c r="AW41" i="2" s="1"/>
  <c r="AR21" i="2"/>
  <c r="AX21" i="2" s="1"/>
  <c r="AR54" i="2"/>
  <c r="AW54" i="2" s="1"/>
  <c r="AR44" i="2"/>
  <c r="AW44" i="2" s="1"/>
  <c r="AR34" i="2"/>
  <c r="AW34" i="2" s="1"/>
  <c r="AR105" i="2"/>
  <c r="AX105" i="2" s="1"/>
  <c r="AR89" i="2"/>
  <c r="AW89" i="2" s="1"/>
  <c r="AR24" i="2"/>
  <c r="AW24" i="2" s="1"/>
  <c r="AR103" i="2"/>
  <c r="AX103" i="2" s="1"/>
  <c r="AR57" i="2"/>
  <c r="AW57" i="2" s="1"/>
  <c r="AR37" i="2"/>
  <c r="AW37" i="2" s="1"/>
  <c r="AR22" i="2"/>
  <c r="AW22" i="2" s="1"/>
  <c r="AR50" i="2"/>
  <c r="AW50" i="2" s="1"/>
  <c r="AR63" i="2"/>
  <c r="AW63" i="2" s="1"/>
  <c r="AR60" i="2"/>
  <c r="AW60" i="2" s="1"/>
  <c r="AR40" i="2"/>
  <c r="AW40" i="2" s="1"/>
  <c r="AR18" i="2"/>
  <c r="AW18" i="2" s="1"/>
  <c r="AR97" i="2"/>
  <c r="AW97" i="2" s="1"/>
  <c r="AR38" i="2"/>
  <c r="AW38" i="2" s="1"/>
  <c r="AR28" i="2"/>
  <c r="AW28" i="2" s="1"/>
  <c r="AR106" i="2"/>
  <c r="AW106" i="2" s="1"/>
  <c r="AR98" i="2"/>
  <c r="AX98" i="2" s="1"/>
  <c r="AR90" i="2"/>
  <c r="AW90" i="2" s="1"/>
  <c r="AR82" i="2"/>
  <c r="AW82" i="2" s="1"/>
  <c r="AR74" i="2"/>
  <c r="AW74" i="2" s="1"/>
  <c r="AR66" i="2"/>
  <c r="AW66" i="2" s="1"/>
  <c r="AR51" i="2"/>
  <c r="AW51" i="2" s="1"/>
  <c r="AR35" i="2"/>
  <c r="AW35" i="2" s="1"/>
  <c r="AR19" i="2"/>
  <c r="AW19" i="2" s="1"/>
  <c r="AR61" i="2"/>
  <c r="AW61" i="2" s="1"/>
  <c r="AR58" i="2"/>
  <c r="AW58" i="2" s="1"/>
  <c r="AR48" i="2"/>
  <c r="AR45" i="2"/>
  <c r="AR42" i="2"/>
  <c r="AW42" i="2" s="1"/>
  <c r="AR32" i="2"/>
  <c r="AR29" i="2"/>
  <c r="AR26" i="2"/>
  <c r="AW26" i="2" s="1"/>
  <c r="AR104" i="2"/>
  <c r="AW104" i="2" s="1"/>
  <c r="AR55" i="2"/>
  <c r="AW55" i="2" s="1"/>
  <c r="AR39" i="2"/>
  <c r="AW39" i="2" s="1"/>
  <c r="AR23" i="2"/>
  <c r="AW23" i="2" s="1"/>
  <c r="AR17" i="2"/>
  <c r="AR15" i="2"/>
  <c r="AW15" i="2" s="1"/>
  <c r="AR109" i="2"/>
  <c r="AX109" i="2" s="1"/>
  <c r="AR107" i="2"/>
  <c r="AX107" i="2" s="1"/>
  <c r="AR99" i="2"/>
  <c r="AW99" i="2" s="1"/>
  <c r="AR52" i="2"/>
  <c r="AR49" i="2"/>
  <c r="AR46" i="2"/>
  <c r="AW46" i="2" s="1"/>
  <c r="AR36" i="2"/>
  <c r="AR33" i="2"/>
  <c r="AR30" i="2"/>
  <c r="AW30" i="2" s="1"/>
  <c r="AR20" i="2"/>
  <c r="AR101" i="2"/>
  <c r="AX101" i="2" s="1"/>
  <c r="AR93" i="2"/>
  <c r="AW93" i="2" s="1"/>
  <c r="AR110" i="2"/>
  <c r="AW110" i="2" s="1"/>
  <c r="AR102" i="2"/>
  <c r="AW102" i="2" s="1"/>
  <c r="AR94" i="2"/>
  <c r="AW94" i="2" s="1"/>
  <c r="AR86" i="2"/>
  <c r="AW86" i="2" s="1"/>
  <c r="AR78" i="2"/>
  <c r="AW78" i="2" s="1"/>
  <c r="AR70" i="2"/>
  <c r="AW70" i="2" s="1"/>
  <c r="AR62" i="2"/>
  <c r="AW62" i="2" s="1"/>
  <c r="AR59" i="2"/>
  <c r="AW59" i="2" s="1"/>
  <c r="AR43" i="2"/>
  <c r="AW43" i="2" s="1"/>
  <c r="AR27" i="2"/>
  <c r="AW27" i="2" s="1"/>
  <c r="AR108" i="2"/>
  <c r="AX108" i="2" s="1"/>
  <c r="AR100" i="2"/>
  <c r="AX100" i="2" s="1"/>
  <c r="AR47" i="2"/>
  <c r="AW47" i="2" s="1"/>
  <c r="AR31" i="2"/>
  <c r="AW31" i="2" s="1"/>
  <c r="AR13" i="2"/>
  <c r="AR91" i="2"/>
  <c r="AR87" i="2"/>
  <c r="AR83" i="2"/>
  <c r="AR79" i="2"/>
  <c r="AR75" i="2"/>
  <c r="AR71" i="2"/>
  <c r="AR67" i="2"/>
  <c r="AR16" i="2"/>
  <c r="AR95" i="2"/>
  <c r="AR84" i="2"/>
  <c r="AR80" i="2"/>
  <c r="AR76" i="2"/>
  <c r="AR72" i="2"/>
  <c r="AR68" i="2"/>
  <c r="AR64" i="2"/>
  <c r="AR14" i="2"/>
  <c r="AR96" i="2"/>
  <c r="AR92" i="2"/>
  <c r="AR88" i="2"/>
  <c r="AR85" i="2"/>
  <c r="AR81" i="2"/>
  <c r="AR77" i="2"/>
  <c r="AR73" i="2"/>
  <c r="AR69" i="2"/>
  <c r="AR65" i="2"/>
  <c r="AR12" i="2"/>
  <c r="AR11" i="2"/>
  <c r="AX11" i="2" s="1"/>
  <c r="L11" i="2" s="1"/>
  <c r="L100" i="2" l="1"/>
  <c r="G100" i="4" s="1"/>
  <c r="H100" i="4" s="1"/>
  <c r="AW103" i="2"/>
  <c r="L103" i="2" s="1"/>
  <c r="G103" i="4" s="1"/>
  <c r="H103" i="4" s="1"/>
  <c r="AX41" i="2"/>
  <c r="L41" i="2" s="1"/>
  <c r="G41" i="4" s="1"/>
  <c r="H41" i="4" s="1"/>
  <c r="AX18" i="2"/>
  <c r="L18" i="2" s="1"/>
  <c r="G18" i="4" s="1"/>
  <c r="H18" i="4" s="1"/>
  <c r="AW107" i="2"/>
  <c r="L107" i="2" s="1"/>
  <c r="G107" i="4" s="1"/>
  <c r="H107" i="4" s="1"/>
  <c r="AX74" i="2"/>
  <c r="L74" i="2" s="1"/>
  <c r="G74" i="4" s="1"/>
  <c r="H74" i="4" s="1"/>
  <c r="AX104" i="2"/>
  <c r="L104" i="2" s="1"/>
  <c r="G104" i="4" s="1"/>
  <c r="H104" i="4" s="1"/>
  <c r="AX53" i="2"/>
  <c r="L53" i="2" s="1"/>
  <c r="G53" i="4" s="1"/>
  <c r="H53" i="4" s="1"/>
  <c r="AX15" i="2"/>
  <c r="L15" i="2" s="1"/>
  <c r="G15" i="4" s="1"/>
  <c r="H15" i="4" s="1"/>
  <c r="AX86" i="2"/>
  <c r="L86" i="2" s="1"/>
  <c r="G86" i="4" s="1"/>
  <c r="H86" i="4" s="1"/>
  <c r="AX97" i="2"/>
  <c r="L97" i="2" s="1"/>
  <c r="G97" i="4" s="1"/>
  <c r="H97" i="4" s="1"/>
  <c r="AX25" i="2"/>
  <c r="L25" i="2" s="1"/>
  <c r="G25" i="4" s="1"/>
  <c r="H25" i="4" s="1"/>
  <c r="AX57" i="2"/>
  <c r="L57" i="2" s="1"/>
  <c r="G57" i="4" s="1"/>
  <c r="H57" i="4" s="1"/>
  <c r="AW98" i="2"/>
  <c r="L98" i="2" s="1"/>
  <c r="G98" i="4" s="1"/>
  <c r="H98" i="4" s="1"/>
  <c r="AX56" i="2"/>
  <c r="L56" i="2" s="1"/>
  <c r="G56" i="4" s="1"/>
  <c r="H56" i="4" s="1"/>
  <c r="AX94" i="2"/>
  <c r="L94" i="2" s="1"/>
  <c r="G94" i="4" s="1"/>
  <c r="H94" i="4" s="1"/>
  <c r="AX82" i="2"/>
  <c r="L82" i="2" s="1"/>
  <c r="G82" i="4" s="1"/>
  <c r="H82" i="4" s="1"/>
  <c r="AX24" i="2"/>
  <c r="L24" i="2" s="1"/>
  <c r="G24" i="4" s="1"/>
  <c r="H24" i="4" s="1"/>
  <c r="AW105" i="2"/>
  <c r="L105" i="2" s="1"/>
  <c r="G105" i="4" s="1"/>
  <c r="H105" i="4" s="1"/>
  <c r="AX110" i="2"/>
  <c r="L110" i="2" s="1"/>
  <c r="G110" i="4" s="1"/>
  <c r="H110" i="4" s="1"/>
  <c r="AX43" i="2"/>
  <c r="L43" i="2" s="1"/>
  <c r="G43" i="4" s="1"/>
  <c r="H43" i="4" s="1"/>
  <c r="AX35" i="2"/>
  <c r="L35" i="2" s="1"/>
  <c r="G35" i="4" s="1"/>
  <c r="H35" i="4" s="1"/>
  <c r="AX63" i="2"/>
  <c r="L63" i="2" s="1"/>
  <c r="G63" i="4" s="1"/>
  <c r="H63" i="4" s="1"/>
  <c r="AW21" i="2"/>
  <c r="L21" i="2" s="1"/>
  <c r="G21" i="4" s="1"/>
  <c r="H21" i="4" s="1"/>
  <c r="AX38" i="2"/>
  <c r="L38" i="2" s="1"/>
  <c r="G38" i="4" s="1"/>
  <c r="H38" i="4" s="1"/>
  <c r="AX54" i="2"/>
  <c r="L54" i="2" s="1"/>
  <c r="G54" i="4" s="1"/>
  <c r="H54" i="4" s="1"/>
  <c r="AW108" i="2"/>
  <c r="L108" i="2" s="1"/>
  <c r="G108" i="4" s="1"/>
  <c r="H108" i="4" s="1"/>
  <c r="AX39" i="2"/>
  <c r="L39" i="2" s="1"/>
  <c r="G39" i="4" s="1"/>
  <c r="H39" i="4" s="1"/>
  <c r="AX22" i="2"/>
  <c r="L22" i="2" s="1"/>
  <c r="G22" i="4" s="1"/>
  <c r="H22" i="4" s="1"/>
  <c r="AX59" i="2"/>
  <c r="L59" i="2" s="1"/>
  <c r="G59" i="4" s="1"/>
  <c r="H59" i="4" s="1"/>
  <c r="AX70" i="2"/>
  <c r="L70" i="2" s="1"/>
  <c r="G70" i="4" s="1"/>
  <c r="H70" i="4" s="1"/>
  <c r="AX37" i="2"/>
  <c r="L37" i="2" s="1"/>
  <c r="G37" i="4" s="1"/>
  <c r="H37" i="4" s="1"/>
  <c r="AX61" i="2"/>
  <c r="L61" i="2" s="1"/>
  <c r="G61" i="4" s="1"/>
  <c r="H61" i="4" s="1"/>
  <c r="AX106" i="2"/>
  <c r="L106" i="2" s="1"/>
  <c r="G106" i="4" s="1"/>
  <c r="H106" i="4" s="1"/>
  <c r="AX44" i="2"/>
  <c r="L44" i="2" s="1"/>
  <c r="G44" i="4" s="1"/>
  <c r="H44" i="4" s="1"/>
  <c r="AX40" i="2"/>
  <c r="L40" i="2" s="1"/>
  <c r="G40" i="4" s="1"/>
  <c r="H40" i="4" s="1"/>
  <c r="AX99" i="2"/>
  <c r="L99" i="2" s="1"/>
  <c r="G99" i="4" s="1"/>
  <c r="H99" i="4" s="1"/>
  <c r="AX42" i="2"/>
  <c r="L42" i="2" s="1"/>
  <c r="G42" i="4" s="1"/>
  <c r="H42" i="4" s="1"/>
  <c r="AX55" i="2"/>
  <c r="L55" i="2" s="1"/>
  <c r="G55" i="4" s="1"/>
  <c r="H55" i="4" s="1"/>
  <c r="AW11" i="2"/>
  <c r="G11" i="4" s="1"/>
  <c r="H11" i="4" s="1"/>
  <c r="AX47" i="2"/>
  <c r="L47" i="2" s="1"/>
  <c r="G47" i="4" s="1"/>
  <c r="H47" i="4" s="1"/>
  <c r="AX62" i="2"/>
  <c r="L62" i="2" s="1"/>
  <c r="G62" i="4" s="1"/>
  <c r="H62" i="4" s="1"/>
  <c r="AW101" i="2"/>
  <c r="L101" i="2" s="1"/>
  <c r="G101" i="4" s="1"/>
  <c r="H101" i="4" s="1"/>
  <c r="AW109" i="2"/>
  <c r="L109" i="2" s="1"/>
  <c r="G109" i="4" s="1"/>
  <c r="H109" i="4" s="1"/>
  <c r="AX50" i="2"/>
  <c r="L50" i="2" s="1"/>
  <c r="G50" i="4" s="1"/>
  <c r="H50" i="4" s="1"/>
  <c r="AX90" i="2"/>
  <c r="L90" i="2" s="1"/>
  <c r="G90" i="4" s="1"/>
  <c r="H90" i="4" s="1"/>
  <c r="AX60" i="2"/>
  <c r="L60" i="2" s="1"/>
  <c r="G60" i="4" s="1"/>
  <c r="H60" i="4" s="1"/>
  <c r="AX51" i="2"/>
  <c r="L51" i="2" s="1"/>
  <c r="G51" i="4" s="1"/>
  <c r="H51" i="4" s="1"/>
  <c r="AX30" i="2"/>
  <c r="L30" i="2" s="1"/>
  <c r="G30" i="4" s="1"/>
  <c r="H30" i="4" s="1"/>
  <c r="AX28" i="2"/>
  <c r="L28" i="2" s="1"/>
  <c r="G28" i="4" s="1"/>
  <c r="H28" i="4" s="1"/>
  <c r="AX89" i="2"/>
  <c r="L89" i="2" s="1"/>
  <c r="G89" i="4" s="1"/>
  <c r="H89" i="4" s="1"/>
  <c r="AX34" i="2"/>
  <c r="L34" i="2" s="1"/>
  <c r="G34" i="4" s="1"/>
  <c r="H34" i="4" s="1"/>
  <c r="AX78" i="2"/>
  <c r="L78" i="2" s="1"/>
  <c r="G78" i="4" s="1"/>
  <c r="H78" i="4" s="1"/>
  <c r="AX102" i="2"/>
  <c r="L102" i="2" s="1"/>
  <c r="G102" i="4" s="1"/>
  <c r="H102" i="4" s="1"/>
  <c r="AX27" i="2"/>
  <c r="L27" i="2" s="1"/>
  <c r="G27" i="4" s="1"/>
  <c r="H27" i="4" s="1"/>
  <c r="AX31" i="2"/>
  <c r="L31" i="2" s="1"/>
  <c r="G31" i="4" s="1"/>
  <c r="H31" i="4" s="1"/>
  <c r="AX66" i="2"/>
  <c r="L66" i="2" s="1"/>
  <c r="G66" i="4" s="1"/>
  <c r="H66" i="4" s="1"/>
  <c r="AW49" i="2"/>
  <c r="AX49" i="2"/>
  <c r="AW52" i="2"/>
  <c r="AX52" i="2"/>
  <c r="AW29" i="2"/>
  <c r="AX29" i="2"/>
  <c r="AX46" i="2"/>
  <c r="L46" i="2" s="1"/>
  <c r="G46" i="4" s="1"/>
  <c r="H46" i="4" s="1"/>
  <c r="AW20" i="2"/>
  <c r="AX20" i="2"/>
  <c r="L20" i="2" s="1"/>
  <c r="G20" i="4" s="1"/>
  <c r="H20" i="4" s="1"/>
  <c r="AW32" i="2"/>
  <c r="AX32" i="2"/>
  <c r="L32" i="2" s="1"/>
  <c r="G32" i="4" s="1"/>
  <c r="H32" i="4" s="1"/>
  <c r="AX93" i="2"/>
  <c r="L93" i="2" s="1"/>
  <c r="G93" i="4" s="1"/>
  <c r="H93" i="4" s="1"/>
  <c r="AX19" i="2"/>
  <c r="L19" i="2" s="1"/>
  <c r="G19" i="4" s="1"/>
  <c r="H19" i="4" s="1"/>
  <c r="AW100" i="2"/>
  <c r="AW33" i="2"/>
  <c r="AX33" i="2"/>
  <c r="AW45" i="2"/>
  <c r="AX45" i="2"/>
  <c r="AX23" i="2"/>
  <c r="L23" i="2" s="1"/>
  <c r="G23" i="4" s="1"/>
  <c r="H23" i="4" s="1"/>
  <c r="AX26" i="2"/>
  <c r="L26" i="2" s="1"/>
  <c r="G26" i="4" s="1"/>
  <c r="H26" i="4" s="1"/>
  <c r="AX58" i="2"/>
  <c r="L58" i="2" s="1"/>
  <c r="G58" i="4" s="1"/>
  <c r="H58" i="4" s="1"/>
  <c r="AW36" i="2"/>
  <c r="AX36" i="2"/>
  <c r="AW17" i="2"/>
  <c r="AX17" i="2"/>
  <c r="L17" i="2" s="1"/>
  <c r="G17" i="4" s="1"/>
  <c r="H17" i="4" s="1"/>
  <c r="AW48" i="2"/>
  <c r="AX48" i="2"/>
  <c r="L48" i="2" s="1"/>
  <c r="G48" i="4" s="1"/>
  <c r="H48" i="4" s="1"/>
  <c r="AW73" i="2"/>
  <c r="AX73" i="2"/>
  <c r="L73" i="2" s="1"/>
  <c r="G73" i="4" s="1"/>
  <c r="H73" i="4" s="1"/>
  <c r="AW16" i="2"/>
  <c r="AX16" i="2"/>
  <c r="L16" i="2" s="1"/>
  <c r="G16" i="4" s="1"/>
  <c r="H16" i="4" s="1"/>
  <c r="AW77" i="2"/>
  <c r="AX77" i="2"/>
  <c r="L77" i="2" s="1"/>
  <c r="G77" i="4" s="1"/>
  <c r="H77" i="4" s="1"/>
  <c r="AW92" i="2"/>
  <c r="AX92" i="2"/>
  <c r="L92" i="2" s="1"/>
  <c r="G92" i="4" s="1"/>
  <c r="H92" i="4" s="1"/>
  <c r="AW84" i="2"/>
  <c r="AX84" i="2"/>
  <c r="L84" i="2" s="1"/>
  <c r="G84" i="4" s="1"/>
  <c r="H84" i="4" s="1"/>
  <c r="AW67" i="2"/>
  <c r="AX67" i="2"/>
  <c r="AW96" i="2"/>
  <c r="AX96" i="2"/>
  <c r="L96" i="2" s="1"/>
  <c r="G96" i="4" s="1"/>
  <c r="H96" i="4" s="1"/>
  <c r="AW71" i="2"/>
  <c r="AX71" i="2"/>
  <c r="L71" i="2" s="1"/>
  <c r="G71" i="4" s="1"/>
  <c r="H71" i="4" s="1"/>
  <c r="AW80" i="2"/>
  <c r="AX80" i="2"/>
  <c r="L80" i="2" s="1"/>
  <c r="G80" i="4" s="1"/>
  <c r="H80" i="4" s="1"/>
  <c r="AW13" i="2"/>
  <c r="AX13" i="2"/>
  <c r="AW85" i="2"/>
  <c r="AX85" i="2"/>
  <c r="L85" i="2" s="1"/>
  <c r="G85" i="4" s="1"/>
  <c r="H85" i="4" s="1"/>
  <c r="AW14" i="2"/>
  <c r="AX14" i="2"/>
  <c r="L14" i="2" s="1"/>
  <c r="G14" i="4" s="1"/>
  <c r="H14" i="4" s="1"/>
  <c r="AW75" i="2"/>
  <c r="AX75" i="2"/>
  <c r="L75" i="2" s="1"/>
  <c r="G75" i="4" s="1"/>
  <c r="H75" i="4" s="1"/>
  <c r="AW88" i="2"/>
  <c r="AX88" i="2"/>
  <c r="AW81" i="2"/>
  <c r="AX81" i="2"/>
  <c r="L81" i="2" s="1"/>
  <c r="G81" i="4" s="1"/>
  <c r="H81" i="4" s="1"/>
  <c r="AW64" i="2"/>
  <c r="AX64" i="2"/>
  <c r="L64" i="2" s="1"/>
  <c r="G64" i="4" s="1"/>
  <c r="H64" i="4" s="1"/>
  <c r="AW79" i="2"/>
  <c r="AX79" i="2"/>
  <c r="L79" i="2" s="1"/>
  <c r="G79" i="4" s="1"/>
  <c r="H79" i="4" s="1"/>
  <c r="AW12" i="2"/>
  <c r="AX12" i="2"/>
  <c r="AW68" i="2"/>
  <c r="AX68" i="2"/>
  <c r="L68" i="2" s="1"/>
  <c r="G68" i="4" s="1"/>
  <c r="H68" i="4" s="1"/>
  <c r="AW83" i="2"/>
  <c r="AX83" i="2"/>
  <c r="L83" i="2" s="1"/>
  <c r="G83" i="4" s="1"/>
  <c r="H83" i="4" s="1"/>
  <c r="AW65" i="2"/>
  <c r="AX65" i="2"/>
  <c r="L65" i="2" s="1"/>
  <c r="G65" i="4" s="1"/>
  <c r="H65" i="4" s="1"/>
  <c r="AW72" i="2"/>
  <c r="AX72" i="2"/>
  <c r="L72" i="2" s="1"/>
  <c r="G72" i="4" s="1"/>
  <c r="H72" i="4" s="1"/>
  <c r="AW87" i="2"/>
  <c r="AX87" i="2"/>
  <c r="L87" i="2" s="1"/>
  <c r="G87" i="4" s="1"/>
  <c r="H87" i="4" s="1"/>
  <c r="AW69" i="2"/>
  <c r="AX69" i="2"/>
  <c r="L69" i="2" s="1"/>
  <c r="G69" i="4" s="1"/>
  <c r="H69" i="4" s="1"/>
  <c r="AW76" i="2"/>
  <c r="AX76" i="2"/>
  <c r="L76" i="2" s="1"/>
  <c r="G76" i="4" s="1"/>
  <c r="H76" i="4" s="1"/>
  <c r="AW95" i="2"/>
  <c r="AX95" i="2"/>
  <c r="L95" i="2" s="1"/>
  <c r="G95" i="4" s="1"/>
  <c r="H95" i="4" s="1"/>
  <c r="AW91" i="2"/>
  <c r="AX91" i="2"/>
  <c r="L91" i="2" s="1"/>
  <c r="G91" i="4" s="1"/>
  <c r="H91" i="4" s="1"/>
  <c r="L12" i="2" l="1"/>
  <c r="G12" i="4" s="1"/>
  <c r="H12" i="4" s="1"/>
  <c r="L88" i="2"/>
  <c r="G88" i="4" s="1"/>
  <c r="H88" i="4" s="1"/>
  <c r="L13" i="2"/>
  <c r="G13" i="4" s="1"/>
  <c r="H13" i="4" s="1"/>
  <c r="L67" i="2"/>
  <c r="G67" i="4" s="1"/>
  <c r="H67" i="4" s="1"/>
  <c r="L36" i="2"/>
  <c r="G36" i="4" s="1"/>
  <c r="H36" i="4" s="1"/>
  <c r="L29" i="2"/>
  <c r="G29" i="4" s="1"/>
  <c r="H29" i="4" s="1"/>
  <c r="L52" i="2"/>
  <c r="G52" i="4" s="1"/>
  <c r="H52" i="4" s="1"/>
  <c r="L45" i="2"/>
  <c r="G45" i="4" s="1"/>
  <c r="H45" i="4" s="1"/>
  <c r="L49" i="2"/>
  <c r="G49" i="4" s="1"/>
  <c r="H49" i="4" s="1"/>
  <c r="L33" i="2"/>
  <c r="G33" i="4" s="1"/>
  <c r="H33" i="4" s="1"/>
  <c r="I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RETEC - José Nascimento</author>
  </authors>
  <commentList>
    <comment ref="L10" authorId="0" shapeId="0" xr:uid="{FEF8F3BD-7B86-4EA9-9863-CDD968506539}">
      <text>
        <r>
          <rPr>
            <sz val="9"/>
            <color indexed="81"/>
            <rFont val="Segoe UI"/>
            <family val="2"/>
          </rPr>
          <t>Valor com frete e todos impostos inclusos.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RETEC - José Nascimento</author>
  </authors>
  <commentList>
    <comment ref="G10" authorId="0" shapeId="0" xr:uid="{0D14363F-D533-4027-B55A-8A267943B1B5}">
      <text>
        <r>
          <rPr>
            <sz val="9"/>
            <color indexed="81"/>
            <rFont val="Segoe UI"/>
            <family val="2"/>
          </rPr>
          <t>Valor com frete e todos impostos inclusos.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<sst xmlns="http://schemas.openxmlformats.org/spreadsheetml/2006/main" count="1225" uniqueCount="106">
  <si>
    <t>ITEM</t>
  </si>
  <si>
    <t>ST</t>
  </si>
  <si>
    <t>IPI</t>
  </si>
  <si>
    <t>FRETE</t>
  </si>
  <si>
    <t>MULTIPLICADOR VAREJO</t>
  </si>
  <si>
    <t>MARCA</t>
  </si>
  <si>
    <t>IMI</t>
  </si>
  <si>
    <t>PREÇO DE COMPRA + ST + IPI</t>
  </si>
  <si>
    <t>VALOR FRETE</t>
  </si>
  <si>
    <t>PREÇO DE COMPRA + ST + IPI + FRETE</t>
  </si>
  <si>
    <t>FT 1,0 (VAREJO)</t>
  </si>
  <si>
    <t>FT 1,0 (ATACADO)</t>
  </si>
  <si>
    <t>MULTIPLICADOR ATACADO</t>
  </si>
  <si>
    <t>DATA DE ATUALIZAÇÃO</t>
  </si>
  <si>
    <t>Data da última atualização de valores:</t>
  </si>
  <si>
    <t>Orçamentista:</t>
  </si>
  <si>
    <t>PERCENTUAL DE FRETE</t>
  </si>
  <si>
    <t>Código (SKU)</t>
  </si>
  <si>
    <t>Unidade</t>
  </si>
  <si>
    <t>NCM</t>
  </si>
  <si>
    <t>Descrição</t>
  </si>
  <si>
    <t>Preço de Compra</t>
  </si>
  <si>
    <t>Vendedor(a):</t>
  </si>
  <si>
    <t>Categoria</t>
  </si>
  <si>
    <t>-</t>
  </si>
  <si>
    <t>VAREJO</t>
  </si>
  <si>
    <t>ATACADO</t>
  </si>
  <si>
    <t>ALTEC</t>
  </si>
  <si>
    <t>ARMACELL</t>
  </si>
  <si>
    <t>GENEBRE</t>
  </si>
  <si>
    <t>GS.BOGADO</t>
  </si>
  <si>
    <t>ISOPUR</t>
  </si>
  <si>
    <t>ISOVER</t>
  </si>
  <si>
    <t>A</t>
  </si>
  <si>
    <t>B</t>
  </si>
  <si>
    <t>C</t>
  </si>
  <si>
    <t>D</t>
  </si>
  <si>
    <t>MPU</t>
  </si>
  <si>
    <t>NORMA DIN</t>
  </si>
  <si>
    <t>POWERMATIC</t>
  </si>
  <si>
    <t>RETEC</t>
  </si>
  <si>
    <t>ROCKFIBRAS</t>
  </si>
  <si>
    <t>SICTELL</t>
  </si>
  <si>
    <t>TECTAPE</t>
  </si>
  <si>
    <t>TRON</t>
  </si>
  <si>
    <t>TROX</t>
  </si>
  <si>
    <t>VENTISOL</t>
  </si>
  <si>
    <t>Fabricante:</t>
  </si>
  <si>
    <t>GRUPOS</t>
  </si>
  <si>
    <t>DESCRIÇÃO DO GRUPO</t>
  </si>
  <si>
    <t>Grupo</t>
  </si>
  <si>
    <t>Descrição do Grupo</t>
  </si>
  <si>
    <t>Grelhas (L &lt;= 325 mm)</t>
  </si>
  <si>
    <t>COD.</t>
  </si>
  <si>
    <t>Marca</t>
  </si>
  <si>
    <t>Grupos</t>
  </si>
  <si>
    <t>Percentual de Frete (%)</t>
  </si>
  <si>
    <r>
      <t xml:space="preserve">Multiplicador </t>
    </r>
    <r>
      <rPr>
        <b/>
        <sz val="11"/>
        <color theme="0"/>
        <rFont val="Calibri"/>
        <family val="2"/>
        <scheme val="minor"/>
      </rPr>
      <t>Varejo</t>
    </r>
  </si>
  <si>
    <r>
      <t xml:space="preserve">Multiplicador </t>
    </r>
    <r>
      <rPr>
        <b/>
        <sz val="11"/>
        <color theme="0"/>
        <rFont val="Calibri"/>
        <family val="2"/>
        <scheme val="minor"/>
      </rPr>
      <t>Atacado</t>
    </r>
  </si>
  <si>
    <t>Data de Atualização</t>
  </si>
  <si>
    <t>Fabricantes</t>
  </si>
  <si>
    <t>Categorias</t>
  </si>
  <si>
    <t>Mantas Filtrantes</t>
  </si>
  <si>
    <t>Grelhas (325 &lt; L &lt;= 525 mm), Difusores (L &lt; Tam 6), Todos os filtos (exceto mantas)</t>
  </si>
  <si>
    <t>Grelhas (L &gt; 525 mm), Difusores (L &gt;= Tam 6), Difusores lineares, Filtros Metálicos, Dampers, demais itens (exceto mantas filtrantes)</t>
  </si>
  <si>
    <t>Rolos de Alumínio liso e corrugado</t>
  </si>
  <si>
    <t>Demais itens (exceto descrito nos demais grupos)</t>
  </si>
  <si>
    <t>Todos os itens</t>
  </si>
  <si>
    <t>Todos os itens (venda para Goiânia/GO)</t>
  </si>
  <si>
    <t>Todos os itens (venda para Brasília/DF)</t>
  </si>
  <si>
    <t>Mantas</t>
  </si>
  <si>
    <t>Rolo de Manta</t>
  </si>
  <si>
    <t>Painel</t>
  </si>
  <si>
    <t>COMPRA LOCAL</t>
  </si>
  <si>
    <t>PENNSE</t>
  </si>
  <si>
    <t>TRANE</t>
  </si>
  <si>
    <t>Todos os itens (FRETE CIF)</t>
  </si>
  <si>
    <t>Todos os itens (FRETE FOB)</t>
  </si>
  <si>
    <t>AERODINÂMICA (PVC-U)</t>
  </si>
  <si>
    <t>PROJELMEC</t>
  </si>
  <si>
    <r>
      <t xml:space="preserve">Parâmetros de Composição de Valores </t>
    </r>
    <r>
      <rPr>
        <sz val="20"/>
        <color rgb="FFFF7D7D"/>
        <rFont val="Calibri"/>
        <family val="2"/>
        <scheme val="minor"/>
      </rPr>
      <t>[</t>
    </r>
    <r>
      <rPr>
        <sz val="20"/>
        <color rgb="FFFFFF00"/>
        <rFont val="Calibri"/>
        <family val="2"/>
        <scheme val="minor"/>
      </rPr>
      <t>⚠</t>
    </r>
    <r>
      <rPr>
        <sz val="20"/>
        <color rgb="FFFF7D7D"/>
        <rFont val="Calibri"/>
        <family val="2"/>
        <scheme val="minor"/>
      </rPr>
      <t xml:space="preserve"> USO RESTRITO DO DPTO DE COMPRAS]</t>
    </r>
  </si>
  <si>
    <t>ELECON/WALSYWA</t>
  </si>
  <si>
    <t xml:space="preserve">MULTIVAC/ROCKTEC </t>
  </si>
  <si>
    <t>DAIKIN</t>
  </si>
  <si>
    <t>Revisão:</t>
  </si>
  <si>
    <t>Nº CTD:</t>
  </si>
  <si>
    <t>Orçamentistas</t>
  </si>
  <si>
    <t>Vendedores</t>
  </si>
  <si>
    <t>Matheus Ramos</t>
  </si>
  <si>
    <t>Arthur Maciel</t>
  </si>
  <si>
    <t>Luan Araújo</t>
  </si>
  <si>
    <t>Wellison Chaves</t>
  </si>
  <si>
    <t>Bruno Crispim</t>
  </si>
  <si>
    <t>Túlio Batista</t>
  </si>
  <si>
    <t>Rutemar Júnior</t>
  </si>
  <si>
    <t>Iago Rangel</t>
  </si>
  <si>
    <t>Ananda Araújo</t>
  </si>
  <si>
    <t>José Nascimento</t>
  </si>
  <si>
    <t>Patrick Galletti</t>
  </si>
  <si>
    <t>QTDE</t>
  </si>
  <si>
    <t>Lucas Aquino</t>
  </si>
  <si>
    <t>Marlon Souza</t>
  </si>
  <si>
    <t>Observações</t>
  </si>
  <si>
    <t>Item</t>
  </si>
  <si>
    <t>Qtde</t>
  </si>
  <si>
    <t>Soma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</si>
</sst>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"/>
    <numFmt numFmtId="165" formatCode="&quot;R$&quot;\ #,##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rgb="FFFF7D7D"/>
      <name val="Calibri"/>
      <family val="2"/>
      <scheme val="minor"/>
    </font>
    <font>
      <sz val="20"/>
      <color rgb="FFFFFF00"/>
      <name val="Calibri"/>
      <family val="2"/>
      <scheme val="minor"/>
    </font>
    <font>
      <sz val="11"/>
      <color theme="0"/>
      <name val="Aptos Mono"/>
      <family val="3"/>
    </font>
    <font>
      <sz val="11"/>
      <color theme="1"/>
      <name val="Aptos Mono"/>
      <family val="3"/>
    </font>
    <font>
      <b/>
      <sz val="11"/>
      <color theme="1"/>
      <name val="Aptos Mono"/>
      <family val="3"/>
    </font>
    <font>
      <sz val="12"/>
      <color theme="0"/>
      <name val="Aptos Mono"/>
      <family val="3"/>
    </font>
    <font>
      <i/>
      <sz val="10"/>
      <color theme="1"/>
      <name val="Aptos Mono"/>
      <family val="3"/>
    </font>
    <font>
      <b/>
      <sz val="11"/>
      <color theme="0"/>
      <name val="Aptos Mono"/>
      <family val="3"/>
    </font>
    <font>
      <sz val="10"/>
      <color theme="0"/>
      <name val="Aptos Mono"/>
      <family val="3"/>
    </font>
    <font>
      <sz val="10"/>
      <color theme="1"/>
      <name val="Aptos Mono"/>
      <family val="3"/>
    </font>
    <font>
      <b/>
      <sz val="10"/>
      <color theme="1"/>
      <name val="Aptos Mono"/>
      <family val="3"/>
    </font>
    <font>
      <i/>
      <sz val="9"/>
      <color theme="8" tint="-0.249977111117893"/>
      <name val="Aptos Mono"/>
      <family val="3"/>
    </font>
    <font>
      <b/>
      <i/>
      <sz val="9"/>
      <color theme="8" tint="-0.249977111117893"/>
      <name val="Aptos Mono"/>
      <family val="3"/>
    </font>
    <font>
      <sz val="11"/>
      <color theme="0"/>
      <name val="Aptos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2"/>
      <color theme="0"/>
      <name val="Aptos"/>
      <family val="2"/>
    </font>
    <font>
      <i/>
      <sz val="10"/>
      <color theme="8" tint="-0.249977111117893"/>
      <name val="Aptos"/>
      <family val="2"/>
    </font>
    <font>
      <i/>
      <sz val="10"/>
      <color theme="1"/>
      <name val="Aptos"/>
      <family val="2"/>
    </font>
    <font>
      <sz val="10"/>
      <color theme="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6"/>
      <color theme="0"/>
      <name val="Aptos"/>
      <family val="2"/>
    </font>
    <font>
      <b/>
      <sz val="11"/>
      <color theme="0"/>
      <name val="Aptos"/>
      <family val="2"/>
    </font>
    <font>
      <sz val="16"/>
      <color theme="0"/>
      <name val="Aptos Mono"/>
      <family val="3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AE0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11" borderId="3" xfId="0" applyFill="1" applyBorder="1" applyAlignment="1" applyProtection="1">
      <alignment horizontal="center" vertical="center" wrapText="1"/>
      <protection locked="0"/>
    </xf>
    <xf numFmtId="0" fontId="0" fillId="11" borderId="3" xfId="0" applyFill="1" applyBorder="1" applyAlignment="1" applyProtection="1">
      <alignment horizontal="left" vertical="center" wrapText="1" indent="1"/>
      <protection locked="0"/>
    </xf>
    <xf numFmtId="9" fontId="0" fillId="11" borderId="3" xfId="2" applyFont="1" applyFill="1" applyBorder="1" applyAlignment="1" applyProtection="1">
      <alignment horizontal="center" vertical="center" wrapText="1"/>
      <protection locked="0"/>
    </xf>
    <xf numFmtId="2" fontId="0" fillId="11" borderId="3" xfId="0" applyNumberFormat="1" applyFill="1" applyBorder="1" applyAlignment="1" applyProtection="1">
      <alignment horizontal="center" vertical="center" wrapText="1"/>
      <protection locked="0"/>
    </xf>
    <xf numFmtId="14" fontId="0" fillId="11" borderId="3" xfId="0" applyNumberFormat="1" applyFill="1" applyBorder="1" applyAlignment="1" applyProtection="1">
      <alignment horizontal="center" vertical="center" wrapText="1"/>
      <protection locked="0"/>
    </xf>
    <xf numFmtId="0" fontId="0" fillId="10" borderId="3" xfId="0" applyFill="1" applyBorder="1" applyAlignment="1" applyProtection="1">
      <alignment horizontal="center" vertical="center" wrapText="1"/>
      <protection locked="0"/>
    </xf>
    <xf numFmtId="0" fontId="0" fillId="10" borderId="3" xfId="0" applyFill="1" applyBorder="1" applyAlignment="1" applyProtection="1">
      <alignment horizontal="left" vertical="center" wrapText="1" indent="1"/>
      <protection locked="0"/>
    </xf>
    <xf numFmtId="9" fontId="0" fillId="10" borderId="3" xfId="2" applyFont="1" applyFill="1" applyBorder="1" applyAlignment="1" applyProtection="1">
      <alignment horizontal="center" vertical="center" wrapText="1"/>
      <protection locked="0"/>
    </xf>
    <xf numFmtId="2" fontId="0" fillId="10" borderId="3" xfId="0" applyNumberFormat="1" applyFill="1" applyBorder="1" applyAlignment="1" applyProtection="1">
      <alignment horizontal="center" vertical="center" wrapText="1"/>
      <protection locked="0"/>
    </xf>
    <xf numFmtId="14" fontId="0" fillId="10" borderId="3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6" borderId="4" xfId="0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64" fontId="9" fillId="6" borderId="4" xfId="0" applyNumberFormat="1" applyFont="1" applyFill="1" applyBorder="1" applyAlignment="1" applyProtection="1">
      <alignment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164" fontId="10" fillId="0" borderId="0" xfId="0" applyNumberFormat="1" applyFont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left" vertical="center" wrapText="1" indent="1"/>
      <protection hidden="1"/>
    </xf>
    <xf numFmtId="0" fontId="10" fillId="0" borderId="0" xfId="0" applyFont="1" applyAlignment="1" applyProtection="1">
      <alignment horizontal="right" vertical="center" wrapText="1" indent="1"/>
      <protection hidden="1"/>
    </xf>
    <xf numFmtId="0" fontId="11" fillId="0" borderId="0" xfId="0" applyFont="1" applyAlignment="1" applyProtection="1">
      <alignment vertical="center" wrapText="1"/>
      <protection hidden="1"/>
    </xf>
    <xf numFmtId="0" fontId="13" fillId="0" borderId="0" xfId="0" applyFont="1" applyAlignment="1" applyProtection="1">
      <alignment horizontal="right" vertical="center" wrapText="1"/>
      <protection hidden="1"/>
    </xf>
    <xf numFmtId="14" fontId="13" fillId="0" borderId="0" xfId="0" applyNumberFormat="1" applyFont="1" applyAlignment="1" applyProtection="1">
      <alignment horizontal="left" vertical="center" wrapText="1" indent="1"/>
      <protection hidden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hidden="1"/>
    </xf>
    <xf numFmtId="0" fontId="10" fillId="0" borderId="8" xfId="0" applyFont="1" applyBorder="1" applyAlignment="1" applyProtection="1">
      <alignment horizontal="center" vertical="center" wrapText="1"/>
      <protection hidden="1"/>
    </xf>
    <xf numFmtId="0" fontId="14" fillId="6" borderId="1" xfId="0" applyFont="1" applyFill="1" applyBorder="1" applyAlignment="1" applyProtection="1">
      <alignment horizontal="center" vertical="center" wrapText="1"/>
      <protection hidden="1"/>
    </xf>
    <xf numFmtId="164" fontId="11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11" fillId="3" borderId="1" xfId="0" applyFont="1" applyFill="1" applyBorder="1" applyAlignment="1" applyProtection="1">
      <alignment horizontal="center" vertical="center" wrapText="1"/>
      <protection hidden="1"/>
    </xf>
    <xf numFmtId="164" fontId="15" fillId="6" borderId="3" xfId="0" applyNumberFormat="1" applyFont="1" applyFill="1" applyBorder="1" applyAlignment="1" applyProtection="1">
      <alignment horizontal="center" vertical="center" wrapText="1"/>
      <protection hidden="1"/>
    </xf>
    <xf numFmtId="0" fontId="16" fillId="7" borderId="3" xfId="0" applyFont="1" applyFill="1" applyBorder="1" applyAlignment="1" applyProtection="1">
      <alignment horizontal="center" vertical="center" wrapText="1"/>
      <protection locked="0"/>
    </xf>
    <xf numFmtId="165" fontId="16" fillId="7" borderId="3" xfId="1" applyNumberFormat="1" applyFont="1" applyFill="1" applyBorder="1" applyAlignment="1" applyProtection="1">
      <alignment horizontal="center" vertical="center" wrapText="1"/>
      <protection locked="0"/>
    </xf>
    <xf numFmtId="9" fontId="16" fillId="7" borderId="3" xfId="2" applyFont="1" applyFill="1" applyBorder="1" applyAlignment="1" applyProtection="1">
      <alignment horizontal="center" vertical="center" wrapText="1"/>
      <protection locked="0"/>
    </xf>
    <xf numFmtId="165" fontId="17" fillId="8" borderId="3" xfId="0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0" applyFont="1" applyBorder="1" applyAlignment="1" applyProtection="1">
      <alignment horizontal="center" vertical="center" wrapText="1"/>
      <protection hidden="1"/>
    </xf>
    <xf numFmtId="9" fontId="10" fillId="0" borderId="1" xfId="2" applyFont="1" applyFill="1" applyBorder="1" applyAlignment="1" applyProtection="1">
      <alignment horizontal="center" vertical="center" wrapText="1"/>
      <protection hidden="1"/>
    </xf>
    <xf numFmtId="2" fontId="10" fillId="0" borderId="1" xfId="0" applyNumberFormat="1" applyFont="1" applyBorder="1" applyAlignment="1" applyProtection="1">
      <alignment horizontal="center" vertical="center" wrapText="1"/>
      <protection hidden="1"/>
    </xf>
    <xf numFmtId="14" fontId="10" fillId="0" borderId="1" xfId="0" applyNumberFormat="1" applyFont="1" applyBorder="1" applyAlignment="1" applyProtection="1">
      <alignment horizontal="center" vertical="center" wrapText="1"/>
      <protection hidden="1"/>
    </xf>
    <xf numFmtId="164" fontId="10" fillId="4" borderId="2" xfId="0" applyNumberFormat="1" applyFont="1" applyFill="1" applyBorder="1" applyAlignment="1" applyProtection="1">
      <alignment horizontal="center" vertical="center" wrapText="1"/>
      <protection hidden="1"/>
    </xf>
    <xf numFmtId="44" fontId="10" fillId="0" borderId="1" xfId="1" applyFont="1" applyBorder="1" applyAlignment="1" applyProtection="1">
      <alignment horizontal="center" vertical="center" wrapText="1"/>
      <protection hidden="1"/>
    </xf>
    <xf numFmtId="9" fontId="10" fillId="0" borderId="1" xfId="0" applyNumberFormat="1" applyFont="1" applyBorder="1" applyAlignment="1" applyProtection="1">
      <alignment horizontal="center" vertical="center" wrapText="1"/>
      <protection hidden="1"/>
    </xf>
    <xf numFmtId="44" fontId="10" fillId="4" borderId="1" xfId="0" applyNumberFormat="1" applyFont="1" applyFill="1" applyBorder="1" applyAlignment="1" applyProtection="1">
      <alignment horizontal="center" vertical="center" wrapText="1"/>
      <protection hidden="1"/>
    </xf>
    <xf numFmtId="44" fontId="11" fillId="2" borderId="1" xfId="1" applyFont="1" applyFill="1" applyBorder="1" applyAlignment="1" applyProtection="1">
      <alignment horizontal="center" vertical="center" wrapText="1"/>
      <protection hidden="1"/>
    </xf>
    <xf numFmtId="165" fontId="16" fillId="7" borderId="3" xfId="0" applyNumberFormat="1" applyFont="1" applyFill="1" applyBorder="1" applyAlignment="1" applyProtection="1">
      <alignment horizontal="center" vertical="center" wrapText="1"/>
      <protection locked="0"/>
    </xf>
    <xf numFmtId="164" fontId="10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3" xfId="0" quotePrefix="1" applyFont="1" applyFill="1" applyBorder="1" applyAlignment="1" applyProtection="1">
      <alignment horizontal="center" vertical="center" wrapText="1"/>
      <protection hidden="1"/>
    </xf>
    <xf numFmtId="0" fontId="15" fillId="6" borderId="3" xfId="0" applyFont="1" applyFill="1" applyBorder="1" applyAlignment="1" applyProtection="1">
      <alignment horizontal="center" vertical="center" wrapText="1"/>
      <protection hidden="1"/>
    </xf>
    <xf numFmtId="0" fontId="11" fillId="0" borderId="7" xfId="0" applyFont="1" applyBorder="1" applyAlignment="1" applyProtection="1">
      <alignment horizontal="left" vertical="center" wrapText="1" indent="1"/>
      <protection hidden="1"/>
    </xf>
    <xf numFmtId="0" fontId="11" fillId="0" borderId="5" xfId="0" applyFont="1" applyBorder="1" applyAlignment="1" applyProtection="1">
      <alignment horizontal="left" vertical="center" wrapText="1" indent="1"/>
      <protection hidden="1"/>
    </xf>
    <xf numFmtId="0" fontId="21" fillId="0" borderId="0" xfId="0" applyFont="1" applyAlignment="1">
      <alignment horizontal="center" vertical="center" wrapText="1"/>
    </xf>
    <xf numFmtId="164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right" vertical="center" wrapText="1" indent="1"/>
    </xf>
    <xf numFmtId="14" fontId="24" fillId="0" borderId="0" xfId="0" applyNumberFormat="1" applyFont="1" applyAlignment="1">
      <alignment horizontal="left" vertical="center" wrapText="1" indent="1"/>
    </xf>
    <xf numFmtId="14" fontId="25" fillId="0" borderId="0" xfId="0" applyNumberFormat="1" applyFont="1" applyAlignment="1">
      <alignment horizontal="left" vertical="center" wrapText="1" inden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 wrapText="1" indent="1"/>
    </xf>
    <xf numFmtId="0" fontId="22" fillId="0" borderId="0" xfId="0" applyFont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164" fontId="20" fillId="12" borderId="3" xfId="0" applyNumberFormat="1" applyFont="1" applyFill="1" applyBorder="1" applyAlignment="1">
      <alignment horizontal="center" vertical="center" wrapText="1"/>
    </xf>
    <xf numFmtId="0" fontId="20" fillId="12" borderId="3" xfId="0" quotePrefix="1" applyFont="1" applyFill="1" applyBorder="1" applyAlignment="1">
      <alignment horizontal="center" vertical="center" wrapText="1"/>
    </xf>
    <xf numFmtId="0" fontId="20" fillId="12" borderId="3" xfId="0" applyFont="1" applyFill="1" applyBorder="1" applyAlignment="1">
      <alignment horizontal="center" vertical="center" wrapText="1"/>
    </xf>
    <xf numFmtId="164" fontId="26" fillId="12" borderId="3" xfId="0" applyNumberFormat="1" applyFont="1" applyFill="1" applyBorder="1" applyAlignment="1">
      <alignment horizontal="center" vertical="center" wrapText="1"/>
    </xf>
    <xf numFmtId="0" fontId="27" fillId="13" borderId="3" xfId="0" applyFont="1" applyFill="1" applyBorder="1" applyAlignment="1">
      <alignment horizontal="center" vertical="center" wrapText="1"/>
    </xf>
    <xf numFmtId="165" fontId="28" fillId="10" borderId="3" xfId="0" applyNumberFormat="1" applyFont="1" applyFill="1" applyBorder="1" applyAlignment="1">
      <alignment horizontal="center" vertical="center" wrapText="1"/>
    </xf>
    <xf numFmtId="0" fontId="23" fillId="12" borderId="3" xfId="0" applyFont="1" applyFill="1" applyBorder="1" applyAlignment="1">
      <alignment horizontal="center" vertical="center" wrapText="1"/>
    </xf>
    <xf numFmtId="164" fontId="9" fillId="6" borderId="5" xfId="0" applyNumberFormat="1" applyFont="1" applyFill="1" applyBorder="1" applyAlignment="1" applyProtection="1">
      <alignment vertical="center" wrapText="1"/>
      <protection hidden="1"/>
    </xf>
    <xf numFmtId="0" fontId="15" fillId="6" borderId="0" xfId="0" applyFont="1" applyFill="1" applyAlignment="1" applyProtection="1">
      <alignment horizontal="center" vertical="center" wrapText="1"/>
      <protection hidden="1"/>
    </xf>
    <xf numFmtId="14" fontId="9" fillId="6" borderId="6" xfId="0" applyNumberFormat="1" applyFont="1" applyFill="1" applyBorder="1" applyAlignment="1" applyProtection="1">
      <alignment horizontal="right" vertical="center" wrapText="1" indent="2"/>
      <protection hidden="1"/>
    </xf>
    <xf numFmtId="0" fontId="16" fillId="8" borderId="3" xfId="0" applyFont="1" applyFill="1" applyBorder="1" applyAlignment="1" applyProtection="1">
      <alignment horizontal="left" vertical="center" wrapText="1"/>
      <protection hidden="1"/>
    </xf>
    <xf numFmtId="0" fontId="10" fillId="0" borderId="1" xfId="0" applyFont="1" applyBorder="1" applyAlignment="1" applyProtection="1">
      <alignment horizontal="left" vertical="center" wrapText="1"/>
      <protection hidden="1"/>
    </xf>
    <xf numFmtId="164" fontId="9" fillId="6" borderId="0" xfId="0" applyNumberFormat="1" applyFont="1" applyFill="1" applyAlignment="1" applyProtection="1">
      <alignment vertical="center" wrapText="1"/>
      <protection hidden="1"/>
    </xf>
    <xf numFmtId="164" fontId="16" fillId="0" borderId="5" xfId="0" applyNumberFormat="1" applyFont="1" applyBorder="1" applyAlignment="1" applyProtection="1">
      <alignment horizontal="center" vertical="center" wrapText="1"/>
      <protection hidden="1"/>
    </xf>
    <xf numFmtId="1" fontId="11" fillId="7" borderId="9" xfId="0" applyNumberFormat="1" applyFont="1" applyFill="1" applyBorder="1" applyAlignment="1" applyProtection="1">
      <alignment horizontal="left" vertical="center" wrapText="1" indent="1"/>
      <protection locked="0"/>
    </xf>
    <xf numFmtId="1" fontId="11" fillId="7" borderId="6" xfId="0" applyNumberFormat="1" applyFont="1" applyFill="1" applyBorder="1" applyAlignment="1" applyProtection="1">
      <alignment horizontal="left" vertical="center" indent="1"/>
      <protection locked="0"/>
    </xf>
    <xf numFmtId="0" fontId="18" fillId="0" borderId="0" xfId="0" applyFont="1" applyAlignment="1" applyProtection="1">
      <alignment vertical="center" wrapText="1"/>
      <protection hidden="1"/>
    </xf>
    <xf numFmtId="14" fontId="19" fillId="0" borderId="0" xfId="0" applyNumberFormat="1" applyFont="1" applyAlignment="1" applyProtection="1">
      <alignment vertical="center" wrapText="1"/>
      <protection hidden="1"/>
    </xf>
    <xf numFmtId="14" fontId="30" fillId="12" borderId="6" xfId="0" applyNumberFormat="1" applyFont="1" applyFill="1" applyBorder="1" applyAlignment="1">
      <alignment horizontal="right" vertical="center" wrapText="1" indent="1"/>
    </xf>
    <xf numFmtId="164" fontId="21" fillId="0" borderId="0" xfId="0" applyNumberFormat="1" applyFont="1" applyAlignment="1">
      <alignment horizontal="left" vertical="center" wrapText="1" indent="3"/>
    </xf>
    <xf numFmtId="1" fontId="22" fillId="13" borderId="3" xfId="0" applyNumberFormat="1" applyFont="1" applyFill="1" applyBorder="1" applyAlignment="1">
      <alignment horizontal="left" vertical="center" wrapText="1" indent="1"/>
    </xf>
    <xf numFmtId="164" fontId="21" fillId="0" borderId="8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165" fontId="22" fillId="13" borderId="3" xfId="0" applyNumberFormat="1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left" vertical="center" wrapText="1" indent="1"/>
    </xf>
    <xf numFmtId="0" fontId="6" fillId="6" borderId="6" xfId="0" applyFont="1" applyFill="1" applyBorder="1" applyAlignment="1">
      <alignment horizontal="left" vertical="center" wrapText="1" indent="1"/>
    </xf>
    <xf numFmtId="164" fontId="16" fillId="0" borderId="4" xfId="0" applyNumberFormat="1" applyFont="1" applyBorder="1" applyAlignment="1" applyProtection="1">
      <alignment horizontal="center" vertical="center" wrapText="1"/>
      <protection hidden="1"/>
    </xf>
    <xf numFmtId="164" fontId="16" fillId="0" borderId="6" xfId="0" applyNumberFormat="1" applyFont="1" applyBorder="1" applyAlignment="1" applyProtection="1">
      <alignment horizontal="center" vertical="center" wrapText="1"/>
      <protection hidden="1"/>
    </xf>
    <xf numFmtId="0" fontId="11" fillId="7" borderId="4" xfId="0" applyFont="1" applyFill="1" applyBorder="1" applyAlignment="1" applyProtection="1">
      <alignment horizontal="left" vertical="center" wrapText="1" indent="1"/>
      <protection locked="0"/>
    </xf>
    <xf numFmtId="0" fontId="11" fillId="7" borderId="6" xfId="0" applyFont="1" applyFill="1" applyBorder="1" applyAlignment="1" applyProtection="1">
      <alignment horizontal="left" vertical="center" wrapText="1" indent="1"/>
      <protection locked="0"/>
    </xf>
    <xf numFmtId="0" fontId="11" fillId="7" borderId="4" xfId="0" applyFont="1" applyFill="1" applyBorder="1" applyAlignment="1" applyProtection="1">
      <alignment horizontal="center" vertical="center" wrapText="1"/>
      <protection locked="0"/>
    </xf>
    <xf numFmtId="0" fontId="11" fillId="7" borderId="6" xfId="0" applyFont="1" applyFill="1" applyBorder="1" applyAlignment="1" applyProtection="1">
      <alignment horizontal="center" vertical="center" wrapText="1"/>
      <protection locked="0"/>
    </xf>
    <xf numFmtId="0" fontId="31" fillId="6" borderId="0" xfId="0" applyFont="1" applyFill="1" applyAlignment="1" applyProtection="1">
      <alignment horizontal="center" vertical="center" wrapText="1"/>
      <protection hidden="1"/>
    </xf>
    <xf numFmtId="0" fontId="12" fillId="6" borderId="4" xfId="0" applyFont="1" applyFill="1" applyBorder="1" applyAlignment="1" applyProtection="1">
      <alignment horizontal="center" vertical="center" wrapText="1"/>
      <protection hidden="1"/>
    </xf>
    <xf numFmtId="0" fontId="12" fillId="6" borderId="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14" fontId="19" fillId="0" borderId="0" xfId="0" applyNumberFormat="1" applyFont="1" applyAlignment="1" applyProtection="1">
      <alignment horizontal="center" vertical="center" wrapText="1"/>
      <protection hidden="1"/>
    </xf>
    <xf numFmtId="164" fontId="20" fillId="12" borderId="4" xfId="0" applyNumberFormat="1" applyFont="1" applyFill="1" applyBorder="1" applyAlignment="1">
      <alignment horizontal="center" vertical="center" wrapText="1"/>
    </xf>
    <xf numFmtId="164" fontId="20" fillId="12" borderId="5" xfId="0" applyNumberFormat="1" applyFont="1" applyFill="1" applyBorder="1" applyAlignment="1">
      <alignment horizontal="center" vertical="center" wrapText="1"/>
    </xf>
    <xf numFmtId="0" fontId="23" fillId="12" borderId="3" xfId="0" applyFont="1" applyFill="1" applyBorder="1" applyAlignment="1">
      <alignment horizontal="center" vertical="center" wrapText="1"/>
    </xf>
    <xf numFmtId="0" fontId="22" fillId="13" borderId="3" xfId="0" applyFont="1" applyFill="1" applyBorder="1" applyAlignment="1">
      <alignment horizontal="center" vertical="center" wrapText="1"/>
    </xf>
    <xf numFmtId="0" fontId="29" fillId="12" borderId="5" xfId="0" applyFont="1" applyFill="1" applyBorder="1" applyAlignment="1">
      <alignment horizontal="center" vertical="center" wrapText="1"/>
    </xf>
    <xf numFmtId="0" fontId="22" fillId="13" borderId="3" xfId="0" applyFont="1" applyFill="1" applyBorder="1" applyAlignment="1">
      <alignment horizontal="left" vertical="center" wrapText="1" indent="1"/>
    </xf>
    <xf numFmtId="164" fontId="21" fillId="0" borderId="0" xfId="0" applyNumberFormat="1" applyFont="1" applyAlignment="1">
      <alignment horizontal="left" vertical="center" wrapText="1" indent="3"/>
    </xf>
    <xf numFmtId="164" fontId="21" fillId="0" borderId="10" xfId="0" applyNumberFormat="1" applyFont="1" applyBorder="1" applyAlignment="1">
      <alignment horizontal="left" vertical="center" wrapText="1" indent="3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7D7D"/>
      <color rgb="FF3FAE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80386</xdr:colOff>
      <xdr:row>0</xdr:row>
      <xdr:rowOff>74521</xdr:rowOff>
    </xdr:from>
    <xdr:to>
      <xdr:col>2</xdr:col>
      <xdr:colOff>631740</xdr:colOff>
      <xdr:row>0</xdr:row>
      <xdr:rowOff>626187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8998" y="74521"/>
          <a:ext cx="558974" cy="544046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147210</xdr:rowOff>
    </xdr:from>
    <xdr:to>
      <xdr:col>1</xdr:col>
      <xdr:colOff>1012619</xdr:colOff>
      <xdr:row>0</xdr:row>
      <xdr:rowOff>663984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147210"/>
          <a:ext cx="1653428" cy="505344"/>
        </a:xfrm>
        <a:prstGeom prst="rect">
          <a:avLst/>
        </a:prstGeom>
      </xdr:spPr>
    </xdr:pic>
    <xdr:clientData/>
  </xdr:twoCellAnchor>
  <xdr:twoCellAnchor editAs="oneCell">
    <xdr:from>
      <xdr:col>0</xdr:col>
      <xdr:colOff>66078</xdr:colOff>
      <xdr:row>0</xdr:row>
      <xdr:rowOff>138835</xdr:rowOff>
    </xdr:from>
    <xdr:to>
      <xdr:col>1</xdr:col>
      <xdr:colOff>1008212</xdr:colOff>
      <xdr:row>0</xdr:row>
      <xdr:rowOff>631569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6078" y="138835"/>
          <a:ext cx="1653428" cy="504164"/>
        </a:xfrm>
        <a:prstGeom prst="rect">
          <a:avLst/>
        </a:prstGeom>
        <a:ln>
          <a:noFill/>
        </a:ln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147210</xdr:rowOff>
    </xdr:from>
    <xdr:to>
      <xdr:col>2</xdr:col>
      <xdr:colOff>2513</xdr:colOff>
      <xdr:row>0</xdr:row>
      <xdr:rowOff>663984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FF0C43-EBDC-462D-BE7C-AC9FF396F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147210"/>
          <a:ext cx="1653428" cy="505344"/>
        </a:xfrm>
        <a:prstGeom prst="rect">
          <a:avLst/>
        </a:prstGeom>
      </xdr:spPr>
    </xdr:pic>
    <xdr:clientData/>
  </xdr:twoCellAnchor>
  <xdr:twoCellAnchor editAs="oneCell">
    <xdr:from>
      <xdr:col>0</xdr:col>
      <xdr:colOff>86580</xdr:colOff>
      <xdr:row>0</xdr:row>
      <xdr:rowOff>134687</xdr:rowOff>
    </xdr:from>
    <xdr:to>
      <xdr:col>2</xdr:col>
      <xdr:colOff>24323</xdr:colOff>
      <xdr:row>0</xdr:row>
      <xdr:rowOff>655996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BEC4D2E-45A9-4E50-85B5-AB46C97F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6580" y="134687"/>
          <a:ext cx="1652243" cy="521309"/>
        </a:xfrm>
        <a:prstGeom prst="rect">
          <a:avLst/>
        </a:prstGeom>
        <a:ln>
          <a:noFill/>
        </a:ln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  <pageSetUpPr fitToPage="1"/>
  </sheetPr>
  <dimension ref="A1:R403"/>
  <sheetViews>
    <sheetView showGridLines="0" view="pageBreakPreview" zoomScale="85" zoomScaleNormal="85" zoomScaleSheetLayoutView="85" workbookViewId="0">
      <pane ySplit="3" topLeftCell="A4" activePane="bottomLeft" state="frozen"/>
      <selection pane="bottomLeft" activeCell="R27" sqref="R27"/>
    </sheetView>
  </sheetViews>
  <sheetFormatPr defaultColWidth="9.109375" defaultRowHeight="14.4" x14ac:dyDescent="0.3"/>
  <cols>
    <col min="1" max="1" width="24.109375" style="13" hidden="1" customWidth="1"/>
    <col min="2" max="2" width="1.44140625" style="1" customWidth="1"/>
    <col min="3" max="3" width="20.6640625" style="1" customWidth="1"/>
    <col min="4" max="4" width="13.5546875" style="1" customWidth="1"/>
    <col min="5" max="5" width="52" style="1" customWidth="1"/>
    <col min="6" max="6" width="15" style="1" customWidth="1"/>
    <col min="7" max="8" width="15.44140625" style="1" customWidth="1"/>
    <col min="9" max="9" width="18.44140625" style="1" customWidth="1"/>
    <col min="10" max="10" width="1.44140625" style="1" customWidth="1"/>
    <col min="11" max="11" width="25.88671875" style="1" customWidth="1"/>
    <col min="12" max="12" width="1.44140625" style="1" customWidth="1"/>
    <col min="13" max="13" width="25.44140625" style="1" customWidth="1"/>
    <col min="14" max="14" width="1.44140625" style="1" customWidth="1"/>
    <col min="15" max="15" width="17.109375" style="1" customWidth="1"/>
    <col min="16" max="16" width="9.109375" style="1"/>
    <col min="17" max="18" width="28.21875" style="1" customWidth="1"/>
    <col min="19" max="16384" width="9.109375" style="1"/>
  </cols>
  <sheetData>
    <row r="1" spans="1:18" ht="53.25" customHeight="1" x14ac:dyDescent="0.3">
      <c r="C1" s="14"/>
      <c r="D1" s="86" t="s">
        <v>80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7"/>
    </row>
    <row r="3" spans="1:18" ht="28.8" x14ac:dyDescent="0.3">
      <c r="A3" s="15" t="s">
        <v>53</v>
      </c>
      <c r="C3" s="16" t="s">
        <v>54</v>
      </c>
      <c r="D3" s="16" t="s">
        <v>55</v>
      </c>
      <c r="E3" s="16" t="s">
        <v>51</v>
      </c>
      <c r="F3" s="16" t="s">
        <v>56</v>
      </c>
      <c r="G3" s="16" t="s">
        <v>57</v>
      </c>
      <c r="H3" s="16" t="s">
        <v>58</v>
      </c>
      <c r="I3" s="16" t="s">
        <v>59</v>
      </c>
      <c r="K3" s="16" t="s">
        <v>60</v>
      </c>
      <c r="M3" s="16" t="s">
        <v>61</v>
      </c>
      <c r="O3" s="16" t="s">
        <v>55</v>
      </c>
      <c r="Q3" s="16" t="s">
        <v>86</v>
      </c>
      <c r="R3" s="16" t="s">
        <v>87</v>
      </c>
    </row>
    <row r="4" spans="1:18" x14ac:dyDescent="0.3">
      <c r="A4" s="15" t="str">
        <f>C4&amp;D4</f>
        <v>ALTECA</v>
      </c>
      <c r="C4" s="3" t="s">
        <v>27</v>
      </c>
      <c r="D4" s="3" t="s">
        <v>33</v>
      </c>
      <c r="E4" s="4" t="s">
        <v>65</v>
      </c>
      <c r="F4" s="5">
        <v>0.08</v>
      </c>
      <c r="G4" s="6">
        <v>2.12</v>
      </c>
      <c r="H4" s="6">
        <v>1.92</v>
      </c>
      <c r="I4" s="7">
        <v>45485</v>
      </c>
      <c r="K4" s="3" t="s">
        <v>24</v>
      </c>
      <c r="M4" s="17" t="s">
        <v>24</v>
      </c>
      <c r="O4" s="17" t="s">
        <v>24</v>
      </c>
      <c r="Q4" s="17" t="s">
        <v>24</v>
      </c>
      <c r="R4" s="17" t="s">
        <v>24</v>
      </c>
    </row>
    <row r="5" spans="1:18" x14ac:dyDescent="0.3">
      <c r="A5" s="15" t="str">
        <f t="shared" ref="A5:A68" si="0">C5&amp;D5</f>
        <v>ALTECB</v>
      </c>
      <c r="C5" s="3" t="s">
        <v>27</v>
      </c>
      <c r="D5" s="3" t="s">
        <v>34</v>
      </c>
      <c r="E5" s="4" t="s">
        <v>66</v>
      </c>
      <c r="F5" s="5">
        <v>0.08</v>
      </c>
      <c r="G5" s="6">
        <v>2.12</v>
      </c>
      <c r="H5" s="6">
        <v>1.92</v>
      </c>
      <c r="I5" s="7">
        <v>45485</v>
      </c>
      <c r="K5" s="3" t="s">
        <v>27</v>
      </c>
      <c r="M5" s="17" t="s">
        <v>25</v>
      </c>
      <c r="O5" s="17" t="s">
        <v>33</v>
      </c>
      <c r="Q5" s="17" t="s">
        <v>89</v>
      </c>
      <c r="R5" s="17" t="s">
        <v>90</v>
      </c>
    </row>
    <row r="6" spans="1:18" x14ac:dyDescent="0.3">
      <c r="A6" s="15" t="str">
        <f t="shared" si="0"/>
        <v>ALTECC</v>
      </c>
      <c r="C6" s="3" t="s">
        <v>27</v>
      </c>
      <c r="D6" s="3" t="s">
        <v>35</v>
      </c>
      <c r="E6" s="4"/>
      <c r="F6" s="5"/>
      <c r="G6" s="6"/>
      <c r="H6" s="6"/>
      <c r="I6" s="7"/>
      <c r="K6" s="3" t="s">
        <v>28</v>
      </c>
      <c r="M6" s="17" t="s">
        <v>26</v>
      </c>
      <c r="O6" s="17" t="s">
        <v>34</v>
      </c>
      <c r="Q6" s="17" t="s">
        <v>88</v>
      </c>
      <c r="R6" s="17" t="s">
        <v>91</v>
      </c>
    </row>
    <row r="7" spans="1:18" x14ac:dyDescent="0.3">
      <c r="A7" s="15" t="str">
        <f t="shared" si="0"/>
        <v>ALTECD</v>
      </c>
      <c r="C7" s="3" t="s">
        <v>27</v>
      </c>
      <c r="D7" s="3" t="s">
        <v>36</v>
      </c>
      <c r="E7" s="4"/>
      <c r="F7" s="5"/>
      <c r="G7" s="6"/>
      <c r="H7" s="6"/>
      <c r="I7" s="7"/>
      <c r="K7" s="3" t="s">
        <v>29</v>
      </c>
      <c r="M7" s="2"/>
      <c r="O7" s="17" t="s">
        <v>35</v>
      </c>
      <c r="Q7" s="17" t="s">
        <v>100</v>
      </c>
      <c r="R7" s="17" t="s">
        <v>92</v>
      </c>
    </row>
    <row r="8" spans="1:18" x14ac:dyDescent="0.3">
      <c r="A8" s="15" t="str">
        <f t="shared" si="0"/>
        <v>ARMACELLA</v>
      </c>
      <c r="C8" s="8" t="s">
        <v>28</v>
      </c>
      <c r="D8" s="8" t="s">
        <v>33</v>
      </c>
      <c r="E8" s="9" t="s">
        <v>67</v>
      </c>
      <c r="F8" s="10">
        <v>0</v>
      </c>
      <c r="G8" s="11">
        <v>2.12</v>
      </c>
      <c r="H8" s="11">
        <v>1.92</v>
      </c>
      <c r="I8" s="12">
        <v>45485</v>
      </c>
      <c r="K8" s="3" t="s">
        <v>30</v>
      </c>
      <c r="M8" s="2"/>
      <c r="O8" s="17" t="s">
        <v>36</v>
      </c>
      <c r="Q8" s="17"/>
      <c r="R8" s="17" t="s">
        <v>93</v>
      </c>
    </row>
    <row r="9" spans="1:18" x14ac:dyDescent="0.3">
      <c r="A9" s="15" t="str">
        <f t="shared" si="0"/>
        <v>ARMACELLB</v>
      </c>
      <c r="C9" s="8" t="s">
        <v>28</v>
      </c>
      <c r="D9" s="8" t="s">
        <v>34</v>
      </c>
      <c r="E9" s="9"/>
      <c r="F9" s="10"/>
      <c r="G9" s="11"/>
      <c r="H9" s="11"/>
      <c r="I9" s="12"/>
      <c r="K9" s="3" t="s">
        <v>6</v>
      </c>
      <c r="M9" s="2"/>
      <c r="Q9" s="17"/>
      <c r="R9" s="17" t="s">
        <v>94</v>
      </c>
    </row>
    <row r="10" spans="1:18" x14ac:dyDescent="0.3">
      <c r="A10" s="15" t="str">
        <f t="shared" si="0"/>
        <v>ARMACELLC</v>
      </c>
      <c r="C10" s="8" t="s">
        <v>28</v>
      </c>
      <c r="D10" s="8" t="s">
        <v>35</v>
      </c>
      <c r="E10" s="9"/>
      <c r="F10" s="10"/>
      <c r="G10" s="11"/>
      <c r="H10" s="11"/>
      <c r="I10" s="12"/>
      <c r="K10" s="3" t="s">
        <v>31</v>
      </c>
      <c r="Q10" s="17"/>
      <c r="R10" s="17" t="s">
        <v>95</v>
      </c>
    </row>
    <row r="11" spans="1:18" x14ac:dyDescent="0.3">
      <c r="A11" s="15" t="str">
        <f t="shared" si="0"/>
        <v>ARMACELLD</v>
      </c>
      <c r="C11" s="8" t="s">
        <v>28</v>
      </c>
      <c r="D11" s="8" t="s">
        <v>36</v>
      </c>
      <c r="E11" s="9"/>
      <c r="F11" s="10"/>
      <c r="G11" s="11"/>
      <c r="H11" s="11"/>
      <c r="I11" s="12"/>
      <c r="K11" s="3" t="s">
        <v>32</v>
      </c>
      <c r="Q11" s="17"/>
      <c r="R11" s="17" t="s">
        <v>101</v>
      </c>
    </row>
    <row r="12" spans="1:18" x14ac:dyDescent="0.3">
      <c r="A12" s="15" t="str">
        <f t="shared" si="0"/>
        <v>GENEBREA</v>
      </c>
      <c r="C12" s="3" t="s">
        <v>29</v>
      </c>
      <c r="D12" s="3" t="s">
        <v>33</v>
      </c>
      <c r="E12" s="4" t="s">
        <v>67</v>
      </c>
      <c r="F12" s="5">
        <v>0.08</v>
      </c>
      <c r="G12" s="6">
        <v>2.12</v>
      </c>
      <c r="H12" s="6">
        <v>1.92</v>
      </c>
      <c r="I12" s="7">
        <v>45485</v>
      </c>
      <c r="K12" s="3" t="s">
        <v>37</v>
      </c>
      <c r="Q12" s="17"/>
      <c r="R12" s="17" t="s">
        <v>96</v>
      </c>
    </row>
    <row r="13" spans="1:18" x14ac:dyDescent="0.3">
      <c r="A13" s="15" t="str">
        <f t="shared" si="0"/>
        <v>GENEBREB</v>
      </c>
      <c r="C13" s="3" t="s">
        <v>29</v>
      </c>
      <c r="D13" s="3" t="s">
        <v>34</v>
      </c>
      <c r="E13" s="4"/>
      <c r="F13" s="5"/>
      <c r="G13" s="6"/>
      <c r="H13" s="6"/>
      <c r="I13" s="7"/>
      <c r="K13" s="3" t="s">
        <v>82</v>
      </c>
      <c r="Q13" s="17"/>
      <c r="R13" s="17" t="s">
        <v>97</v>
      </c>
    </row>
    <row r="14" spans="1:18" x14ac:dyDescent="0.3">
      <c r="A14" s="15" t="str">
        <f t="shared" si="0"/>
        <v>GENEBREC</v>
      </c>
      <c r="C14" s="3" t="s">
        <v>29</v>
      </c>
      <c r="D14" s="3" t="s">
        <v>35</v>
      </c>
      <c r="E14" s="4"/>
      <c r="F14" s="5"/>
      <c r="G14" s="6"/>
      <c r="H14" s="6"/>
      <c r="I14" s="7"/>
      <c r="K14" s="3" t="s">
        <v>38</v>
      </c>
      <c r="Q14" s="17"/>
      <c r="R14" s="17" t="s">
        <v>98</v>
      </c>
    </row>
    <row r="15" spans="1:18" x14ac:dyDescent="0.3">
      <c r="A15" s="15" t="str">
        <f t="shared" si="0"/>
        <v>GENEBRED</v>
      </c>
      <c r="C15" s="3" t="s">
        <v>29</v>
      </c>
      <c r="D15" s="3" t="s">
        <v>36</v>
      </c>
      <c r="E15" s="4"/>
      <c r="F15" s="5"/>
      <c r="G15" s="6"/>
      <c r="H15" s="6"/>
      <c r="I15" s="7"/>
      <c r="K15" s="3" t="s">
        <v>39</v>
      </c>
      <c r="Q15" s="17"/>
      <c r="R15" s="17"/>
    </row>
    <row r="16" spans="1:18" x14ac:dyDescent="0.3">
      <c r="A16" s="15" t="str">
        <f t="shared" si="0"/>
        <v>GS.BOGADOA</v>
      </c>
      <c r="C16" s="8" t="s">
        <v>30</v>
      </c>
      <c r="D16" s="8" t="s">
        <v>33</v>
      </c>
      <c r="E16" s="9" t="s">
        <v>67</v>
      </c>
      <c r="F16" s="10">
        <v>0.1</v>
      </c>
      <c r="G16" s="11">
        <v>2.12</v>
      </c>
      <c r="H16" s="11">
        <v>1.92</v>
      </c>
      <c r="I16" s="12">
        <v>45485</v>
      </c>
      <c r="K16" s="3" t="s">
        <v>40</v>
      </c>
      <c r="Q16" s="17"/>
      <c r="R16" s="17"/>
    </row>
    <row r="17" spans="1:18" x14ac:dyDescent="0.3">
      <c r="A17" s="15" t="str">
        <f t="shared" si="0"/>
        <v>GS.BOGADOB</v>
      </c>
      <c r="C17" s="8" t="s">
        <v>30</v>
      </c>
      <c r="D17" s="8" t="s">
        <v>34</v>
      </c>
      <c r="E17" s="9"/>
      <c r="F17" s="10"/>
      <c r="G17" s="11"/>
      <c r="H17" s="11"/>
      <c r="I17" s="12"/>
      <c r="K17" s="3" t="s">
        <v>41</v>
      </c>
      <c r="Q17" s="17"/>
      <c r="R17" s="17"/>
    </row>
    <row r="18" spans="1:18" x14ac:dyDescent="0.3">
      <c r="A18" s="15" t="str">
        <f t="shared" si="0"/>
        <v>GS.BOGADOC</v>
      </c>
      <c r="C18" s="8" t="s">
        <v>30</v>
      </c>
      <c r="D18" s="8" t="s">
        <v>35</v>
      </c>
      <c r="E18" s="9"/>
      <c r="F18" s="10"/>
      <c r="G18" s="11"/>
      <c r="H18" s="11"/>
      <c r="I18" s="12"/>
      <c r="K18" s="3" t="s">
        <v>42</v>
      </c>
      <c r="Q18" s="17"/>
      <c r="R18" s="17"/>
    </row>
    <row r="19" spans="1:18" x14ac:dyDescent="0.3">
      <c r="A19" s="15" t="str">
        <f t="shared" si="0"/>
        <v>GS.BOGADOD</v>
      </c>
      <c r="C19" s="8" t="s">
        <v>30</v>
      </c>
      <c r="D19" s="8" t="s">
        <v>36</v>
      </c>
      <c r="E19" s="9"/>
      <c r="F19" s="10"/>
      <c r="G19" s="11"/>
      <c r="H19" s="11"/>
      <c r="I19" s="12"/>
      <c r="K19" s="3" t="s">
        <v>43</v>
      </c>
      <c r="Q19" s="17"/>
      <c r="R19" s="17"/>
    </row>
    <row r="20" spans="1:18" x14ac:dyDescent="0.3">
      <c r="A20" s="15" t="str">
        <f t="shared" si="0"/>
        <v>IMIA</v>
      </c>
      <c r="C20" s="3" t="s">
        <v>6</v>
      </c>
      <c r="D20" s="3" t="s">
        <v>33</v>
      </c>
      <c r="E20" s="4" t="s">
        <v>68</v>
      </c>
      <c r="F20" s="5">
        <v>0.08</v>
      </c>
      <c r="G20" s="6">
        <v>2.12</v>
      </c>
      <c r="H20" s="6">
        <v>1.92</v>
      </c>
      <c r="I20" s="7">
        <v>45485</v>
      </c>
      <c r="K20" s="3" t="s">
        <v>44</v>
      </c>
      <c r="Q20" s="17"/>
      <c r="R20" s="17"/>
    </row>
    <row r="21" spans="1:18" x14ac:dyDescent="0.3">
      <c r="A21" s="15" t="str">
        <f t="shared" si="0"/>
        <v>IMIB</v>
      </c>
      <c r="C21" s="3" t="s">
        <v>6</v>
      </c>
      <c r="D21" s="3" t="s">
        <v>34</v>
      </c>
      <c r="E21" s="4" t="s">
        <v>69</v>
      </c>
      <c r="F21" s="5">
        <v>0.11</v>
      </c>
      <c r="G21" s="6">
        <v>2.12</v>
      </c>
      <c r="H21" s="6">
        <v>1.92</v>
      </c>
      <c r="I21" s="7">
        <v>45485</v>
      </c>
      <c r="K21" s="3" t="s">
        <v>45</v>
      </c>
      <c r="Q21" s="17"/>
      <c r="R21" s="17"/>
    </row>
    <row r="22" spans="1:18" x14ac:dyDescent="0.3">
      <c r="A22" s="15" t="str">
        <f t="shared" si="0"/>
        <v>IMIC</v>
      </c>
      <c r="C22" s="3" t="s">
        <v>6</v>
      </c>
      <c r="D22" s="3" t="s">
        <v>35</v>
      </c>
      <c r="E22" s="4"/>
      <c r="F22" s="5"/>
      <c r="G22" s="6"/>
      <c r="H22" s="6"/>
      <c r="I22" s="7"/>
      <c r="K22" s="3" t="s">
        <v>46</v>
      </c>
      <c r="Q22" s="17"/>
      <c r="R22" s="17"/>
    </row>
    <row r="23" spans="1:18" x14ac:dyDescent="0.3">
      <c r="A23" s="15" t="str">
        <f t="shared" si="0"/>
        <v>IMID</v>
      </c>
      <c r="C23" s="3" t="s">
        <v>6</v>
      </c>
      <c r="D23" s="3" t="s">
        <v>36</v>
      </c>
      <c r="E23" s="4"/>
      <c r="F23" s="5"/>
      <c r="G23" s="6"/>
      <c r="H23" s="6"/>
      <c r="I23" s="7"/>
      <c r="K23" s="3" t="s">
        <v>74</v>
      </c>
      <c r="Q23" s="17"/>
      <c r="R23" s="17"/>
    </row>
    <row r="24" spans="1:18" x14ac:dyDescent="0.3">
      <c r="A24" s="15" t="str">
        <f t="shared" si="0"/>
        <v>ISOPURA</v>
      </c>
      <c r="C24" s="8" t="s">
        <v>31</v>
      </c>
      <c r="D24" s="8" t="s">
        <v>33</v>
      </c>
      <c r="E24" s="9" t="s">
        <v>70</v>
      </c>
      <c r="F24" s="10">
        <v>0.3</v>
      </c>
      <c r="G24" s="11">
        <v>2.12</v>
      </c>
      <c r="H24" s="11">
        <v>1.92</v>
      </c>
      <c r="I24" s="12">
        <v>45485</v>
      </c>
      <c r="K24" s="3" t="s">
        <v>75</v>
      </c>
      <c r="Q24" s="17"/>
      <c r="R24" s="17"/>
    </row>
    <row r="25" spans="1:18" x14ac:dyDescent="0.3">
      <c r="A25" s="15" t="str">
        <f t="shared" si="0"/>
        <v>ISOPURB</v>
      </c>
      <c r="C25" s="8" t="s">
        <v>31</v>
      </c>
      <c r="D25" s="8" t="s">
        <v>34</v>
      </c>
      <c r="E25" s="9" t="s">
        <v>66</v>
      </c>
      <c r="F25" s="10">
        <v>0.1</v>
      </c>
      <c r="G25" s="11">
        <v>2.12</v>
      </c>
      <c r="H25" s="11">
        <v>1.92</v>
      </c>
      <c r="I25" s="12">
        <v>45485</v>
      </c>
      <c r="K25" s="3" t="s">
        <v>81</v>
      </c>
      <c r="Q25" s="17"/>
      <c r="R25" s="17"/>
    </row>
    <row r="26" spans="1:18" x14ac:dyDescent="0.3">
      <c r="A26" s="15" t="str">
        <f t="shared" si="0"/>
        <v>ISOPURC</v>
      </c>
      <c r="C26" s="8" t="s">
        <v>31</v>
      </c>
      <c r="D26" s="8" t="s">
        <v>35</v>
      </c>
      <c r="E26" s="9"/>
      <c r="F26" s="10"/>
      <c r="G26" s="11"/>
      <c r="H26" s="11"/>
      <c r="I26" s="12"/>
      <c r="K26" s="3" t="s">
        <v>78</v>
      </c>
      <c r="Q26" s="17"/>
      <c r="R26" s="17"/>
    </row>
    <row r="27" spans="1:18" x14ac:dyDescent="0.3">
      <c r="A27" s="15" t="str">
        <f t="shared" si="0"/>
        <v>ISOPURD</v>
      </c>
      <c r="C27" s="8" t="s">
        <v>31</v>
      </c>
      <c r="D27" s="8" t="s">
        <v>36</v>
      </c>
      <c r="E27" s="9"/>
      <c r="F27" s="10"/>
      <c r="G27" s="11"/>
      <c r="H27" s="11"/>
      <c r="I27" s="12"/>
      <c r="K27" s="3" t="s">
        <v>79</v>
      </c>
      <c r="Q27" s="17"/>
      <c r="R27" s="17"/>
    </row>
    <row r="28" spans="1:18" x14ac:dyDescent="0.3">
      <c r="A28" s="15" t="str">
        <f t="shared" si="0"/>
        <v>ISOVERA</v>
      </c>
      <c r="C28" s="3" t="s">
        <v>32</v>
      </c>
      <c r="D28" s="3" t="s">
        <v>33</v>
      </c>
      <c r="E28" s="4" t="s">
        <v>71</v>
      </c>
      <c r="F28" s="5">
        <v>0.3</v>
      </c>
      <c r="G28" s="6">
        <v>2.12</v>
      </c>
      <c r="H28" s="6">
        <v>1.92</v>
      </c>
      <c r="I28" s="7">
        <v>45485</v>
      </c>
      <c r="K28" s="3" t="s">
        <v>83</v>
      </c>
      <c r="Q28" s="17"/>
      <c r="R28" s="17"/>
    </row>
    <row r="29" spans="1:18" x14ac:dyDescent="0.3">
      <c r="A29" s="15" t="str">
        <f t="shared" si="0"/>
        <v>ISOVERB</v>
      </c>
      <c r="C29" s="3" t="s">
        <v>32</v>
      </c>
      <c r="D29" s="3" t="s">
        <v>34</v>
      </c>
      <c r="E29" s="4" t="s">
        <v>72</v>
      </c>
      <c r="F29" s="5">
        <v>0.5</v>
      </c>
      <c r="G29" s="6">
        <v>2.12</v>
      </c>
      <c r="H29" s="6">
        <v>1.92</v>
      </c>
      <c r="I29" s="7">
        <v>45485</v>
      </c>
      <c r="K29" s="3" t="s">
        <v>24</v>
      </c>
      <c r="Q29" s="17"/>
      <c r="R29" s="17"/>
    </row>
    <row r="30" spans="1:18" x14ac:dyDescent="0.3">
      <c r="A30" s="15" t="str">
        <f t="shared" si="0"/>
        <v>ISOVERC</v>
      </c>
      <c r="C30" s="3" t="s">
        <v>32</v>
      </c>
      <c r="D30" s="3" t="s">
        <v>35</v>
      </c>
      <c r="E30" s="4" t="s">
        <v>66</v>
      </c>
      <c r="F30" s="5">
        <v>0.1</v>
      </c>
      <c r="G30" s="6">
        <v>2.12</v>
      </c>
      <c r="H30" s="6">
        <v>1.92</v>
      </c>
      <c r="I30" s="7">
        <v>45485</v>
      </c>
      <c r="K30" s="3" t="s">
        <v>24</v>
      </c>
      <c r="Q30" s="17"/>
      <c r="R30" s="17"/>
    </row>
    <row r="31" spans="1:18" x14ac:dyDescent="0.3">
      <c r="A31" s="15" t="str">
        <f t="shared" si="0"/>
        <v>ISOVERD</v>
      </c>
      <c r="C31" s="3" t="s">
        <v>32</v>
      </c>
      <c r="D31" s="3" t="s">
        <v>36</v>
      </c>
      <c r="E31" s="4"/>
      <c r="F31" s="5"/>
      <c r="G31" s="6"/>
      <c r="H31" s="6"/>
      <c r="I31" s="7"/>
      <c r="K31" s="3" t="s">
        <v>24</v>
      </c>
      <c r="Q31" s="17"/>
      <c r="R31" s="17"/>
    </row>
    <row r="32" spans="1:18" x14ac:dyDescent="0.3">
      <c r="A32" s="15" t="str">
        <f t="shared" si="0"/>
        <v>MPUA</v>
      </c>
      <c r="C32" s="8" t="s">
        <v>37</v>
      </c>
      <c r="D32" s="8" t="s">
        <v>33</v>
      </c>
      <c r="E32" s="9" t="s">
        <v>67</v>
      </c>
      <c r="F32" s="10">
        <v>0.15</v>
      </c>
      <c r="G32" s="11">
        <v>2.12</v>
      </c>
      <c r="H32" s="11">
        <v>1.92</v>
      </c>
      <c r="I32" s="12">
        <v>45485</v>
      </c>
      <c r="K32" s="3" t="s">
        <v>24</v>
      </c>
      <c r="Q32" s="17"/>
      <c r="R32" s="17"/>
    </row>
    <row r="33" spans="1:18" x14ac:dyDescent="0.3">
      <c r="A33" s="15" t="str">
        <f t="shared" si="0"/>
        <v>MPUB</v>
      </c>
      <c r="C33" s="8" t="s">
        <v>37</v>
      </c>
      <c r="D33" s="8" t="s">
        <v>34</v>
      </c>
      <c r="E33" s="9"/>
      <c r="F33" s="10"/>
      <c r="G33" s="11"/>
      <c r="H33" s="11"/>
      <c r="I33" s="12"/>
      <c r="K33" s="3" t="s">
        <v>24</v>
      </c>
      <c r="Q33" s="17"/>
      <c r="R33" s="17"/>
    </row>
    <row r="34" spans="1:18" x14ac:dyDescent="0.3">
      <c r="A34" s="15" t="str">
        <f t="shared" si="0"/>
        <v>MPUC</v>
      </c>
      <c r="C34" s="8" t="s">
        <v>37</v>
      </c>
      <c r="D34" s="8" t="s">
        <v>35</v>
      </c>
      <c r="E34" s="9"/>
      <c r="F34" s="10"/>
      <c r="G34" s="11"/>
      <c r="H34" s="11"/>
      <c r="I34" s="12"/>
      <c r="K34" s="3" t="s">
        <v>24</v>
      </c>
    </row>
    <row r="35" spans="1:18" x14ac:dyDescent="0.3">
      <c r="A35" s="15" t="str">
        <f t="shared" si="0"/>
        <v>MPUD</v>
      </c>
      <c r="C35" s="8" t="s">
        <v>37</v>
      </c>
      <c r="D35" s="8" t="s">
        <v>36</v>
      </c>
      <c r="E35" s="9"/>
      <c r="F35" s="10"/>
      <c r="G35" s="11"/>
      <c r="H35" s="11"/>
      <c r="I35" s="12"/>
      <c r="K35" s="3" t="s">
        <v>24</v>
      </c>
    </row>
    <row r="36" spans="1:18" x14ac:dyDescent="0.3">
      <c r="A36" s="15" t="str">
        <f t="shared" si="0"/>
        <v>MULTIVAC/ROCKTEC A</v>
      </c>
      <c r="C36" s="3" t="s">
        <v>82</v>
      </c>
      <c r="D36" s="3" t="s">
        <v>33</v>
      </c>
      <c r="E36" s="4" t="s">
        <v>67</v>
      </c>
      <c r="F36" s="5">
        <v>0.1</v>
      </c>
      <c r="G36" s="6">
        <v>2.12</v>
      </c>
      <c r="H36" s="6">
        <v>1.92</v>
      </c>
      <c r="I36" s="7">
        <v>45485</v>
      </c>
      <c r="K36" s="3" t="s">
        <v>24</v>
      </c>
    </row>
    <row r="37" spans="1:18" x14ac:dyDescent="0.3">
      <c r="A37" s="15" t="str">
        <f t="shared" si="0"/>
        <v>MULTIVAC/ROCKTEC B</v>
      </c>
      <c r="C37" s="3" t="s">
        <v>82</v>
      </c>
      <c r="D37" s="3" t="s">
        <v>34</v>
      </c>
      <c r="E37" s="4"/>
      <c r="F37" s="5"/>
      <c r="G37" s="6"/>
      <c r="H37" s="6"/>
      <c r="I37" s="7"/>
      <c r="K37" s="3" t="s">
        <v>24</v>
      </c>
    </row>
    <row r="38" spans="1:18" x14ac:dyDescent="0.3">
      <c r="A38" s="15" t="str">
        <f t="shared" si="0"/>
        <v>MULTIVAC/ROCKTEC C</v>
      </c>
      <c r="C38" s="3" t="s">
        <v>82</v>
      </c>
      <c r="D38" s="3" t="s">
        <v>35</v>
      </c>
      <c r="E38" s="4"/>
      <c r="F38" s="5"/>
      <c r="G38" s="6"/>
      <c r="H38" s="6"/>
      <c r="I38" s="7"/>
      <c r="K38" s="3" t="s">
        <v>24</v>
      </c>
    </row>
    <row r="39" spans="1:18" x14ac:dyDescent="0.3">
      <c r="A39" s="15" t="str">
        <f t="shared" si="0"/>
        <v>MULTIVAC/ROCKTEC D</v>
      </c>
      <c r="C39" s="3" t="s">
        <v>82</v>
      </c>
      <c r="D39" s="3" t="s">
        <v>36</v>
      </c>
      <c r="E39" s="4"/>
      <c r="F39" s="5"/>
      <c r="G39" s="6"/>
      <c r="H39" s="6"/>
      <c r="I39" s="7"/>
      <c r="K39" s="3" t="s">
        <v>24</v>
      </c>
    </row>
    <row r="40" spans="1:18" x14ac:dyDescent="0.3">
      <c r="A40" s="15" t="str">
        <f t="shared" si="0"/>
        <v>NORMA DINA</v>
      </c>
      <c r="C40" s="8" t="s">
        <v>38</v>
      </c>
      <c r="D40" s="8" t="s">
        <v>33</v>
      </c>
      <c r="E40" s="9" t="s">
        <v>67</v>
      </c>
      <c r="F40" s="10">
        <v>0.05</v>
      </c>
      <c r="G40" s="11">
        <v>2.12</v>
      </c>
      <c r="H40" s="11">
        <v>1.92</v>
      </c>
      <c r="I40" s="12">
        <v>45485</v>
      </c>
      <c r="K40" s="3" t="s">
        <v>24</v>
      </c>
    </row>
    <row r="41" spans="1:18" x14ac:dyDescent="0.3">
      <c r="A41" s="15" t="str">
        <f t="shared" si="0"/>
        <v>NORMA DINB</v>
      </c>
      <c r="C41" s="8" t="s">
        <v>38</v>
      </c>
      <c r="D41" s="8" t="s">
        <v>34</v>
      </c>
      <c r="E41" s="9"/>
      <c r="F41" s="10"/>
      <c r="G41" s="11"/>
      <c r="H41" s="11"/>
      <c r="I41" s="12"/>
      <c r="K41" s="3" t="s">
        <v>24</v>
      </c>
    </row>
    <row r="42" spans="1:18" x14ac:dyDescent="0.3">
      <c r="A42" s="15" t="str">
        <f t="shared" si="0"/>
        <v>NORMA DINC</v>
      </c>
      <c r="C42" s="8" t="s">
        <v>38</v>
      </c>
      <c r="D42" s="8" t="s">
        <v>35</v>
      </c>
      <c r="E42" s="9"/>
      <c r="F42" s="10"/>
      <c r="G42" s="11"/>
      <c r="H42" s="11"/>
      <c r="I42" s="12"/>
      <c r="K42" s="3" t="s">
        <v>24</v>
      </c>
    </row>
    <row r="43" spans="1:18" x14ac:dyDescent="0.3">
      <c r="A43" s="15" t="str">
        <f t="shared" si="0"/>
        <v>NORMA DIND</v>
      </c>
      <c r="C43" s="8" t="s">
        <v>38</v>
      </c>
      <c r="D43" s="8" t="s">
        <v>36</v>
      </c>
      <c r="E43" s="9"/>
      <c r="F43" s="10"/>
      <c r="G43" s="11"/>
      <c r="H43" s="11"/>
      <c r="I43" s="12"/>
      <c r="K43" s="3" t="s">
        <v>24</v>
      </c>
    </row>
    <row r="44" spans="1:18" x14ac:dyDescent="0.3">
      <c r="A44" s="15" t="str">
        <f>C44&amp;D44</f>
        <v>POWERMATICA</v>
      </c>
      <c r="C44" s="3" t="s">
        <v>39</v>
      </c>
      <c r="D44" s="3" t="s">
        <v>33</v>
      </c>
      <c r="E44" s="4" t="s">
        <v>68</v>
      </c>
      <c r="F44" s="5">
        <v>0.1</v>
      </c>
      <c r="G44" s="6">
        <v>2.12</v>
      </c>
      <c r="H44" s="6">
        <v>1.92</v>
      </c>
      <c r="I44" s="7">
        <v>45485</v>
      </c>
      <c r="K44" s="3" t="s">
        <v>24</v>
      </c>
    </row>
    <row r="45" spans="1:18" x14ac:dyDescent="0.3">
      <c r="A45" s="15" t="str">
        <f>C45&amp;D45</f>
        <v>POWERMATICB</v>
      </c>
      <c r="C45" s="3" t="s">
        <v>39</v>
      </c>
      <c r="D45" s="3" t="s">
        <v>34</v>
      </c>
      <c r="E45" s="4" t="s">
        <v>69</v>
      </c>
      <c r="F45" s="5">
        <v>0.15</v>
      </c>
      <c r="G45" s="6">
        <v>2.12</v>
      </c>
      <c r="H45" s="6">
        <v>1.92</v>
      </c>
      <c r="I45" s="7">
        <v>45485</v>
      </c>
      <c r="K45" s="3" t="s">
        <v>24</v>
      </c>
    </row>
    <row r="46" spans="1:18" x14ac:dyDescent="0.3">
      <c r="A46" s="15" t="str">
        <f>C46&amp;D46</f>
        <v>POWERMATICC</v>
      </c>
      <c r="C46" s="3" t="s">
        <v>39</v>
      </c>
      <c r="D46" s="3" t="s">
        <v>35</v>
      </c>
      <c r="E46" s="4"/>
      <c r="F46" s="5"/>
      <c r="G46" s="6"/>
      <c r="H46" s="6"/>
      <c r="I46" s="7"/>
      <c r="K46" s="3" t="s">
        <v>24</v>
      </c>
    </row>
    <row r="47" spans="1:18" x14ac:dyDescent="0.3">
      <c r="A47" s="15" t="str">
        <f>C47&amp;D47</f>
        <v>POWERMATICD</v>
      </c>
      <c r="C47" s="3" t="s">
        <v>39</v>
      </c>
      <c r="D47" s="3" t="s">
        <v>36</v>
      </c>
      <c r="E47" s="4"/>
      <c r="F47" s="5"/>
      <c r="G47" s="6"/>
      <c r="H47" s="6"/>
      <c r="I47" s="7"/>
      <c r="K47" s="3" t="s">
        <v>24</v>
      </c>
    </row>
    <row r="48" spans="1:18" x14ac:dyDescent="0.3">
      <c r="A48" s="15" t="str">
        <f>C48&amp;D48</f>
        <v>COMPRA LOCALA</v>
      </c>
      <c r="C48" s="8" t="s">
        <v>73</v>
      </c>
      <c r="D48" s="8" t="s">
        <v>33</v>
      </c>
      <c r="E48" s="9" t="s">
        <v>67</v>
      </c>
      <c r="F48" s="10">
        <v>0</v>
      </c>
      <c r="G48" s="11">
        <v>2.12</v>
      </c>
      <c r="H48" s="11">
        <v>1.92</v>
      </c>
      <c r="I48" s="12">
        <v>45485</v>
      </c>
      <c r="K48" s="3" t="s">
        <v>24</v>
      </c>
    </row>
    <row r="49" spans="1:11" x14ac:dyDescent="0.3">
      <c r="A49" s="15" t="str">
        <f t="shared" si="0"/>
        <v>COMPRA LOCALB</v>
      </c>
      <c r="C49" s="8" t="s">
        <v>73</v>
      </c>
      <c r="D49" s="8" t="s">
        <v>34</v>
      </c>
      <c r="E49" s="9"/>
      <c r="F49" s="10"/>
      <c r="G49" s="11"/>
      <c r="H49" s="11"/>
      <c r="I49" s="12"/>
      <c r="K49" s="3" t="s">
        <v>24</v>
      </c>
    </row>
    <row r="50" spans="1:11" x14ac:dyDescent="0.3">
      <c r="A50" s="15" t="str">
        <f t="shared" si="0"/>
        <v>COMPRA LOCALC</v>
      </c>
      <c r="C50" s="8" t="s">
        <v>73</v>
      </c>
      <c r="D50" s="8" t="s">
        <v>35</v>
      </c>
      <c r="E50" s="9"/>
      <c r="F50" s="10"/>
      <c r="G50" s="11"/>
      <c r="H50" s="11"/>
      <c r="I50" s="12"/>
      <c r="K50" s="3" t="s">
        <v>24</v>
      </c>
    </row>
    <row r="51" spans="1:11" x14ac:dyDescent="0.3">
      <c r="A51" s="15" t="str">
        <f t="shared" si="0"/>
        <v>COMPRA LOCALD</v>
      </c>
      <c r="C51" s="8" t="s">
        <v>73</v>
      </c>
      <c r="D51" s="8" t="s">
        <v>36</v>
      </c>
      <c r="E51" s="9"/>
      <c r="F51" s="10"/>
      <c r="G51" s="11"/>
      <c r="H51" s="11"/>
      <c r="I51" s="12"/>
      <c r="K51" s="3" t="s">
        <v>24</v>
      </c>
    </row>
    <row r="52" spans="1:11" x14ac:dyDescent="0.3">
      <c r="A52" s="15" t="str">
        <f t="shared" si="0"/>
        <v>ROCKFIBRASA</v>
      </c>
      <c r="C52" s="3" t="s">
        <v>41</v>
      </c>
      <c r="D52" s="3" t="s">
        <v>33</v>
      </c>
      <c r="E52" s="4" t="s">
        <v>71</v>
      </c>
      <c r="F52" s="5">
        <v>0.3</v>
      </c>
      <c r="G52" s="6">
        <v>2.12</v>
      </c>
      <c r="H52" s="6">
        <v>1.92</v>
      </c>
      <c r="I52" s="7">
        <v>45485</v>
      </c>
      <c r="K52" s="3" t="s">
        <v>24</v>
      </c>
    </row>
    <row r="53" spans="1:11" x14ac:dyDescent="0.3">
      <c r="A53" s="15" t="str">
        <f t="shared" si="0"/>
        <v>ROCKFIBRASB</v>
      </c>
      <c r="C53" s="3" t="s">
        <v>41</v>
      </c>
      <c r="D53" s="3" t="s">
        <v>34</v>
      </c>
      <c r="E53" s="4" t="s">
        <v>72</v>
      </c>
      <c r="F53" s="5">
        <v>0.5</v>
      </c>
      <c r="G53" s="6">
        <v>2.12</v>
      </c>
      <c r="H53" s="6">
        <v>1.92</v>
      </c>
      <c r="I53" s="7">
        <v>45485</v>
      </c>
      <c r="K53" s="3" t="s">
        <v>24</v>
      </c>
    </row>
    <row r="54" spans="1:11" x14ac:dyDescent="0.3">
      <c r="A54" s="15" t="str">
        <f t="shared" si="0"/>
        <v>ROCKFIBRASC</v>
      </c>
      <c r="C54" s="3" t="s">
        <v>41</v>
      </c>
      <c r="D54" s="3" t="s">
        <v>35</v>
      </c>
      <c r="E54" s="4" t="s">
        <v>66</v>
      </c>
      <c r="F54" s="5">
        <v>0.1</v>
      </c>
      <c r="G54" s="6">
        <v>2.12</v>
      </c>
      <c r="H54" s="6">
        <v>1.92</v>
      </c>
      <c r="I54" s="7">
        <v>45485</v>
      </c>
      <c r="K54" s="3" t="s">
        <v>24</v>
      </c>
    </row>
    <row r="55" spans="1:11" x14ac:dyDescent="0.3">
      <c r="A55" s="15" t="str">
        <f t="shared" si="0"/>
        <v>ROCKFIBRASD</v>
      </c>
      <c r="C55" s="3" t="s">
        <v>41</v>
      </c>
      <c r="D55" s="3" t="s">
        <v>36</v>
      </c>
      <c r="E55" s="4"/>
      <c r="F55" s="5"/>
      <c r="G55" s="6"/>
      <c r="H55" s="6"/>
      <c r="I55" s="7"/>
      <c r="K55" s="3" t="s">
        <v>24</v>
      </c>
    </row>
    <row r="56" spans="1:11" x14ac:dyDescent="0.3">
      <c r="A56" s="15" t="str">
        <f t="shared" si="0"/>
        <v>SICTELLA</v>
      </c>
      <c r="C56" s="8" t="s">
        <v>42</v>
      </c>
      <c r="D56" s="8" t="s">
        <v>33</v>
      </c>
      <c r="E56" s="9" t="s">
        <v>67</v>
      </c>
      <c r="F56" s="10">
        <v>0</v>
      </c>
      <c r="G56" s="11">
        <v>2.12</v>
      </c>
      <c r="H56" s="11">
        <v>1.92</v>
      </c>
      <c r="I56" s="12">
        <v>45485</v>
      </c>
      <c r="K56" s="3" t="s">
        <v>24</v>
      </c>
    </row>
    <row r="57" spans="1:11" x14ac:dyDescent="0.3">
      <c r="A57" s="15" t="str">
        <f t="shared" si="0"/>
        <v>SICTELLB</v>
      </c>
      <c r="C57" s="8" t="s">
        <v>42</v>
      </c>
      <c r="D57" s="8" t="s">
        <v>34</v>
      </c>
      <c r="E57" s="9"/>
      <c r="F57" s="10"/>
      <c r="G57" s="11"/>
      <c r="H57" s="11"/>
      <c r="I57" s="12"/>
      <c r="K57" s="3" t="s">
        <v>24</v>
      </c>
    </row>
    <row r="58" spans="1:11" x14ac:dyDescent="0.3">
      <c r="A58" s="15" t="str">
        <f t="shared" si="0"/>
        <v>SICTELLC</v>
      </c>
      <c r="C58" s="8" t="s">
        <v>42</v>
      </c>
      <c r="D58" s="8" t="s">
        <v>35</v>
      </c>
      <c r="E58" s="9"/>
      <c r="F58" s="10"/>
      <c r="G58" s="11"/>
      <c r="H58" s="11"/>
      <c r="I58" s="12"/>
      <c r="K58" s="3" t="s">
        <v>24</v>
      </c>
    </row>
    <row r="59" spans="1:11" x14ac:dyDescent="0.3">
      <c r="A59" s="15" t="str">
        <f t="shared" si="0"/>
        <v>SICTELLD</v>
      </c>
      <c r="C59" s="8" t="s">
        <v>42</v>
      </c>
      <c r="D59" s="8" t="s">
        <v>36</v>
      </c>
      <c r="E59" s="9"/>
      <c r="F59" s="10"/>
      <c r="G59" s="11"/>
      <c r="H59" s="11"/>
      <c r="I59" s="12"/>
      <c r="K59" s="3" t="s">
        <v>24</v>
      </c>
    </row>
    <row r="60" spans="1:11" x14ac:dyDescent="0.3">
      <c r="A60" s="15" t="str">
        <f t="shared" si="0"/>
        <v>TECTAPEA</v>
      </c>
      <c r="C60" s="3" t="s">
        <v>43</v>
      </c>
      <c r="D60" s="3" t="s">
        <v>33</v>
      </c>
      <c r="E60" s="4" t="s">
        <v>67</v>
      </c>
      <c r="F60" s="5">
        <v>0.08</v>
      </c>
      <c r="G60" s="6">
        <v>2.12</v>
      </c>
      <c r="H60" s="6">
        <v>1.92</v>
      </c>
      <c r="I60" s="7">
        <v>45485</v>
      </c>
      <c r="K60" s="3" t="s">
        <v>24</v>
      </c>
    </row>
    <row r="61" spans="1:11" x14ac:dyDescent="0.3">
      <c r="A61" s="15" t="str">
        <f t="shared" si="0"/>
        <v>TECTAPEB</v>
      </c>
      <c r="C61" s="3" t="s">
        <v>43</v>
      </c>
      <c r="D61" s="3" t="s">
        <v>34</v>
      </c>
      <c r="E61" s="4"/>
      <c r="F61" s="5"/>
      <c r="G61" s="6"/>
      <c r="H61" s="6"/>
      <c r="I61" s="7"/>
      <c r="K61" s="3" t="s">
        <v>24</v>
      </c>
    </row>
    <row r="62" spans="1:11" x14ac:dyDescent="0.3">
      <c r="A62" s="15" t="str">
        <f t="shared" si="0"/>
        <v>TECTAPEC</v>
      </c>
      <c r="C62" s="3" t="s">
        <v>43</v>
      </c>
      <c r="D62" s="3" t="s">
        <v>35</v>
      </c>
      <c r="E62" s="4"/>
      <c r="F62" s="5"/>
      <c r="G62" s="6"/>
      <c r="H62" s="6"/>
      <c r="I62" s="7"/>
      <c r="K62" s="3" t="s">
        <v>24</v>
      </c>
    </row>
    <row r="63" spans="1:11" x14ac:dyDescent="0.3">
      <c r="A63" s="15" t="str">
        <f t="shared" si="0"/>
        <v>TECTAPED</v>
      </c>
      <c r="C63" s="3" t="s">
        <v>43</v>
      </c>
      <c r="D63" s="3" t="s">
        <v>36</v>
      </c>
      <c r="E63" s="4"/>
      <c r="F63" s="5"/>
      <c r="G63" s="6"/>
      <c r="H63" s="6"/>
      <c r="I63" s="7"/>
      <c r="K63" s="3" t="s">
        <v>24</v>
      </c>
    </row>
    <row r="64" spans="1:11" x14ac:dyDescent="0.3">
      <c r="A64" s="15" t="str">
        <f t="shared" si="0"/>
        <v>TRONA</v>
      </c>
      <c r="C64" s="8" t="s">
        <v>44</v>
      </c>
      <c r="D64" s="8" t="s">
        <v>33</v>
      </c>
      <c r="E64" s="9" t="s">
        <v>67</v>
      </c>
      <c r="F64" s="10">
        <v>0.12</v>
      </c>
      <c r="G64" s="11">
        <v>2.12</v>
      </c>
      <c r="H64" s="11">
        <v>1.92</v>
      </c>
      <c r="I64" s="12">
        <v>45485</v>
      </c>
      <c r="K64" s="3" t="s">
        <v>24</v>
      </c>
    </row>
    <row r="65" spans="1:11" x14ac:dyDescent="0.3">
      <c r="A65" s="15" t="str">
        <f t="shared" si="0"/>
        <v>TRONB</v>
      </c>
      <c r="C65" s="8" t="s">
        <v>44</v>
      </c>
      <c r="D65" s="8" t="s">
        <v>34</v>
      </c>
      <c r="E65" s="9"/>
      <c r="F65" s="10"/>
      <c r="G65" s="11"/>
      <c r="H65" s="11"/>
      <c r="I65" s="12"/>
      <c r="K65" s="3" t="s">
        <v>24</v>
      </c>
    </row>
    <row r="66" spans="1:11" x14ac:dyDescent="0.3">
      <c r="A66" s="15" t="str">
        <f t="shared" si="0"/>
        <v>TRONC</v>
      </c>
      <c r="C66" s="8" t="s">
        <v>44</v>
      </c>
      <c r="D66" s="8" t="s">
        <v>35</v>
      </c>
      <c r="E66" s="9"/>
      <c r="F66" s="10"/>
      <c r="G66" s="11"/>
      <c r="H66" s="11"/>
      <c r="I66" s="12"/>
      <c r="K66" s="3" t="s">
        <v>24</v>
      </c>
    </row>
    <row r="67" spans="1:11" x14ac:dyDescent="0.3">
      <c r="A67" s="15" t="str">
        <f t="shared" si="0"/>
        <v>TROND</v>
      </c>
      <c r="C67" s="8" t="s">
        <v>44</v>
      </c>
      <c r="D67" s="8" t="s">
        <v>36</v>
      </c>
      <c r="E67" s="9"/>
      <c r="F67" s="10"/>
      <c r="G67" s="11"/>
      <c r="H67" s="11"/>
      <c r="I67" s="12"/>
      <c r="K67" s="3" t="s">
        <v>24</v>
      </c>
    </row>
    <row r="68" spans="1:11" x14ac:dyDescent="0.3">
      <c r="A68" s="15" t="str">
        <f t="shared" si="0"/>
        <v>TROXA</v>
      </c>
      <c r="C68" s="3" t="s">
        <v>45</v>
      </c>
      <c r="D68" s="3" t="s">
        <v>33</v>
      </c>
      <c r="E68" s="4" t="s">
        <v>52</v>
      </c>
      <c r="F68" s="5">
        <v>0.08</v>
      </c>
      <c r="G68" s="6">
        <v>2.12</v>
      </c>
      <c r="H68" s="6">
        <v>1.92</v>
      </c>
      <c r="I68" s="7">
        <v>45485</v>
      </c>
      <c r="K68" s="3" t="s">
        <v>24</v>
      </c>
    </row>
    <row r="69" spans="1:11" ht="28.8" x14ac:dyDescent="0.3">
      <c r="A69" s="15" t="str">
        <f t="shared" ref="A69:A132" si="1">C69&amp;D69</f>
        <v>TROXB</v>
      </c>
      <c r="C69" s="3" t="s">
        <v>45</v>
      </c>
      <c r="D69" s="3" t="s">
        <v>34</v>
      </c>
      <c r="E69" s="4" t="s">
        <v>63</v>
      </c>
      <c r="F69" s="5">
        <v>0.08</v>
      </c>
      <c r="G69" s="6">
        <v>2.12</v>
      </c>
      <c r="H69" s="6">
        <v>1.92</v>
      </c>
      <c r="I69" s="7">
        <v>45485</v>
      </c>
      <c r="K69" s="3" t="s">
        <v>24</v>
      </c>
    </row>
    <row r="70" spans="1:11" ht="43.2" x14ac:dyDescent="0.3">
      <c r="A70" s="15" t="str">
        <f t="shared" si="1"/>
        <v>TROXC</v>
      </c>
      <c r="C70" s="3" t="s">
        <v>45</v>
      </c>
      <c r="D70" s="3" t="s">
        <v>35</v>
      </c>
      <c r="E70" s="4" t="s">
        <v>64</v>
      </c>
      <c r="F70" s="5">
        <v>0.15</v>
      </c>
      <c r="G70" s="6">
        <v>2.12</v>
      </c>
      <c r="H70" s="6">
        <v>1.92</v>
      </c>
      <c r="I70" s="7">
        <v>45485</v>
      </c>
      <c r="K70" s="3" t="s">
        <v>24</v>
      </c>
    </row>
    <row r="71" spans="1:11" x14ac:dyDescent="0.3">
      <c r="A71" s="15" t="str">
        <f t="shared" si="1"/>
        <v>TROXD</v>
      </c>
      <c r="C71" s="3" t="s">
        <v>45</v>
      </c>
      <c r="D71" s="3" t="s">
        <v>36</v>
      </c>
      <c r="E71" s="4" t="s">
        <v>62</v>
      </c>
      <c r="F71" s="5">
        <v>0.5</v>
      </c>
      <c r="G71" s="6">
        <v>2.12</v>
      </c>
      <c r="H71" s="6">
        <v>1.92</v>
      </c>
      <c r="I71" s="7">
        <v>45485</v>
      </c>
      <c r="K71" s="3" t="s">
        <v>24</v>
      </c>
    </row>
    <row r="72" spans="1:11" x14ac:dyDescent="0.3">
      <c r="A72" s="15" t="str">
        <f t="shared" si="1"/>
        <v>VENTISOLA</v>
      </c>
      <c r="C72" s="8" t="s">
        <v>46</v>
      </c>
      <c r="D72" s="8" t="s">
        <v>33</v>
      </c>
      <c r="E72" s="9" t="s">
        <v>67</v>
      </c>
      <c r="F72" s="10">
        <v>0.08</v>
      </c>
      <c r="G72" s="11">
        <v>2.12</v>
      </c>
      <c r="H72" s="11">
        <v>1.92</v>
      </c>
      <c r="I72" s="12">
        <v>45485</v>
      </c>
      <c r="K72" s="3" t="s">
        <v>24</v>
      </c>
    </row>
    <row r="73" spans="1:11" x14ac:dyDescent="0.3">
      <c r="A73" s="15" t="str">
        <f t="shared" si="1"/>
        <v>VENTISOLB</v>
      </c>
      <c r="C73" s="8" t="s">
        <v>46</v>
      </c>
      <c r="D73" s="8" t="s">
        <v>34</v>
      </c>
      <c r="E73" s="9"/>
      <c r="F73" s="10"/>
      <c r="G73" s="11"/>
      <c r="H73" s="11"/>
      <c r="I73" s="12"/>
      <c r="K73" s="3" t="s">
        <v>24</v>
      </c>
    </row>
    <row r="74" spans="1:11" x14ac:dyDescent="0.3">
      <c r="A74" s="15" t="str">
        <f t="shared" si="1"/>
        <v>VENTISOLC</v>
      </c>
      <c r="C74" s="8" t="s">
        <v>46</v>
      </c>
      <c r="D74" s="8" t="s">
        <v>35</v>
      </c>
      <c r="E74" s="9"/>
      <c r="F74" s="10"/>
      <c r="G74" s="11"/>
      <c r="H74" s="11"/>
      <c r="I74" s="12"/>
      <c r="K74" s="3" t="s">
        <v>24</v>
      </c>
    </row>
    <row r="75" spans="1:11" x14ac:dyDescent="0.3">
      <c r="A75" s="15" t="str">
        <f t="shared" si="1"/>
        <v>VENTISOLD</v>
      </c>
      <c r="C75" s="8" t="s">
        <v>46</v>
      </c>
      <c r="D75" s="8" t="s">
        <v>36</v>
      </c>
      <c r="E75" s="9"/>
      <c r="F75" s="10"/>
      <c r="G75" s="11"/>
      <c r="H75" s="11"/>
      <c r="I75" s="12"/>
      <c r="K75" s="3" t="s">
        <v>24</v>
      </c>
    </row>
    <row r="76" spans="1:11" x14ac:dyDescent="0.3">
      <c r="A76" s="15" t="str">
        <f t="shared" si="1"/>
        <v>PENNSEA</v>
      </c>
      <c r="C76" s="3" t="s">
        <v>74</v>
      </c>
      <c r="D76" s="3" t="s">
        <v>33</v>
      </c>
      <c r="E76" s="4" t="s">
        <v>67</v>
      </c>
      <c r="F76" s="5">
        <v>0.05</v>
      </c>
      <c r="G76" s="6">
        <v>2.12</v>
      </c>
      <c r="H76" s="6">
        <v>1.92</v>
      </c>
      <c r="I76" s="7">
        <v>45485</v>
      </c>
      <c r="K76" s="3" t="s">
        <v>24</v>
      </c>
    </row>
    <row r="77" spans="1:11" x14ac:dyDescent="0.3">
      <c r="A77" s="15" t="str">
        <f t="shared" si="1"/>
        <v>-B</v>
      </c>
      <c r="C77" s="3" t="s">
        <v>24</v>
      </c>
      <c r="D77" s="3" t="s">
        <v>34</v>
      </c>
      <c r="E77" s="4"/>
      <c r="F77" s="5"/>
      <c r="G77" s="6"/>
      <c r="H77" s="6"/>
      <c r="I77" s="7"/>
      <c r="K77" s="3" t="s">
        <v>24</v>
      </c>
    </row>
    <row r="78" spans="1:11" x14ac:dyDescent="0.3">
      <c r="A78" s="15" t="str">
        <f t="shared" si="1"/>
        <v>-C</v>
      </c>
      <c r="C78" s="3" t="s">
        <v>24</v>
      </c>
      <c r="D78" s="3" t="s">
        <v>35</v>
      </c>
      <c r="E78" s="4"/>
      <c r="F78" s="5"/>
      <c r="G78" s="6"/>
      <c r="H78" s="6"/>
      <c r="I78" s="7"/>
      <c r="K78" s="3" t="s">
        <v>24</v>
      </c>
    </row>
    <row r="79" spans="1:11" x14ac:dyDescent="0.3">
      <c r="A79" s="15" t="str">
        <f t="shared" si="1"/>
        <v>-D</v>
      </c>
      <c r="C79" s="3" t="s">
        <v>24</v>
      </c>
      <c r="D79" s="3" t="s">
        <v>36</v>
      </c>
      <c r="E79" s="4"/>
      <c r="F79" s="5"/>
      <c r="G79" s="6"/>
      <c r="H79" s="6"/>
      <c r="I79" s="7"/>
      <c r="K79" s="3" t="s">
        <v>24</v>
      </c>
    </row>
    <row r="80" spans="1:11" x14ac:dyDescent="0.3">
      <c r="A80" s="15" t="str">
        <f t="shared" si="1"/>
        <v>TRANEA</v>
      </c>
      <c r="C80" s="8" t="s">
        <v>75</v>
      </c>
      <c r="D80" s="8" t="s">
        <v>33</v>
      </c>
      <c r="E80" s="9" t="s">
        <v>76</v>
      </c>
      <c r="F80" s="10">
        <v>0</v>
      </c>
      <c r="G80" s="11">
        <v>2.12</v>
      </c>
      <c r="H80" s="11">
        <v>1.92</v>
      </c>
      <c r="I80" s="12">
        <v>45485</v>
      </c>
      <c r="K80" s="3" t="s">
        <v>24</v>
      </c>
    </row>
    <row r="81" spans="1:11" x14ac:dyDescent="0.3">
      <c r="A81" s="15" t="str">
        <f t="shared" si="1"/>
        <v>-B</v>
      </c>
      <c r="C81" s="8" t="s">
        <v>24</v>
      </c>
      <c r="D81" s="8" t="s">
        <v>34</v>
      </c>
      <c r="E81" s="9" t="s">
        <v>77</v>
      </c>
      <c r="F81" s="10">
        <v>0.1</v>
      </c>
      <c r="G81" s="11">
        <v>2.12</v>
      </c>
      <c r="H81" s="11">
        <v>1.92</v>
      </c>
      <c r="I81" s="12">
        <v>45485</v>
      </c>
      <c r="K81" s="3" t="s">
        <v>24</v>
      </c>
    </row>
    <row r="82" spans="1:11" x14ac:dyDescent="0.3">
      <c r="A82" s="15" t="str">
        <f t="shared" si="1"/>
        <v>-C</v>
      </c>
      <c r="C82" s="8" t="s">
        <v>24</v>
      </c>
      <c r="D82" s="8" t="s">
        <v>35</v>
      </c>
      <c r="E82" s="9"/>
      <c r="F82" s="10"/>
      <c r="G82" s="11"/>
      <c r="H82" s="11"/>
      <c r="I82" s="12"/>
      <c r="K82" s="3" t="s">
        <v>24</v>
      </c>
    </row>
    <row r="83" spans="1:11" x14ac:dyDescent="0.3">
      <c r="A83" s="15" t="str">
        <f t="shared" si="1"/>
        <v>-D</v>
      </c>
      <c r="C83" s="8" t="s">
        <v>24</v>
      </c>
      <c r="D83" s="8" t="s">
        <v>36</v>
      </c>
      <c r="E83" s="9"/>
      <c r="F83" s="10"/>
      <c r="G83" s="11"/>
      <c r="H83" s="11"/>
      <c r="I83" s="12"/>
      <c r="K83" s="3" t="s">
        <v>24</v>
      </c>
    </row>
    <row r="84" spans="1:11" x14ac:dyDescent="0.3">
      <c r="A84" s="15" t="str">
        <f t="shared" si="1"/>
        <v>ELECON/WALSYWAA</v>
      </c>
      <c r="C84" s="3" t="s">
        <v>81</v>
      </c>
      <c r="D84" s="3" t="s">
        <v>33</v>
      </c>
      <c r="E84" s="4" t="s">
        <v>67</v>
      </c>
      <c r="F84" s="5">
        <v>0.08</v>
      </c>
      <c r="G84" s="6">
        <v>2.12</v>
      </c>
      <c r="H84" s="6">
        <v>1.92</v>
      </c>
      <c r="I84" s="7">
        <v>45485</v>
      </c>
      <c r="K84" s="3" t="s">
        <v>24</v>
      </c>
    </row>
    <row r="85" spans="1:11" x14ac:dyDescent="0.3">
      <c r="A85" s="15" t="str">
        <f t="shared" si="1"/>
        <v>-B</v>
      </c>
      <c r="C85" s="3" t="s">
        <v>24</v>
      </c>
      <c r="D85" s="3" t="s">
        <v>34</v>
      </c>
      <c r="E85" s="4"/>
      <c r="F85" s="5"/>
      <c r="G85" s="6"/>
      <c r="H85" s="6"/>
      <c r="I85" s="7"/>
      <c r="K85" s="3" t="s">
        <v>24</v>
      </c>
    </row>
    <row r="86" spans="1:11" x14ac:dyDescent="0.3">
      <c r="A86" s="15" t="str">
        <f t="shared" si="1"/>
        <v>-C</v>
      </c>
      <c r="C86" s="3" t="s">
        <v>24</v>
      </c>
      <c r="D86" s="3" t="s">
        <v>35</v>
      </c>
      <c r="E86" s="4"/>
      <c r="F86" s="5"/>
      <c r="G86" s="6"/>
      <c r="H86" s="6"/>
      <c r="I86" s="7"/>
      <c r="K86" s="3" t="s">
        <v>24</v>
      </c>
    </row>
    <row r="87" spans="1:11" x14ac:dyDescent="0.3">
      <c r="A87" s="15" t="str">
        <f t="shared" si="1"/>
        <v>-D</v>
      </c>
      <c r="C87" s="3" t="s">
        <v>24</v>
      </c>
      <c r="D87" s="3" t="s">
        <v>36</v>
      </c>
      <c r="E87" s="4"/>
      <c r="F87" s="5"/>
      <c r="G87" s="6"/>
      <c r="H87" s="6"/>
      <c r="I87" s="7"/>
      <c r="K87" s="3" t="s">
        <v>24</v>
      </c>
    </row>
    <row r="88" spans="1:11" ht="28.8" x14ac:dyDescent="0.3">
      <c r="A88" s="15" t="str">
        <f t="shared" si="1"/>
        <v>AERODINÂMICA (PVC-U)A</v>
      </c>
      <c r="C88" s="8" t="s">
        <v>78</v>
      </c>
      <c r="D88" s="8" t="s">
        <v>33</v>
      </c>
      <c r="E88" s="9" t="s">
        <v>67</v>
      </c>
      <c r="F88" s="10">
        <v>0.15</v>
      </c>
      <c r="G88" s="11">
        <v>2.12</v>
      </c>
      <c r="H88" s="11">
        <v>1.92</v>
      </c>
      <c r="I88" s="12">
        <v>45485</v>
      </c>
      <c r="K88" s="3" t="s">
        <v>24</v>
      </c>
    </row>
    <row r="89" spans="1:11" x14ac:dyDescent="0.3">
      <c r="A89" s="15" t="str">
        <f t="shared" si="1"/>
        <v>-B</v>
      </c>
      <c r="C89" s="8" t="s">
        <v>24</v>
      </c>
      <c r="D89" s="8" t="s">
        <v>34</v>
      </c>
      <c r="E89" s="9"/>
      <c r="F89" s="10"/>
      <c r="G89" s="11"/>
      <c r="H89" s="11"/>
      <c r="I89" s="12"/>
      <c r="K89" s="3" t="s">
        <v>24</v>
      </c>
    </row>
    <row r="90" spans="1:11" x14ac:dyDescent="0.3">
      <c r="A90" s="15" t="str">
        <f t="shared" si="1"/>
        <v>-C</v>
      </c>
      <c r="C90" s="8" t="s">
        <v>24</v>
      </c>
      <c r="D90" s="8" t="s">
        <v>35</v>
      </c>
      <c r="E90" s="9"/>
      <c r="F90" s="10"/>
      <c r="G90" s="11"/>
      <c r="H90" s="11"/>
      <c r="I90" s="12"/>
      <c r="K90" s="3" t="s">
        <v>24</v>
      </c>
    </row>
    <row r="91" spans="1:11" x14ac:dyDescent="0.3">
      <c r="A91" s="15" t="str">
        <f t="shared" si="1"/>
        <v>-D</v>
      </c>
      <c r="C91" s="8" t="s">
        <v>24</v>
      </c>
      <c r="D91" s="8" t="s">
        <v>36</v>
      </c>
      <c r="E91" s="9"/>
      <c r="F91" s="10"/>
      <c r="G91" s="11"/>
      <c r="H91" s="11"/>
      <c r="I91" s="12"/>
      <c r="K91" s="3" t="s">
        <v>24</v>
      </c>
    </row>
    <row r="92" spans="1:11" x14ac:dyDescent="0.3">
      <c r="A92" s="15" t="str">
        <f t="shared" si="1"/>
        <v>PROJELMECA</v>
      </c>
      <c r="C92" s="3" t="s">
        <v>79</v>
      </c>
      <c r="D92" s="3" t="s">
        <v>33</v>
      </c>
      <c r="E92" s="4" t="s">
        <v>67</v>
      </c>
      <c r="F92" s="5">
        <v>0.1</v>
      </c>
      <c r="G92" s="6">
        <v>2.12</v>
      </c>
      <c r="H92" s="6">
        <v>1.92</v>
      </c>
      <c r="I92" s="7">
        <v>45485</v>
      </c>
      <c r="K92" s="3" t="s">
        <v>24</v>
      </c>
    </row>
    <row r="93" spans="1:11" x14ac:dyDescent="0.3">
      <c r="A93" s="15" t="str">
        <f t="shared" si="1"/>
        <v>-B</v>
      </c>
      <c r="C93" s="3" t="s">
        <v>24</v>
      </c>
      <c r="D93" s="3" t="s">
        <v>34</v>
      </c>
      <c r="E93" s="4"/>
      <c r="F93" s="5"/>
      <c r="G93" s="6"/>
      <c r="H93" s="6"/>
      <c r="I93" s="7"/>
      <c r="K93" s="3" t="s">
        <v>24</v>
      </c>
    </row>
    <row r="94" spans="1:11" x14ac:dyDescent="0.3">
      <c r="A94" s="15" t="str">
        <f t="shared" si="1"/>
        <v>-C</v>
      </c>
      <c r="C94" s="3" t="s">
        <v>24</v>
      </c>
      <c r="D94" s="3" t="s">
        <v>35</v>
      </c>
      <c r="E94" s="4"/>
      <c r="F94" s="5"/>
      <c r="G94" s="6"/>
      <c r="H94" s="6"/>
      <c r="I94" s="7"/>
      <c r="K94" s="3" t="s">
        <v>24</v>
      </c>
    </row>
    <row r="95" spans="1:11" x14ac:dyDescent="0.3">
      <c r="A95" s="15" t="str">
        <f t="shared" si="1"/>
        <v>-D</v>
      </c>
      <c r="C95" s="3" t="s">
        <v>24</v>
      </c>
      <c r="D95" s="3" t="s">
        <v>36</v>
      </c>
      <c r="E95" s="4"/>
      <c r="F95" s="5"/>
      <c r="G95" s="6"/>
      <c r="H95" s="6"/>
      <c r="I95" s="7"/>
      <c r="K95" s="3" t="s">
        <v>24</v>
      </c>
    </row>
    <row r="96" spans="1:11" x14ac:dyDescent="0.3">
      <c r="A96" s="15" t="str">
        <f t="shared" si="1"/>
        <v>DAIKINA</v>
      </c>
      <c r="C96" s="8" t="s">
        <v>83</v>
      </c>
      <c r="D96" s="8" t="s">
        <v>33</v>
      </c>
      <c r="E96" s="9" t="s">
        <v>67</v>
      </c>
      <c r="F96" s="10">
        <v>0</v>
      </c>
      <c r="G96" s="11">
        <v>1.7</v>
      </c>
      <c r="H96" s="11">
        <v>1.7</v>
      </c>
      <c r="I96" s="12">
        <v>45485</v>
      </c>
      <c r="K96" s="3" t="s">
        <v>24</v>
      </c>
    </row>
    <row r="97" spans="1:11" x14ac:dyDescent="0.3">
      <c r="A97" s="15" t="str">
        <f t="shared" si="1"/>
        <v>B</v>
      </c>
      <c r="C97" s="8"/>
      <c r="D97" s="8" t="s">
        <v>34</v>
      </c>
      <c r="E97" s="9"/>
      <c r="F97" s="10"/>
      <c r="G97" s="11"/>
      <c r="H97" s="11"/>
      <c r="I97" s="12"/>
      <c r="K97" s="3" t="s">
        <v>24</v>
      </c>
    </row>
    <row r="98" spans="1:11" x14ac:dyDescent="0.3">
      <c r="A98" s="15" t="str">
        <f t="shared" si="1"/>
        <v>C</v>
      </c>
      <c r="C98" s="8"/>
      <c r="D98" s="8" t="s">
        <v>35</v>
      </c>
      <c r="E98" s="9"/>
      <c r="F98" s="10"/>
      <c r="G98" s="11"/>
      <c r="H98" s="11"/>
      <c r="I98" s="12"/>
      <c r="K98" s="3" t="s">
        <v>24</v>
      </c>
    </row>
    <row r="99" spans="1:11" x14ac:dyDescent="0.3">
      <c r="A99" s="15" t="str">
        <f t="shared" si="1"/>
        <v>D</v>
      </c>
      <c r="C99" s="8"/>
      <c r="D99" s="8" t="s">
        <v>36</v>
      </c>
      <c r="E99" s="9"/>
      <c r="F99" s="10"/>
      <c r="G99" s="11"/>
      <c r="H99" s="11"/>
      <c r="I99" s="12"/>
      <c r="K99" s="3" t="s">
        <v>24</v>
      </c>
    </row>
    <row r="100" spans="1:11" x14ac:dyDescent="0.3">
      <c r="A100" s="15" t="str">
        <f t="shared" si="1"/>
        <v>A</v>
      </c>
      <c r="C100" s="3"/>
      <c r="D100" s="3" t="s">
        <v>33</v>
      </c>
      <c r="E100" s="4"/>
      <c r="F100" s="5"/>
      <c r="G100" s="6"/>
      <c r="H100" s="6"/>
      <c r="I100" s="7"/>
      <c r="K100" s="3" t="s">
        <v>24</v>
      </c>
    </row>
    <row r="101" spans="1:11" x14ac:dyDescent="0.3">
      <c r="A101" s="15" t="str">
        <f t="shared" si="1"/>
        <v>B</v>
      </c>
      <c r="C101" s="3"/>
      <c r="D101" s="3" t="s">
        <v>34</v>
      </c>
      <c r="E101" s="4"/>
      <c r="F101" s="5"/>
      <c r="G101" s="6"/>
      <c r="H101" s="6"/>
      <c r="I101" s="7"/>
      <c r="K101" s="3" t="s">
        <v>24</v>
      </c>
    </row>
    <row r="102" spans="1:11" x14ac:dyDescent="0.3">
      <c r="A102" s="15" t="str">
        <f t="shared" si="1"/>
        <v>C</v>
      </c>
      <c r="C102" s="3"/>
      <c r="D102" s="3" t="s">
        <v>35</v>
      </c>
      <c r="E102" s="4"/>
      <c r="F102" s="5"/>
      <c r="G102" s="6"/>
      <c r="H102" s="6"/>
      <c r="I102" s="7"/>
      <c r="K102" s="3" t="s">
        <v>24</v>
      </c>
    </row>
    <row r="103" spans="1:11" x14ac:dyDescent="0.3">
      <c r="A103" s="15" t="str">
        <f t="shared" si="1"/>
        <v>D</v>
      </c>
      <c r="C103" s="3"/>
      <c r="D103" s="3" t="s">
        <v>36</v>
      </c>
      <c r="E103" s="4"/>
      <c r="F103" s="5"/>
      <c r="G103" s="6"/>
      <c r="H103" s="6"/>
      <c r="I103" s="7"/>
      <c r="K103" s="3" t="s">
        <v>24</v>
      </c>
    </row>
    <row r="104" spans="1:11" x14ac:dyDescent="0.3">
      <c r="A104" s="15" t="str">
        <f t="shared" si="1"/>
        <v>A</v>
      </c>
      <c r="C104" s="8"/>
      <c r="D104" s="8" t="s">
        <v>33</v>
      </c>
      <c r="E104" s="9"/>
      <c r="F104" s="10"/>
      <c r="G104" s="11"/>
      <c r="H104" s="11"/>
      <c r="I104" s="12"/>
      <c r="K104" s="3" t="s">
        <v>24</v>
      </c>
    </row>
    <row r="105" spans="1:11" x14ac:dyDescent="0.3">
      <c r="A105" s="15" t="str">
        <f t="shared" si="1"/>
        <v>B</v>
      </c>
      <c r="C105" s="8"/>
      <c r="D105" s="8" t="s">
        <v>34</v>
      </c>
      <c r="E105" s="9"/>
      <c r="F105" s="10"/>
      <c r="G105" s="11"/>
      <c r="H105" s="11"/>
      <c r="I105" s="12"/>
    </row>
    <row r="106" spans="1:11" x14ac:dyDescent="0.3">
      <c r="A106" s="15" t="str">
        <f t="shared" si="1"/>
        <v>C</v>
      </c>
      <c r="C106" s="8"/>
      <c r="D106" s="8" t="s">
        <v>35</v>
      </c>
      <c r="E106" s="9"/>
      <c r="F106" s="10"/>
      <c r="G106" s="11"/>
      <c r="H106" s="11"/>
      <c r="I106" s="12"/>
    </row>
    <row r="107" spans="1:11" x14ac:dyDescent="0.3">
      <c r="A107" s="15" t="str">
        <f t="shared" si="1"/>
        <v>D</v>
      </c>
      <c r="C107" s="8"/>
      <c r="D107" s="8" t="s">
        <v>36</v>
      </c>
      <c r="E107" s="9"/>
      <c r="F107" s="10"/>
      <c r="G107" s="11"/>
      <c r="H107" s="11"/>
      <c r="I107" s="12"/>
    </row>
    <row r="108" spans="1:11" x14ac:dyDescent="0.3">
      <c r="A108" s="15" t="str">
        <f t="shared" si="1"/>
        <v>A</v>
      </c>
      <c r="C108" s="3"/>
      <c r="D108" s="3" t="s">
        <v>33</v>
      </c>
      <c r="E108" s="4"/>
      <c r="F108" s="5"/>
      <c r="G108" s="6"/>
      <c r="H108" s="6"/>
      <c r="I108" s="7"/>
    </row>
    <row r="109" spans="1:11" x14ac:dyDescent="0.3">
      <c r="A109" s="15" t="str">
        <f t="shared" si="1"/>
        <v>B</v>
      </c>
      <c r="C109" s="3"/>
      <c r="D109" s="3" t="s">
        <v>34</v>
      </c>
      <c r="E109" s="4"/>
      <c r="F109" s="5"/>
      <c r="G109" s="6"/>
      <c r="H109" s="6"/>
      <c r="I109" s="7"/>
    </row>
    <row r="110" spans="1:11" x14ac:dyDescent="0.3">
      <c r="A110" s="15" t="str">
        <f t="shared" si="1"/>
        <v>C</v>
      </c>
      <c r="C110" s="3"/>
      <c r="D110" s="3" t="s">
        <v>35</v>
      </c>
      <c r="E110" s="4"/>
      <c r="F110" s="5"/>
      <c r="G110" s="6"/>
      <c r="H110" s="6"/>
      <c r="I110" s="7"/>
    </row>
    <row r="111" spans="1:11" x14ac:dyDescent="0.3">
      <c r="A111" s="15" t="str">
        <f t="shared" si="1"/>
        <v>D</v>
      </c>
      <c r="C111" s="3"/>
      <c r="D111" s="3" t="s">
        <v>36</v>
      </c>
      <c r="E111" s="4"/>
      <c r="F111" s="5"/>
      <c r="G111" s="6"/>
      <c r="H111" s="6"/>
      <c r="I111" s="7"/>
    </row>
    <row r="112" spans="1:11" x14ac:dyDescent="0.3">
      <c r="A112" s="15" t="str">
        <f t="shared" si="1"/>
        <v>A</v>
      </c>
      <c r="C112" s="8"/>
      <c r="D112" s="8" t="s">
        <v>33</v>
      </c>
      <c r="E112" s="9"/>
      <c r="F112" s="10"/>
      <c r="G112" s="11"/>
      <c r="H112" s="11"/>
      <c r="I112" s="12"/>
    </row>
    <row r="113" spans="1:9" x14ac:dyDescent="0.3">
      <c r="A113" s="15" t="str">
        <f t="shared" si="1"/>
        <v>B</v>
      </c>
      <c r="C113" s="8"/>
      <c r="D113" s="8" t="s">
        <v>34</v>
      </c>
      <c r="E113" s="9"/>
      <c r="F113" s="10"/>
      <c r="G113" s="11"/>
      <c r="H113" s="11"/>
      <c r="I113" s="12"/>
    </row>
    <row r="114" spans="1:9" x14ac:dyDescent="0.3">
      <c r="A114" s="15" t="str">
        <f t="shared" si="1"/>
        <v>C</v>
      </c>
      <c r="C114" s="8"/>
      <c r="D114" s="8" t="s">
        <v>35</v>
      </c>
      <c r="E114" s="9"/>
      <c r="F114" s="10"/>
      <c r="G114" s="11"/>
      <c r="H114" s="11"/>
      <c r="I114" s="12"/>
    </row>
    <row r="115" spans="1:9" x14ac:dyDescent="0.3">
      <c r="A115" s="15" t="str">
        <f t="shared" si="1"/>
        <v>D</v>
      </c>
      <c r="C115" s="8"/>
      <c r="D115" s="8" t="s">
        <v>36</v>
      </c>
      <c r="E115" s="9"/>
      <c r="F115" s="10"/>
      <c r="G115" s="11"/>
      <c r="H115" s="11"/>
      <c r="I115" s="12"/>
    </row>
    <row r="116" spans="1:9" x14ac:dyDescent="0.3">
      <c r="A116" s="15" t="str">
        <f t="shared" si="1"/>
        <v>A</v>
      </c>
      <c r="C116" s="3"/>
      <c r="D116" s="3" t="s">
        <v>33</v>
      </c>
      <c r="E116" s="4"/>
      <c r="F116" s="5"/>
      <c r="G116" s="6"/>
      <c r="H116" s="6"/>
      <c r="I116" s="7"/>
    </row>
    <row r="117" spans="1:9" x14ac:dyDescent="0.3">
      <c r="A117" s="15" t="str">
        <f t="shared" si="1"/>
        <v>B</v>
      </c>
      <c r="C117" s="3"/>
      <c r="D117" s="3" t="s">
        <v>34</v>
      </c>
      <c r="E117" s="4"/>
      <c r="F117" s="5"/>
      <c r="G117" s="6"/>
      <c r="H117" s="6"/>
      <c r="I117" s="7"/>
    </row>
    <row r="118" spans="1:9" x14ac:dyDescent="0.3">
      <c r="A118" s="15" t="str">
        <f t="shared" si="1"/>
        <v>C</v>
      </c>
      <c r="C118" s="3"/>
      <c r="D118" s="3" t="s">
        <v>35</v>
      </c>
      <c r="E118" s="4"/>
      <c r="F118" s="5"/>
      <c r="G118" s="6"/>
      <c r="H118" s="6"/>
      <c r="I118" s="7"/>
    </row>
    <row r="119" spans="1:9" x14ac:dyDescent="0.3">
      <c r="A119" s="15" t="str">
        <f t="shared" si="1"/>
        <v>D</v>
      </c>
      <c r="C119" s="3"/>
      <c r="D119" s="3" t="s">
        <v>36</v>
      </c>
      <c r="E119" s="4"/>
      <c r="F119" s="5"/>
      <c r="G119" s="6"/>
      <c r="H119" s="6"/>
      <c r="I119" s="7"/>
    </row>
    <row r="120" spans="1:9" x14ac:dyDescent="0.3">
      <c r="A120" s="15" t="str">
        <f t="shared" si="1"/>
        <v>A</v>
      </c>
      <c r="C120" s="8"/>
      <c r="D120" s="8" t="s">
        <v>33</v>
      </c>
      <c r="E120" s="9"/>
      <c r="F120" s="10"/>
      <c r="G120" s="11"/>
      <c r="H120" s="11"/>
      <c r="I120" s="12"/>
    </row>
    <row r="121" spans="1:9" x14ac:dyDescent="0.3">
      <c r="A121" s="15" t="str">
        <f t="shared" si="1"/>
        <v>B</v>
      </c>
      <c r="C121" s="8"/>
      <c r="D121" s="8" t="s">
        <v>34</v>
      </c>
      <c r="E121" s="9"/>
      <c r="F121" s="10"/>
      <c r="G121" s="11"/>
      <c r="H121" s="11"/>
      <c r="I121" s="12"/>
    </row>
    <row r="122" spans="1:9" x14ac:dyDescent="0.3">
      <c r="A122" s="15" t="str">
        <f t="shared" si="1"/>
        <v>C</v>
      </c>
      <c r="C122" s="8"/>
      <c r="D122" s="8" t="s">
        <v>35</v>
      </c>
      <c r="E122" s="9"/>
      <c r="F122" s="10"/>
      <c r="G122" s="11"/>
      <c r="H122" s="11"/>
      <c r="I122" s="12"/>
    </row>
    <row r="123" spans="1:9" x14ac:dyDescent="0.3">
      <c r="A123" s="15" t="str">
        <f t="shared" si="1"/>
        <v>D</v>
      </c>
      <c r="C123" s="8"/>
      <c r="D123" s="8" t="s">
        <v>36</v>
      </c>
      <c r="E123" s="9"/>
      <c r="F123" s="10"/>
      <c r="G123" s="11"/>
      <c r="H123" s="11"/>
      <c r="I123" s="12"/>
    </row>
    <row r="124" spans="1:9" x14ac:dyDescent="0.3">
      <c r="A124" s="15" t="str">
        <f t="shared" si="1"/>
        <v>A</v>
      </c>
      <c r="C124" s="3"/>
      <c r="D124" s="3" t="s">
        <v>33</v>
      </c>
      <c r="E124" s="4"/>
      <c r="F124" s="5"/>
      <c r="G124" s="6"/>
      <c r="H124" s="6"/>
      <c r="I124" s="7"/>
    </row>
    <row r="125" spans="1:9" x14ac:dyDescent="0.3">
      <c r="A125" s="15" t="str">
        <f t="shared" si="1"/>
        <v>B</v>
      </c>
      <c r="C125" s="3"/>
      <c r="D125" s="3" t="s">
        <v>34</v>
      </c>
      <c r="E125" s="4"/>
      <c r="F125" s="5"/>
      <c r="G125" s="6"/>
      <c r="H125" s="6"/>
      <c r="I125" s="7"/>
    </row>
    <row r="126" spans="1:9" x14ac:dyDescent="0.3">
      <c r="A126" s="15" t="str">
        <f t="shared" si="1"/>
        <v>C</v>
      </c>
      <c r="C126" s="3"/>
      <c r="D126" s="3" t="s">
        <v>35</v>
      </c>
      <c r="E126" s="4"/>
      <c r="F126" s="5"/>
      <c r="G126" s="6"/>
      <c r="H126" s="6"/>
      <c r="I126" s="7"/>
    </row>
    <row r="127" spans="1:9" x14ac:dyDescent="0.3">
      <c r="A127" s="15" t="str">
        <f t="shared" si="1"/>
        <v>D</v>
      </c>
      <c r="C127" s="3"/>
      <c r="D127" s="3" t="s">
        <v>36</v>
      </c>
      <c r="E127" s="4"/>
      <c r="F127" s="5"/>
      <c r="G127" s="6"/>
      <c r="H127" s="6"/>
      <c r="I127" s="7"/>
    </row>
    <row r="128" spans="1:9" x14ac:dyDescent="0.3">
      <c r="A128" s="15" t="str">
        <f t="shared" si="1"/>
        <v>A</v>
      </c>
      <c r="C128" s="8"/>
      <c r="D128" s="8" t="s">
        <v>33</v>
      </c>
      <c r="E128" s="9"/>
      <c r="F128" s="10"/>
      <c r="G128" s="11"/>
      <c r="H128" s="11"/>
      <c r="I128" s="12"/>
    </row>
    <row r="129" spans="1:9" x14ac:dyDescent="0.3">
      <c r="A129" s="15" t="str">
        <f t="shared" si="1"/>
        <v>B</v>
      </c>
      <c r="C129" s="8"/>
      <c r="D129" s="8" t="s">
        <v>34</v>
      </c>
      <c r="E129" s="9"/>
      <c r="F129" s="10"/>
      <c r="G129" s="11"/>
      <c r="H129" s="11"/>
      <c r="I129" s="12"/>
    </row>
    <row r="130" spans="1:9" x14ac:dyDescent="0.3">
      <c r="A130" s="15" t="str">
        <f t="shared" si="1"/>
        <v>C</v>
      </c>
      <c r="C130" s="8"/>
      <c r="D130" s="8" t="s">
        <v>35</v>
      </c>
      <c r="E130" s="9"/>
      <c r="F130" s="10"/>
      <c r="G130" s="11"/>
      <c r="H130" s="11"/>
      <c r="I130" s="12"/>
    </row>
    <row r="131" spans="1:9" x14ac:dyDescent="0.3">
      <c r="A131" s="15" t="str">
        <f t="shared" si="1"/>
        <v>D</v>
      </c>
      <c r="C131" s="8"/>
      <c r="D131" s="8" t="s">
        <v>36</v>
      </c>
      <c r="E131" s="9"/>
      <c r="F131" s="10"/>
      <c r="G131" s="11"/>
      <c r="H131" s="11"/>
      <c r="I131" s="12"/>
    </row>
    <row r="132" spans="1:9" x14ac:dyDescent="0.3">
      <c r="A132" s="15" t="str">
        <f t="shared" si="1"/>
        <v>A</v>
      </c>
      <c r="C132" s="3"/>
      <c r="D132" s="3" t="s">
        <v>33</v>
      </c>
      <c r="E132" s="4"/>
      <c r="F132" s="5"/>
      <c r="G132" s="6"/>
      <c r="H132" s="6"/>
      <c r="I132" s="7"/>
    </row>
    <row r="133" spans="1:9" x14ac:dyDescent="0.3">
      <c r="A133" s="15" t="str">
        <f t="shared" ref="A133:A196" si="2">C133&amp;D133</f>
        <v>B</v>
      </c>
      <c r="C133" s="3"/>
      <c r="D133" s="3" t="s">
        <v>34</v>
      </c>
      <c r="E133" s="4"/>
      <c r="F133" s="5"/>
      <c r="G133" s="6"/>
      <c r="H133" s="6"/>
      <c r="I133" s="7"/>
    </row>
    <row r="134" spans="1:9" x14ac:dyDescent="0.3">
      <c r="A134" s="15" t="str">
        <f t="shared" si="2"/>
        <v>C</v>
      </c>
      <c r="C134" s="3"/>
      <c r="D134" s="3" t="s">
        <v>35</v>
      </c>
      <c r="E134" s="4"/>
      <c r="F134" s="5"/>
      <c r="G134" s="6"/>
      <c r="H134" s="6"/>
      <c r="I134" s="7"/>
    </row>
    <row r="135" spans="1:9" x14ac:dyDescent="0.3">
      <c r="A135" s="15" t="str">
        <f t="shared" si="2"/>
        <v>D</v>
      </c>
      <c r="C135" s="3"/>
      <c r="D135" s="3" t="s">
        <v>36</v>
      </c>
      <c r="E135" s="4"/>
      <c r="F135" s="5"/>
      <c r="G135" s="6"/>
      <c r="H135" s="6"/>
      <c r="I135" s="7"/>
    </row>
    <row r="136" spans="1:9" x14ac:dyDescent="0.3">
      <c r="A136" s="15" t="str">
        <f t="shared" si="2"/>
        <v>A</v>
      </c>
      <c r="C136" s="8"/>
      <c r="D136" s="8" t="s">
        <v>33</v>
      </c>
      <c r="E136" s="9"/>
      <c r="F136" s="10"/>
      <c r="G136" s="11"/>
      <c r="H136" s="11"/>
      <c r="I136" s="12"/>
    </row>
    <row r="137" spans="1:9" x14ac:dyDescent="0.3">
      <c r="A137" s="15" t="str">
        <f t="shared" si="2"/>
        <v>B</v>
      </c>
      <c r="C137" s="8"/>
      <c r="D137" s="8" t="s">
        <v>34</v>
      </c>
      <c r="E137" s="9"/>
      <c r="F137" s="10"/>
      <c r="G137" s="11"/>
      <c r="H137" s="11"/>
      <c r="I137" s="12"/>
    </row>
    <row r="138" spans="1:9" x14ac:dyDescent="0.3">
      <c r="A138" s="15" t="str">
        <f t="shared" si="2"/>
        <v>C</v>
      </c>
      <c r="C138" s="8"/>
      <c r="D138" s="8" t="s">
        <v>35</v>
      </c>
      <c r="E138" s="9"/>
      <c r="F138" s="10"/>
      <c r="G138" s="11"/>
      <c r="H138" s="11"/>
      <c r="I138" s="12"/>
    </row>
    <row r="139" spans="1:9" x14ac:dyDescent="0.3">
      <c r="A139" s="15" t="str">
        <f t="shared" si="2"/>
        <v>D</v>
      </c>
      <c r="C139" s="8"/>
      <c r="D139" s="8" t="s">
        <v>36</v>
      </c>
      <c r="E139" s="9"/>
      <c r="F139" s="10"/>
      <c r="G139" s="11"/>
      <c r="H139" s="11"/>
      <c r="I139" s="12"/>
    </row>
    <row r="140" spans="1:9" x14ac:dyDescent="0.3">
      <c r="A140" s="15" t="str">
        <f t="shared" si="2"/>
        <v>A</v>
      </c>
      <c r="C140" s="3"/>
      <c r="D140" s="3" t="s">
        <v>33</v>
      </c>
      <c r="E140" s="4"/>
      <c r="F140" s="5"/>
      <c r="G140" s="6"/>
      <c r="H140" s="6"/>
      <c r="I140" s="7"/>
    </row>
    <row r="141" spans="1:9" x14ac:dyDescent="0.3">
      <c r="A141" s="15" t="str">
        <f t="shared" si="2"/>
        <v>B</v>
      </c>
      <c r="C141" s="3"/>
      <c r="D141" s="3" t="s">
        <v>34</v>
      </c>
      <c r="E141" s="4"/>
      <c r="F141" s="5"/>
      <c r="G141" s="6"/>
      <c r="H141" s="6"/>
      <c r="I141" s="7"/>
    </row>
    <row r="142" spans="1:9" x14ac:dyDescent="0.3">
      <c r="A142" s="15" t="str">
        <f t="shared" si="2"/>
        <v>C</v>
      </c>
      <c r="C142" s="3"/>
      <c r="D142" s="3" t="s">
        <v>35</v>
      </c>
      <c r="E142" s="4"/>
      <c r="F142" s="5"/>
      <c r="G142" s="6"/>
      <c r="H142" s="6"/>
      <c r="I142" s="7"/>
    </row>
    <row r="143" spans="1:9" x14ac:dyDescent="0.3">
      <c r="A143" s="15" t="str">
        <f t="shared" si="2"/>
        <v>D</v>
      </c>
      <c r="C143" s="3"/>
      <c r="D143" s="3" t="s">
        <v>36</v>
      </c>
      <c r="E143" s="4"/>
      <c r="F143" s="5"/>
      <c r="G143" s="6"/>
      <c r="H143" s="6"/>
      <c r="I143" s="7"/>
    </row>
    <row r="144" spans="1:9" x14ac:dyDescent="0.3">
      <c r="A144" s="15" t="str">
        <f t="shared" si="2"/>
        <v>A</v>
      </c>
      <c r="C144" s="8"/>
      <c r="D144" s="8" t="s">
        <v>33</v>
      </c>
      <c r="E144" s="9"/>
      <c r="F144" s="10"/>
      <c r="G144" s="11"/>
      <c r="H144" s="11"/>
      <c r="I144" s="12"/>
    </row>
    <row r="145" spans="1:9" x14ac:dyDescent="0.3">
      <c r="A145" s="15" t="str">
        <f t="shared" si="2"/>
        <v>B</v>
      </c>
      <c r="C145" s="8"/>
      <c r="D145" s="8" t="s">
        <v>34</v>
      </c>
      <c r="E145" s="9"/>
      <c r="F145" s="10"/>
      <c r="G145" s="11"/>
      <c r="H145" s="11"/>
      <c r="I145" s="12"/>
    </row>
    <row r="146" spans="1:9" x14ac:dyDescent="0.3">
      <c r="A146" s="15" t="str">
        <f t="shared" si="2"/>
        <v>C</v>
      </c>
      <c r="C146" s="8"/>
      <c r="D146" s="8" t="s">
        <v>35</v>
      </c>
      <c r="E146" s="9"/>
      <c r="F146" s="10"/>
      <c r="G146" s="11"/>
      <c r="H146" s="11"/>
      <c r="I146" s="12"/>
    </row>
    <row r="147" spans="1:9" x14ac:dyDescent="0.3">
      <c r="A147" s="15" t="str">
        <f t="shared" si="2"/>
        <v>D</v>
      </c>
      <c r="C147" s="8"/>
      <c r="D147" s="8" t="s">
        <v>36</v>
      </c>
      <c r="E147" s="9"/>
      <c r="F147" s="10"/>
      <c r="G147" s="11"/>
      <c r="H147" s="11"/>
      <c r="I147" s="12"/>
    </row>
    <row r="148" spans="1:9" x14ac:dyDescent="0.3">
      <c r="A148" s="15" t="str">
        <f t="shared" si="2"/>
        <v>A</v>
      </c>
      <c r="C148" s="3"/>
      <c r="D148" s="3" t="s">
        <v>33</v>
      </c>
      <c r="E148" s="4"/>
      <c r="F148" s="5"/>
      <c r="G148" s="6"/>
      <c r="H148" s="6"/>
      <c r="I148" s="7"/>
    </row>
    <row r="149" spans="1:9" x14ac:dyDescent="0.3">
      <c r="A149" s="15" t="str">
        <f t="shared" si="2"/>
        <v>B</v>
      </c>
      <c r="C149" s="3"/>
      <c r="D149" s="3" t="s">
        <v>34</v>
      </c>
      <c r="E149" s="4"/>
      <c r="F149" s="5"/>
      <c r="G149" s="6"/>
      <c r="H149" s="6"/>
      <c r="I149" s="7"/>
    </row>
    <row r="150" spans="1:9" x14ac:dyDescent="0.3">
      <c r="A150" s="15" t="str">
        <f t="shared" si="2"/>
        <v>C</v>
      </c>
      <c r="C150" s="3"/>
      <c r="D150" s="3" t="s">
        <v>35</v>
      </c>
      <c r="E150" s="4"/>
      <c r="F150" s="5"/>
      <c r="G150" s="6"/>
      <c r="H150" s="6"/>
      <c r="I150" s="7"/>
    </row>
    <row r="151" spans="1:9" x14ac:dyDescent="0.3">
      <c r="A151" s="15" t="str">
        <f t="shared" si="2"/>
        <v>D</v>
      </c>
      <c r="C151" s="3"/>
      <c r="D151" s="3" t="s">
        <v>36</v>
      </c>
      <c r="E151" s="4"/>
      <c r="F151" s="5"/>
      <c r="G151" s="6"/>
      <c r="H151" s="6"/>
      <c r="I151" s="7"/>
    </row>
    <row r="152" spans="1:9" x14ac:dyDescent="0.3">
      <c r="A152" s="15" t="str">
        <f t="shared" si="2"/>
        <v>A</v>
      </c>
      <c r="C152" s="8"/>
      <c r="D152" s="8" t="s">
        <v>33</v>
      </c>
      <c r="E152" s="9"/>
      <c r="F152" s="10"/>
      <c r="G152" s="11"/>
      <c r="H152" s="11"/>
      <c r="I152" s="12"/>
    </row>
    <row r="153" spans="1:9" x14ac:dyDescent="0.3">
      <c r="A153" s="15" t="str">
        <f t="shared" si="2"/>
        <v>B</v>
      </c>
      <c r="C153" s="8"/>
      <c r="D153" s="8" t="s">
        <v>34</v>
      </c>
      <c r="E153" s="9"/>
      <c r="F153" s="10"/>
      <c r="G153" s="11"/>
      <c r="H153" s="11"/>
      <c r="I153" s="12"/>
    </row>
    <row r="154" spans="1:9" x14ac:dyDescent="0.3">
      <c r="A154" s="15" t="str">
        <f t="shared" si="2"/>
        <v>C</v>
      </c>
      <c r="C154" s="8"/>
      <c r="D154" s="8" t="s">
        <v>35</v>
      </c>
      <c r="E154" s="9"/>
      <c r="F154" s="10"/>
      <c r="G154" s="11"/>
      <c r="H154" s="11"/>
      <c r="I154" s="12"/>
    </row>
    <row r="155" spans="1:9" x14ac:dyDescent="0.3">
      <c r="A155" s="15" t="str">
        <f t="shared" si="2"/>
        <v>D</v>
      </c>
      <c r="C155" s="8"/>
      <c r="D155" s="8" t="s">
        <v>36</v>
      </c>
      <c r="E155" s="9"/>
      <c r="F155" s="10"/>
      <c r="G155" s="11"/>
      <c r="H155" s="11"/>
      <c r="I155" s="12"/>
    </row>
    <row r="156" spans="1:9" x14ac:dyDescent="0.3">
      <c r="A156" s="15" t="str">
        <f t="shared" si="2"/>
        <v>A</v>
      </c>
      <c r="C156" s="3"/>
      <c r="D156" s="3" t="s">
        <v>33</v>
      </c>
      <c r="E156" s="4"/>
      <c r="F156" s="5"/>
      <c r="G156" s="6"/>
      <c r="H156" s="6"/>
      <c r="I156" s="7"/>
    </row>
    <row r="157" spans="1:9" x14ac:dyDescent="0.3">
      <c r="A157" s="15" t="str">
        <f t="shared" si="2"/>
        <v>B</v>
      </c>
      <c r="C157" s="3"/>
      <c r="D157" s="3" t="s">
        <v>34</v>
      </c>
      <c r="E157" s="4"/>
      <c r="F157" s="5"/>
      <c r="G157" s="6"/>
      <c r="H157" s="6"/>
      <c r="I157" s="7"/>
    </row>
    <row r="158" spans="1:9" x14ac:dyDescent="0.3">
      <c r="A158" s="15" t="str">
        <f t="shared" si="2"/>
        <v>C</v>
      </c>
      <c r="C158" s="3"/>
      <c r="D158" s="3" t="s">
        <v>35</v>
      </c>
      <c r="E158" s="4"/>
      <c r="F158" s="5"/>
      <c r="G158" s="6"/>
      <c r="H158" s="6"/>
      <c r="I158" s="7"/>
    </row>
    <row r="159" spans="1:9" x14ac:dyDescent="0.3">
      <c r="A159" s="15" t="str">
        <f t="shared" si="2"/>
        <v>D</v>
      </c>
      <c r="C159" s="3"/>
      <c r="D159" s="3" t="s">
        <v>36</v>
      </c>
      <c r="E159" s="4"/>
      <c r="F159" s="5"/>
      <c r="G159" s="6"/>
      <c r="H159" s="6"/>
      <c r="I159" s="7"/>
    </row>
    <row r="160" spans="1:9" x14ac:dyDescent="0.3">
      <c r="A160" s="15" t="str">
        <f t="shared" si="2"/>
        <v>A</v>
      </c>
      <c r="C160" s="8"/>
      <c r="D160" s="8" t="s">
        <v>33</v>
      </c>
      <c r="E160" s="9"/>
      <c r="F160" s="10"/>
      <c r="G160" s="11"/>
      <c r="H160" s="11"/>
      <c r="I160" s="12"/>
    </row>
    <row r="161" spans="1:9" x14ac:dyDescent="0.3">
      <c r="A161" s="15" t="str">
        <f t="shared" si="2"/>
        <v>B</v>
      </c>
      <c r="C161" s="8"/>
      <c r="D161" s="8" t="s">
        <v>34</v>
      </c>
      <c r="E161" s="9"/>
      <c r="F161" s="10"/>
      <c r="G161" s="11"/>
      <c r="H161" s="11"/>
      <c r="I161" s="12"/>
    </row>
    <row r="162" spans="1:9" x14ac:dyDescent="0.3">
      <c r="A162" s="15" t="str">
        <f t="shared" si="2"/>
        <v>C</v>
      </c>
      <c r="C162" s="8"/>
      <c r="D162" s="8" t="s">
        <v>35</v>
      </c>
      <c r="E162" s="9"/>
      <c r="F162" s="10"/>
      <c r="G162" s="11"/>
      <c r="H162" s="11"/>
      <c r="I162" s="12"/>
    </row>
    <row r="163" spans="1:9" x14ac:dyDescent="0.3">
      <c r="A163" s="15" t="str">
        <f t="shared" si="2"/>
        <v>D</v>
      </c>
      <c r="C163" s="8"/>
      <c r="D163" s="8" t="s">
        <v>36</v>
      </c>
      <c r="E163" s="9"/>
      <c r="F163" s="10"/>
      <c r="G163" s="11"/>
      <c r="H163" s="11"/>
      <c r="I163" s="12"/>
    </row>
    <row r="164" spans="1:9" x14ac:dyDescent="0.3">
      <c r="A164" s="15" t="str">
        <f t="shared" si="2"/>
        <v>A</v>
      </c>
      <c r="C164" s="3"/>
      <c r="D164" s="3" t="s">
        <v>33</v>
      </c>
      <c r="E164" s="4"/>
      <c r="F164" s="5"/>
      <c r="G164" s="6"/>
      <c r="H164" s="6"/>
      <c r="I164" s="7"/>
    </row>
    <row r="165" spans="1:9" x14ac:dyDescent="0.3">
      <c r="A165" s="15" t="str">
        <f t="shared" si="2"/>
        <v>B</v>
      </c>
      <c r="C165" s="3"/>
      <c r="D165" s="3" t="s">
        <v>34</v>
      </c>
      <c r="E165" s="4"/>
      <c r="F165" s="5"/>
      <c r="G165" s="6"/>
      <c r="H165" s="6"/>
      <c r="I165" s="7"/>
    </row>
    <row r="166" spans="1:9" x14ac:dyDescent="0.3">
      <c r="A166" s="15" t="str">
        <f t="shared" si="2"/>
        <v>C</v>
      </c>
      <c r="C166" s="3"/>
      <c r="D166" s="3" t="s">
        <v>35</v>
      </c>
      <c r="E166" s="4"/>
      <c r="F166" s="5"/>
      <c r="G166" s="6"/>
      <c r="H166" s="6"/>
      <c r="I166" s="7"/>
    </row>
    <row r="167" spans="1:9" x14ac:dyDescent="0.3">
      <c r="A167" s="15" t="str">
        <f t="shared" si="2"/>
        <v>D</v>
      </c>
      <c r="C167" s="3"/>
      <c r="D167" s="3" t="s">
        <v>36</v>
      </c>
      <c r="E167" s="4"/>
      <c r="F167" s="5"/>
      <c r="G167" s="6"/>
      <c r="H167" s="6"/>
      <c r="I167" s="7"/>
    </row>
    <row r="168" spans="1:9" x14ac:dyDescent="0.3">
      <c r="A168" s="15" t="str">
        <f t="shared" si="2"/>
        <v>A</v>
      </c>
      <c r="C168" s="8"/>
      <c r="D168" s="8" t="s">
        <v>33</v>
      </c>
      <c r="E168" s="9"/>
      <c r="F168" s="10"/>
      <c r="G168" s="11"/>
      <c r="H168" s="11"/>
      <c r="I168" s="12"/>
    </row>
    <row r="169" spans="1:9" x14ac:dyDescent="0.3">
      <c r="A169" s="15" t="str">
        <f t="shared" si="2"/>
        <v>B</v>
      </c>
      <c r="C169" s="8"/>
      <c r="D169" s="8" t="s">
        <v>34</v>
      </c>
      <c r="E169" s="9"/>
      <c r="F169" s="10"/>
      <c r="G169" s="11"/>
      <c r="H169" s="11"/>
      <c r="I169" s="12"/>
    </row>
    <row r="170" spans="1:9" x14ac:dyDescent="0.3">
      <c r="A170" s="15" t="str">
        <f t="shared" si="2"/>
        <v>C</v>
      </c>
      <c r="C170" s="8"/>
      <c r="D170" s="8" t="s">
        <v>35</v>
      </c>
      <c r="E170" s="9"/>
      <c r="F170" s="10"/>
      <c r="G170" s="11"/>
      <c r="H170" s="11"/>
      <c r="I170" s="12"/>
    </row>
    <row r="171" spans="1:9" x14ac:dyDescent="0.3">
      <c r="A171" s="15" t="str">
        <f t="shared" si="2"/>
        <v>D</v>
      </c>
      <c r="C171" s="8"/>
      <c r="D171" s="8" t="s">
        <v>36</v>
      </c>
      <c r="E171" s="9"/>
      <c r="F171" s="10"/>
      <c r="G171" s="11"/>
      <c r="H171" s="11"/>
      <c r="I171" s="12"/>
    </row>
    <row r="172" spans="1:9" x14ac:dyDescent="0.3">
      <c r="A172" s="15" t="str">
        <f t="shared" si="2"/>
        <v>A</v>
      </c>
      <c r="C172" s="3"/>
      <c r="D172" s="3" t="s">
        <v>33</v>
      </c>
      <c r="E172" s="4"/>
      <c r="F172" s="5"/>
      <c r="G172" s="6"/>
      <c r="H172" s="6"/>
      <c r="I172" s="7"/>
    </row>
    <row r="173" spans="1:9" x14ac:dyDescent="0.3">
      <c r="A173" s="15" t="str">
        <f t="shared" si="2"/>
        <v>B</v>
      </c>
      <c r="C173" s="3"/>
      <c r="D173" s="3" t="s">
        <v>34</v>
      </c>
      <c r="E173" s="4"/>
      <c r="F173" s="5"/>
      <c r="G173" s="6"/>
      <c r="H173" s="6"/>
      <c r="I173" s="7"/>
    </row>
    <row r="174" spans="1:9" x14ac:dyDescent="0.3">
      <c r="A174" s="15" t="str">
        <f t="shared" si="2"/>
        <v>C</v>
      </c>
      <c r="C174" s="3"/>
      <c r="D174" s="3" t="s">
        <v>35</v>
      </c>
      <c r="E174" s="4"/>
      <c r="F174" s="5"/>
      <c r="G174" s="6"/>
      <c r="H174" s="6"/>
      <c r="I174" s="7"/>
    </row>
    <row r="175" spans="1:9" x14ac:dyDescent="0.3">
      <c r="A175" s="15" t="str">
        <f t="shared" si="2"/>
        <v>D</v>
      </c>
      <c r="C175" s="3"/>
      <c r="D175" s="3" t="s">
        <v>36</v>
      </c>
      <c r="E175" s="4"/>
      <c r="F175" s="5"/>
      <c r="G175" s="6"/>
      <c r="H175" s="6"/>
      <c r="I175" s="7"/>
    </row>
    <row r="176" spans="1:9" x14ac:dyDescent="0.3">
      <c r="A176" s="15" t="str">
        <f t="shared" si="2"/>
        <v>A</v>
      </c>
      <c r="C176" s="8"/>
      <c r="D176" s="8" t="s">
        <v>33</v>
      </c>
      <c r="E176" s="9"/>
      <c r="F176" s="10"/>
      <c r="G176" s="11"/>
      <c r="H176" s="11"/>
      <c r="I176" s="12"/>
    </row>
    <row r="177" spans="1:9" x14ac:dyDescent="0.3">
      <c r="A177" s="15" t="str">
        <f t="shared" si="2"/>
        <v>B</v>
      </c>
      <c r="C177" s="8"/>
      <c r="D177" s="8" t="s">
        <v>34</v>
      </c>
      <c r="E177" s="9"/>
      <c r="F177" s="10"/>
      <c r="G177" s="11"/>
      <c r="H177" s="11"/>
      <c r="I177" s="12"/>
    </row>
    <row r="178" spans="1:9" x14ac:dyDescent="0.3">
      <c r="A178" s="15" t="str">
        <f t="shared" si="2"/>
        <v>C</v>
      </c>
      <c r="C178" s="8"/>
      <c r="D178" s="8" t="s">
        <v>35</v>
      </c>
      <c r="E178" s="9"/>
      <c r="F178" s="10"/>
      <c r="G178" s="11"/>
      <c r="H178" s="11"/>
      <c r="I178" s="12"/>
    </row>
    <row r="179" spans="1:9" x14ac:dyDescent="0.3">
      <c r="A179" s="15" t="str">
        <f t="shared" si="2"/>
        <v>D</v>
      </c>
      <c r="C179" s="8"/>
      <c r="D179" s="8" t="s">
        <v>36</v>
      </c>
      <c r="E179" s="9"/>
      <c r="F179" s="10"/>
      <c r="G179" s="11"/>
      <c r="H179" s="11"/>
      <c r="I179" s="12"/>
    </row>
    <row r="180" spans="1:9" x14ac:dyDescent="0.3">
      <c r="A180" s="15" t="str">
        <f t="shared" si="2"/>
        <v>A</v>
      </c>
      <c r="C180" s="3"/>
      <c r="D180" s="3" t="s">
        <v>33</v>
      </c>
      <c r="E180" s="4"/>
      <c r="F180" s="5"/>
      <c r="G180" s="6"/>
      <c r="H180" s="6"/>
      <c r="I180" s="7"/>
    </row>
    <row r="181" spans="1:9" x14ac:dyDescent="0.3">
      <c r="A181" s="15" t="str">
        <f t="shared" si="2"/>
        <v>B</v>
      </c>
      <c r="C181" s="3"/>
      <c r="D181" s="3" t="s">
        <v>34</v>
      </c>
      <c r="E181" s="4"/>
      <c r="F181" s="5"/>
      <c r="G181" s="6"/>
      <c r="H181" s="6"/>
      <c r="I181" s="7"/>
    </row>
    <row r="182" spans="1:9" x14ac:dyDescent="0.3">
      <c r="A182" s="15" t="str">
        <f t="shared" si="2"/>
        <v>C</v>
      </c>
      <c r="C182" s="3"/>
      <c r="D182" s="3" t="s">
        <v>35</v>
      </c>
      <c r="E182" s="4"/>
      <c r="F182" s="5"/>
      <c r="G182" s="6"/>
      <c r="H182" s="6"/>
      <c r="I182" s="7"/>
    </row>
    <row r="183" spans="1:9" x14ac:dyDescent="0.3">
      <c r="A183" s="15" t="str">
        <f t="shared" si="2"/>
        <v>D</v>
      </c>
      <c r="C183" s="3"/>
      <c r="D183" s="3" t="s">
        <v>36</v>
      </c>
      <c r="E183" s="4"/>
      <c r="F183" s="5"/>
      <c r="G183" s="6"/>
      <c r="H183" s="6"/>
      <c r="I183" s="7"/>
    </row>
    <row r="184" spans="1:9" x14ac:dyDescent="0.3">
      <c r="A184" s="15" t="str">
        <f t="shared" si="2"/>
        <v>A</v>
      </c>
      <c r="C184" s="8"/>
      <c r="D184" s="8" t="s">
        <v>33</v>
      </c>
      <c r="E184" s="9"/>
      <c r="F184" s="10"/>
      <c r="G184" s="11"/>
      <c r="H184" s="11"/>
      <c r="I184" s="12"/>
    </row>
    <row r="185" spans="1:9" x14ac:dyDescent="0.3">
      <c r="A185" s="15" t="str">
        <f t="shared" si="2"/>
        <v>B</v>
      </c>
      <c r="C185" s="8"/>
      <c r="D185" s="8" t="s">
        <v>34</v>
      </c>
      <c r="E185" s="9"/>
      <c r="F185" s="10"/>
      <c r="G185" s="11"/>
      <c r="H185" s="11"/>
      <c r="I185" s="12"/>
    </row>
    <row r="186" spans="1:9" x14ac:dyDescent="0.3">
      <c r="A186" s="15" t="str">
        <f t="shared" si="2"/>
        <v>C</v>
      </c>
      <c r="C186" s="8"/>
      <c r="D186" s="8" t="s">
        <v>35</v>
      </c>
      <c r="E186" s="9"/>
      <c r="F186" s="10"/>
      <c r="G186" s="11"/>
      <c r="H186" s="11"/>
      <c r="I186" s="12"/>
    </row>
    <row r="187" spans="1:9" x14ac:dyDescent="0.3">
      <c r="A187" s="15" t="str">
        <f t="shared" si="2"/>
        <v>D</v>
      </c>
      <c r="C187" s="8"/>
      <c r="D187" s="8" t="s">
        <v>36</v>
      </c>
      <c r="E187" s="9"/>
      <c r="F187" s="10"/>
      <c r="G187" s="11"/>
      <c r="H187" s="11"/>
      <c r="I187" s="12"/>
    </row>
    <row r="188" spans="1:9" x14ac:dyDescent="0.3">
      <c r="A188" s="15" t="str">
        <f t="shared" si="2"/>
        <v>A</v>
      </c>
      <c r="C188" s="3"/>
      <c r="D188" s="3" t="s">
        <v>33</v>
      </c>
      <c r="E188" s="4"/>
      <c r="F188" s="5"/>
      <c r="G188" s="6"/>
      <c r="H188" s="6"/>
      <c r="I188" s="7"/>
    </row>
    <row r="189" spans="1:9" x14ac:dyDescent="0.3">
      <c r="A189" s="15" t="str">
        <f t="shared" si="2"/>
        <v>B</v>
      </c>
      <c r="C189" s="3"/>
      <c r="D189" s="3" t="s">
        <v>34</v>
      </c>
      <c r="E189" s="4"/>
      <c r="F189" s="5"/>
      <c r="G189" s="6"/>
      <c r="H189" s="6"/>
      <c r="I189" s="7"/>
    </row>
    <row r="190" spans="1:9" x14ac:dyDescent="0.3">
      <c r="A190" s="15" t="str">
        <f t="shared" si="2"/>
        <v>C</v>
      </c>
      <c r="C190" s="3"/>
      <c r="D190" s="3" t="s">
        <v>35</v>
      </c>
      <c r="E190" s="4"/>
      <c r="F190" s="5"/>
      <c r="G190" s="6"/>
      <c r="H190" s="6"/>
      <c r="I190" s="7"/>
    </row>
    <row r="191" spans="1:9" x14ac:dyDescent="0.3">
      <c r="A191" s="15" t="str">
        <f t="shared" si="2"/>
        <v>D</v>
      </c>
      <c r="C191" s="3"/>
      <c r="D191" s="3" t="s">
        <v>36</v>
      </c>
      <c r="E191" s="4"/>
      <c r="F191" s="5"/>
      <c r="G191" s="6"/>
      <c r="H191" s="6"/>
      <c r="I191" s="7"/>
    </row>
    <row r="192" spans="1:9" x14ac:dyDescent="0.3">
      <c r="A192" s="15" t="str">
        <f t="shared" si="2"/>
        <v>A</v>
      </c>
      <c r="C192" s="8"/>
      <c r="D192" s="8" t="s">
        <v>33</v>
      </c>
      <c r="E192" s="9"/>
      <c r="F192" s="10"/>
      <c r="G192" s="11"/>
      <c r="H192" s="11"/>
      <c r="I192" s="12"/>
    </row>
    <row r="193" spans="1:9" x14ac:dyDescent="0.3">
      <c r="A193" s="15" t="str">
        <f t="shared" si="2"/>
        <v>B</v>
      </c>
      <c r="C193" s="8"/>
      <c r="D193" s="8" t="s">
        <v>34</v>
      </c>
      <c r="E193" s="9"/>
      <c r="F193" s="10"/>
      <c r="G193" s="11"/>
      <c r="H193" s="11"/>
      <c r="I193" s="12"/>
    </row>
    <row r="194" spans="1:9" x14ac:dyDescent="0.3">
      <c r="A194" s="15" t="str">
        <f t="shared" si="2"/>
        <v>C</v>
      </c>
      <c r="C194" s="8"/>
      <c r="D194" s="8" t="s">
        <v>35</v>
      </c>
      <c r="E194" s="9"/>
      <c r="F194" s="10"/>
      <c r="G194" s="11"/>
      <c r="H194" s="11"/>
      <c r="I194" s="12"/>
    </row>
    <row r="195" spans="1:9" x14ac:dyDescent="0.3">
      <c r="A195" s="15" t="str">
        <f t="shared" si="2"/>
        <v>D</v>
      </c>
      <c r="C195" s="8"/>
      <c r="D195" s="8" t="s">
        <v>36</v>
      </c>
      <c r="E195" s="9"/>
      <c r="F195" s="10"/>
      <c r="G195" s="11"/>
      <c r="H195" s="11"/>
      <c r="I195" s="12"/>
    </row>
    <row r="196" spans="1:9" x14ac:dyDescent="0.3">
      <c r="A196" s="15" t="str">
        <f t="shared" si="2"/>
        <v>A</v>
      </c>
      <c r="C196" s="3"/>
      <c r="D196" s="3" t="s">
        <v>33</v>
      </c>
      <c r="E196" s="4"/>
      <c r="F196" s="5"/>
      <c r="G196" s="6"/>
      <c r="H196" s="6"/>
      <c r="I196" s="7"/>
    </row>
    <row r="197" spans="1:9" x14ac:dyDescent="0.3">
      <c r="A197" s="15" t="str">
        <f t="shared" ref="A197:A260" si="3">C197&amp;D197</f>
        <v>B</v>
      </c>
      <c r="C197" s="3"/>
      <c r="D197" s="3" t="s">
        <v>34</v>
      </c>
      <c r="E197" s="4"/>
      <c r="F197" s="5"/>
      <c r="G197" s="6"/>
      <c r="H197" s="6"/>
      <c r="I197" s="7"/>
    </row>
    <row r="198" spans="1:9" x14ac:dyDescent="0.3">
      <c r="A198" s="15" t="str">
        <f t="shared" si="3"/>
        <v>C</v>
      </c>
      <c r="C198" s="3"/>
      <c r="D198" s="3" t="s">
        <v>35</v>
      </c>
      <c r="E198" s="4"/>
      <c r="F198" s="5"/>
      <c r="G198" s="6"/>
      <c r="H198" s="6"/>
      <c r="I198" s="7"/>
    </row>
    <row r="199" spans="1:9" x14ac:dyDescent="0.3">
      <c r="A199" s="15" t="str">
        <f t="shared" si="3"/>
        <v>D</v>
      </c>
      <c r="C199" s="3"/>
      <c r="D199" s="3" t="s">
        <v>36</v>
      </c>
      <c r="E199" s="4"/>
      <c r="F199" s="5"/>
      <c r="G199" s="6"/>
      <c r="H199" s="6"/>
      <c r="I199" s="7"/>
    </row>
    <row r="200" spans="1:9" x14ac:dyDescent="0.3">
      <c r="A200" s="15" t="str">
        <f t="shared" si="3"/>
        <v>A</v>
      </c>
      <c r="C200" s="8"/>
      <c r="D200" s="8" t="s">
        <v>33</v>
      </c>
      <c r="E200" s="9"/>
      <c r="F200" s="10"/>
      <c r="G200" s="11"/>
      <c r="H200" s="11"/>
      <c r="I200" s="12"/>
    </row>
    <row r="201" spans="1:9" x14ac:dyDescent="0.3">
      <c r="A201" s="15" t="str">
        <f t="shared" si="3"/>
        <v>B</v>
      </c>
      <c r="C201" s="8"/>
      <c r="D201" s="8" t="s">
        <v>34</v>
      </c>
      <c r="E201" s="9"/>
      <c r="F201" s="10"/>
      <c r="G201" s="11"/>
      <c r="H201" s="11"/>
      <c r="I201" s="12"/>
    </row>
    <row r="202" spans="1:9" x14ac:dyDescent="0.3">
      <c r="A202" s="15" t="str">
        <f t="shared" si="3"/>
        <v>C</v>
      </c>
      <c r="C202" s="8"/>
      <c r="D202" s="8" t="s">
        <v>35</v>
      </c>
      <c r="E202" s="9"/>
      <c r="F202" s="10"/>
      <c r="G202" s="11"/>
      <c r="H202" s="11"/>
      <c r="I202" s="12"/>
    </row>
    <row r="203" spans="1:9" x14ac:dyDescent="0.3">
      <c r="A203" s="15" t="str">
        <f t="shared" si="3"/>
        <v>D</v>
      </c>
      <c r="C203" s="8"/>
      <c r="D203" s="8" t="s">
        <v>36</v>
      </c>
      <c r="E203" s="9"/>
      <c r="F203" s="10"/>
      <c r="G203" s="11"/>
      <c r="H203" s="11"/>
      <c r="I203" s="12"/>
    </row>
    <row r="204" spans="1:9" x14ac:dyDescent="0.3">
      <c r="A204" s="15" t="str">
        <f t="shared" si="3"/>
        <v>A</v>
      </c>
      <c r="C204" s="3"/>
      <c r="D204" s="3" t="s">
        <v>33</v>
      </c>
      <c r="E204" s="4"/>
      <c r="F204" s="5"/>
      <c r="G204" s="6"/>
      <c r="H204" s="6"/>
      <c r="I204" s="7"/>
    </row>
    <row r="205" spans="1:9" x14ac:dyDescent="0.3">
      <c r="A205" s="15" t="str">
        <f t="shared" si="3"/>
        <v>B</v>
      </c>
      <c r="C205" s="3"/>
      <c r="D205" s="3" t="s">
        <v>34</v>
      </c>
      <c r="E205" s="4"/>
      <c r="F205" s="5"/>
      <c r="G205" s="6"/>
      <c r="H205" s="6"/>
      <c r="I205" s="7"/>
    </row>
    <row r="206" spans="1:9" x14ac:dyDescent="0.3">
      <c r="A206" s="15" t="str">
        <f t="shared" si="3"/>
        <v>C</v>
      </c>
      <c r="C206" s="3"/>
      <c r="D206" s="3" t="s">
        <v>35</v>
      </c>
      <c r="E206" s="4"/>
      <c r="F206" s="5"/>
      <c r="G206" s="6"/>
      <c r="H206" s="6"/>
      <c r="I206" s="7"/>
    </row>
    <row r="207" spans="1:9" x14ac:dyDescent="0.3">
      <c r="A207" s="15" t="str">
        <f t="shared" si="3"/>
        <v>D</v>
      </c>
      <c r="C207" s="3"/>
      <c r="D207" s="3" t="s">
        <v>36</v>
      </c>
      <c r="E207" s="4"/>
      <c r="F207" s="5"/>
      <c r="G207" s="6"/>
      <c r="H207" s="6"/>
      <c r="I207" s="7"/>
    </row>
    <row r="208" spans="1:9" x14ac:dyDescent="0.3">
      <c r="A208" s="15" t="str">
        <f t="shared" si="3"/>
        <v>A</v>
      </c>
      <c r="C208" s="8"/>
      <c r="D208" s="8" t="s">
        <v>33</v>
      </c>
      <c r="E208" s="9"/>
      <c r="F208" s="10"/>
      <c r="G208" s="11"/>
      <c r="H208" s="11"/>
      <c r="I208" s="12"/>
    </row>
    <row r="209" spans="1:9" x14ac:dyDescent="0.3">
      <c r="A209" s="15" t="str">
        <f t="shared" si="3"/>
        <v>B</v>
      </c>
      <c r="C209" s="8"/>
      <c r="D209" s="8" t="s">
        <v>34</v>
      </c>
      <c r="E209" s="9"/>
      <c r="F209" s="10"/>
      <c r="G209" s="11"/>
      <c r="H209" s="11"/>
      <c r="I209" s="12"/>
    </row>
    <row r="210" spans="1:9" x14ac:dyDescent="0.3">
      <c r="A210" s="15" t="str">
        <f t="shared" si="3"/>
        <v>C</v>
      </c>
      <c r="C210" s="8"/>
      <c r="D210" s="8" t="s">
        <v>35</v>
      </c>
      <c r="E210" s="9"/>
      <c r="F210" s="10"/>
      <c r="G210" s="11"/>
      <c r="H210" s="11"/>
      <c r="I210" s="12"/>
    </row>
    <row r="211" spans="1:9" x14ac:dyDescent="0.3">
      <c r="A211" s="15" t="str">
        <f t="shared" si="3"/>
        <v>D</v>
      </c>
      <c r="C211" s="8"/>
      <c r="D211" s="8" t="s">
        <v>36</v>
      </c>
      <c r="E211" s="9"/>
      <c r="F211" s="10"/>
      <c r="G211" s="11"/>
      <c r="H211" s="11"/>
      <c r="I211" s="12"/>
    </row>
    <row r="212" spans="1:9" x14ac:dyDescent="0.3">
      <c r="A212" s="15" t="str">
        <f t="shared" si="3"/>
        <v>A</v>
      </c>
      <c r="C212" s="3"/>
      <c r="D212" s="3" t="s">
        <v>33</v>
      </c>
      <c r="E212" s="4"/>
      <c r="F212" s="5"/>
      <c r="G212" s="6"/>
      <c r="H212" s="6"/>
      <c r="I212" s="7"/>
    </row>
    <row r="213" spans="1:9" x14ac:dyDescent="0.3">
      <c r="A213" s="15" t="str">
        <f t="shared" si="3"/>
        <v>B</v>
      </c>
      <c r="C213" s="3"/>
      <c r="D213" s="3" t="s">
        <v>34</v>
      </c>
      <c r="E213" s="4"/>
      <c r="F213" s="5"/>
      <c r="G213" s="6"/>
      <c r="H213" s="6"/>
      <c r="I213" s="7"/>
    </row>
    <row r="214" spans="1:9" x14ac:dyDescent="0.3">
      <c r="A214" s="15" t="str">
        <f t="shared" si="3"/>
        <v>C</v>
      </c>
      <c r="C214" s="3"/>
      <c r="D214" s="3" t="s">
        <v>35</v>
      </c>
      <c r="E214" s="4"/>
      <c r="F214" s="5"/>
      <c r="G214" s="6"/>
      <c r="H214" s="6"/>
      <c r="I214" s="7"/>
    </row>
    <row r="215" spans="1:9" x14ac:dyDescent="0.3">
      <c r="A215" s="15" t="str">
        <f t="shared" si="3"/>
        <v>D</v>
      </c>
      <c r="C215" s="3"/>
      <c r="D215" s="3" t="s">
        <v>36</v>
      </c>
      <c r="E215" s="4"/>
      <c r="F215" s="5"/>
      <c r="G215" s="6"/>
      <c r="H215" s="6"/>
      <c r="I215" s="7"/>
    </row>
    <row r="216" spans="1:9" x14ac:dyDescent="0.3">
      <c r="A216" s="15" t="str">
        <f t="shared" si="3"/>
        <v>A</v>
      </c>
      <c r="C216" s="8"/>
      <c r="D216" s="8" t="s">
        <v>33</v>
      </c>
      <c r="E216" s="9"/>
      <c r="F216" s="10"/>
      <c r="G216" s="11"/>
      <c r="H216" s="11"/>
      <c r="I216" s="12"/>
    </row>
    <row r="217" spans="1:9" x14ac:dyDescent="0.3">
      <c r="A217" s="15" t="str">
        <f t="shared" si="3"/>
        <v>B</v>
      </c>
      <c r="C217" s="8"/>
      <c r="D217" s="8" t="s">
        <v>34</v>
      </c>
      <c r="E217" s="9"/>
      <c r="F217" s="10"/>
      <c r="G217" s="11"/>
      <c r="H217" s="11"/>
      <c r="I217" s="12"/>
    </row>
    <row r="218" spans="1:9" x14ac:dyDescent="0.3">
      <c r="A218" s="15" t="str">
        <f t="shared" si="3"/>
        <v>C</v>
      </c>
      <c r="C218" s="8"/>
      <c r="D218" s="8" t="s">
        <v>35</v>
      </c>
      <c r="E218" s="9"/>
      <c r="F218" s="10"/>
      <c r="G218" s="11"/>
      <c r="H218" s="11"/>
      <c r="I218" s="12"/>
    </row>
    <row r="219" spans="1:9" x14ac:dyDescent="0.3">
      <c r="A219" s="15" t="str">
        <f t="shared" si="3"/>
        <v>D</v>
      </c>
      <c r="C219" s="8"/>
      <c r="D219" s="8" t="s">
        <v>36</v>
      </c>
      <c r="E219" s="9"/>
      <c r="F219" s="10"/>
      <c r="G219" s="11"/>
      <c r="H219" s="11"/>
      <c r="I219" s="12"/>
    </row>
    <row r="220" spans="1:9" x14ac:dyDescent="0.3">
      <c r="A220" s="15" t="str">
        <f t="shared" si="3"/>
        <v>A</v>
      </c>
      <c r="C220" s="3"/>
      <c r="D220" s="3" t="s">
        <v>33</v>
      </c>
      <c r="E220" s="4"/>
      <c r="F220" s="5"/>
      <c r="G220" s="6"/>
      <c r="H220" s="6"/>
      <c r="I220" s="7"/>
    </row>
    <row r="221" spans="1:9" x14ac:dyDescent="0.3">
      <c r="A221" s="15" t="str">
        <f t="shared" si="3"/>
        <v>B</v>
      </c>
      <c r="C221" s="3"/>
      <c r="D221" s="3" t="s">
        <v>34</v>
      </c>
      <c r="E221" s="4"/>
      <c r="F221" s="5"/>
      <c r="G221" s="6"/>
      <c r="H221" s="6"/>
      <c r="I221" s="7"/>
    </row>
    <row r="222" spans="1:9" x14ac:dyDescent="0.3">
      <c r="A222" s="15" t="str">
        <f t="shared" si="3"/>
        <v>C</v>
      </c>
      <c r="C222" s="3"/>
      <c r="D222" s="3" t="s">
        <v>35</v>
      </c>
      <c r="E222" s="4"/>
      <c r="F222" s="5"/>
      <c r="G222" s="6"/>
      <c r="H222" s="6"/>
      <c r="I222" s="7"/>
    </row>
    <row r="223" spans="1:9" x14ac:dyDescent="0.3">
      <c r="A223" s="15" t="str">
        <f t="shared" si="3"/>
        <v>D</v>
      </c>
      <c r="C223" s="3"/>
      <c r="D223" s="3" t="s">
        <v>36</v>
      </c>
      <c r="E223" s="4"/>
      <c r="F223" s="5"/>
      <c r="G223" s="6"/>
      <c r="H223" s="6"/>
      <c r="I223" s="7"/>
    </row>
    <row r="224" spans="1:9" x14ac:dyDescent="0.3">
      <c r="A224" s="15" t="str">
        <f t="shared" si="3"/>
        <v>A</v>
      </c>
      <c r="C224" s="8"/>
      <c r="D224" s="8" t="s">
        <v>33</v>
      </c>
      <c r="E224" s="9"/>
      <c r="F224" s="10"/>
      <c r="G224" s="11"/>
      <c r="H224" s="11"/>
      <c r="I224" s="12"/>
    </row>
    <row r="225" spans="1:9" x14ac:dyDescent="0.3">
      <c r="A225" s="15" t="str">
        <f t="shared" si="3"/>
        <v>B</v>
      </c>
      <c r="C225" s="8"/>
      <c r="D225" s="8" t="s">
        <v>34</v>
      </c>
      <c r="E225" s="9"/>
      <c r="F225" s="10"/>
      <c r="G225" s="11"/>
      <c r="H225" s="11"/>
      <c r="I225" s="12"/>
    </row>
    <row r="226" spans="1:9" x14ac:dyDescent="0.3">
      <c r="A226" s="15" t="str">
        <f t="shared" si="3"/>
        <v>C</v>
      </c>
      <c r="C226" s="8"/>
      <c r="D226" s="8" t="s">
        <v>35</v>
      </c>
      <c r="E226" s="9"/>
      <c r="F226" s="10"/>
      <c r="G226" s="11"/>
      <c r="H226" s="11"/>
      <c r="I226" s="12"/>
    </row>
    <row r="227" spans="1:9" x14ac:dyDescent="0.3">
      <c r="A227" s="15" t="str">
        <f t="shared" si="3"/>
        <v>D</v>
      </c>
      <c r="C227" s="8"/>
      <c r="D227" s="8" t="s">
        <v>36</v>
      </c>
      <c r="E227" s="9"/>
      <c r="F227" s="10"/>
      <c r="G227" s="11"/>
      <c r="H227" s="11"/>
      <c r="I227" s="12"/>
    </row>
    <row r="228" spans="1:9" x14ac:dyDescent="0.3">
      <c r="A228" s="15" t="str">
        <f t="shared" si="3"/>
        <v>A</v>
      </c>
      <c r="C228" s="3"/>
      <c r="D228" s="3" t="s">
        <v>33</v>
      </c>
      <c r="E228" s="4"/>
      <c r="F228" s="5"/>
      <c r="G228" s="6"/>
      <c r="H228" s="6"/>
      <c r="I228" s="7"/>
    </row>
    <row r="229" spans="1:9" x14ac:dyDescent="0.3">
      <c r="A229" s="15" t="str">
        <f t="shared" si="3"/>
        <v>B</v>
      </c>
      <c r="C229" s="3"/>
      <c r="D229" s="3" t="s">
        <v>34</v>
      </c>
      <c r="E229" s="4"/>
      <c r="F229" s="5"/>
      <c r="G229" s="6"/>
      <c r="H229" s="6"/>
      <c r="I229" s="7"/>
    </row>
    <row r="230" spans="1:9" x14ac:dyDescent="0.3">
      <c r="A230" s="15" t="str">
        <f t="shared" si="3"/>
        <v>C</v>
      </c>
      <c r="C230" s="3"/>
      <c r="D230" s="3" t="s">
        <v>35</v>
      </c>
      <c r="E230" s="4"/>
      <c r="F230" s="5"/>
      <c r="G230" s="6"/>
      <c r="H230" s="6"/>
      <c r="I230" s="7"/>
    </row>
    <row r="231" spans="1:9" x14ac:dyDescent="0.3">
      <c r="A231" s="15" t="str">
        <f t="shared" si="3"/>
        <v>D</v>
      </c>
      <c r="C231" s="3"/>
      <c r="D231" s="3" t="s">
        <v>36</v>
      </c>
      <c r="E231" s="4"/>
      <c r="F231" s="5"/>
      <c r="G231" s="6"/>
      <c r="H231" s="6"/>
      <c r="I231" s="7"/>
    </row>
    <row r="232" spans="1:9" x14ac:dyDescent="0.3">
      <c r="A232" s="15" t="str">
        <f t="shared" si="3"/>
        <v>A</v>
      </c>
      <c r="C232" s="8"/>
      <c r="D232" s="8" t="s">
        <v>33</v>
      </c>
      <c r="E232" s="9"/>
      <c r="F232" s="10"/>
      <c r="G232" s="11"/>
      <c r="H232" s="11"/>
      <c r="I232" s="12"/>
    </row>
    <row r="233" spans="1:9" x14ac:dyDescent="0.3">
      <c r="A233" s="15" t="str">
        <f t="shared" si="3"/>
        <v>B</v>
      </c>
      <c r="C233" s="8"/>
      <c r="D233" s="8" t="s">
        <v>34</v>
      </c>
      <c r="E233" s="9"/>
      <c r="F233" s="10"/>
      <c r="G233" s="11"/>
      <c r="H233" s="11"/>
      <c r="I233" s="12"/>
    </row>
    <row r="234" spans="1:9" x14ac:dyDescent="0.3">
      <c r="A234" s="15" t="str">
        <f t="shared" si="3"/>
        <v>C</v>
      </c>
      <c r="C234" s="8"/>
      <c r="D234" s="8" t="s">
        <v>35</v>
      </c>
      <c r="E234" s="9"/>
      <c r="F234" s="10"/>
      <c r="G234" s="11"/>
      <c r="H234" s="11"/>
      <c r="I234" s="12"/>
    </row>
    <row r="235" spans="1:9" x14ac:dyDescent="0.3">
      <c r="A235" s="15" t="str">
        <f t="shared" si="3"/>
        <v>D</v>
      </c>
      <c r="C235" s="8"/>
      <c r="D235" s="8" t="s">
        <v>36</v>
      </c>
      <c r="E235" s="9"/>
      <c r="F235" s="10"/>
      <c r="G235" s="11"/>
      <c r="H235" s="11"/>
      <c r="I235" s="12"/>
    </row>
    <row r="236" spans="1:9" x14ac:dyDescent="0.3">
      <c r="A236" s="15" t="str">
        <f t="shared" si="3"/>
        <v>A</v>
      </c>
      <c r="C236" s="3"/>
      <c r="D236" s="3" t="s">
        <v>33</v>
      </c>
      <c r="E236" s="4"/>
      <c r="F236" s="5"/>
      <c r="G236" s="6"/>
      <c r="H236" s="6"/>
      <c r="I236" s="7"/>
    </row>
    <row r="237" spans="1:9" x14ac:dyDescent="0.3">
      <c r="A237" s="15" t="str">
        <f t="shared" si="3"/>
        <v>B</v>
      </c>
      <c r="C237" s="3"/>
      <c r="D237" s="3" t="s">
        <v>34</v>
      </c>
      <c r="E237" s="4"/>
      <c r="F237" s="5"/>
      <c r="G237" s="6"/>
      <c r="H237" s="6"/>
      <c r="I237" s="7"/>
    </row>
    <row r="238" spans="1:9" x14ac:dyDescent="0.3">
      <c r="A238" s="15" t="str">
        <f t="shared" si="3"/>
        <v>C</v>
      </c>
      <c r="C238" s="3"/>
      <c r="D238" s="3" t="s">
        <v>35</v>
      </c>
      <c r="E238" s="4"/>
      <c r="F238" s="5"/>
      <c r="G238" s="6"/>
      <c r="H238" s="6"/>
      <c r="I238" s="7"/>
    </row>
    <row r="239" spans="1:9" x14ac:dyDescent="0.3">
      <c r="A239" s="15" t="str">
        <f t="shared" si="3"/>
        <v>D</v>
      </c>
      <c r="C239" s="3"/>
      <c r="D239" s="3" t="s">
        <v>36</v>
      </c>
      <c r="E239" s="4"/>
      <c r="F239" s="5"/>
      <c r="G239" s="6"/>
      <c r="H239" s="6"/>
      <c r="I239" s="7"/>
    </row>
    <row r="240" spans="1:9" x14ac:dyDescent="0.3">
      <c r="A240" s="15" t="str">
        <f t="shared" si="3"/>
        <v>A</v>
      </c>
      <c r="C240" s="8"/>
      <c r="D240" s="8" t="s">
        <v>33</v>
      </c>
      <c r="E240" s="9"/>
      <c r="F240" s="10"/>
      <c r="G240" s="11"/>
      <c r="H240" s="11"/>
      <c r="I240" s="12"/>
    </row>
    <row r="241" spans="1:9" x14ac:dyDescent="0.3">
      <c r="A241" s="15" t="str">
        <f t="shared" si="3"/>
        <v>B</v>
      </c>
      <c r="C241" s="8"/>
      <c r="D241" s="8" t="s">
        <v>34</v>
      </c>
      <c r="E241" s="9"/>
      <c r="F241" s="10"/>
      <c r="G241" s="11"/>
      <c r="H241" s="11"/>
      <c r="I241" s="12"/>
    </row>
    <row r="242" spans="1:9" x14ac:dyDescent="0.3">
      <c r="A242" s="15" t="str">
        <f t="shared" si="3"/>
        <v>C</v>
      </c>
      <c r="C242" s="8"/>
      <c r="D242" s="8" t="s">
        <v>35</v>
      </c>
      <c r="E242" s="9"/>
      <c r="F242" s="10"/>
      <c r="G242" s="11"/>
      <c r="H242" s="11"/>
      <c r="I242" s="12"/>
    </row>
    <row r="243" spans="1:9" x14ac:dyDescent="0.3">
      <c r="A243" s="15" t="str">
        <f t="shared" si="3"/>
        <v>D</v>
      </c>
      <c r="C243" s="8"/>
      <c r="D243" s="8" t="s">
        <v>36</v>
      </c>
      <c r="E243" s="9"/>
      <c r="F243" s="10"/>
      <c r="G243" s="11"/>
      <c r="H243" s="11"/>
      <c r="I243" s="12"/>
    </row>
    <row r="244" spans="1:9" x14ac:dyDescent="0.3">
      <c r="A244" s="15" t="str">
        <f t="shared" si="3"/>
        <v>A</v>
      </c>
      <c r="C244" s="3"/>
      <c r="D244" s="3" t="s">
        <v>33</v>
      </c>
      <c r="E244" s="4"/>
      <c r="F244" s="5"/>
      <c r="G244" s="6"/>
      <c r="H244" s="6"/>
      <c r="I244" s="7"/>
    </row>
    <row r="245" spans="1:9" x14ac:dyDescent="0.3">
      <c r="A245" s="15" t="str">
        <f t="shared" si="3"/>
        <v>B</v>
      </c>
      <c r="C245" s="3"/>
      <c r="D245" s="3" t="s">
        <v>34</v>
      </c>
      <c r="E245" s="4"/>
      <c r="F245" s="5"/>
      <c r="G245" s="6"/>
      <c r="H245" s="6"/>
      <c r="I245" s="7"/>
    </row>
    <row r="246" spans="1:9" x14ac:dyDescent="0.3">
      <c r="A246" s="15" t="str">
        <f t="shared" si="3"/>
        <v>C</v>
      </c>
      <c r="C246" s="3"/>
      <c r="D246" s="3" t="s">
        <v>35</v>
      </c>
      <c r="E246" s="4"/>
      <c r="F246" s="5"/>
      <c r="G246" s="6"/>
      <c r="H246" s="6"/>
      <c r="I246" s="7"/>
    </row>
    <row r="247" spans="1:9" x14ac:dyDescent="0.3">
      <c r="A247" s="15" t="str">
        <f t="shared" si="3"/>
        <v>D</v>
      </c>
      <c r="C247" s="3"/>
      <c r="D247" s="3" t="s">
        <v>36</v>
      </c>
      <c r="E247" s="4"/>
      <c r="F247" s="5"/>
      <c r="G247" s="6"/>
      <c r="H247" s="6"/>
      <c r="I247" s="7"/>
    </row>
    <row r="248" spans="1:9" x14ac:dyDescent="0.3">
      <c r="A248" s="15" t="str">
        <f t="shared" si="3"/>
        <v>A</v>
      </c>
      <c r="C248" s="8"/>
      <c r="D248" s="8" t="s">
        <v>33</v>
      </c>
      <c r="E248" s="9"/>
      <c r="F248" s="10"/>
      <c r="G248" s="11"/>
      <c r="H248" s="11"/>
      <c r="I248" s="12"/>
    </row>
    <row r="249" spans="1:9" x14ac:dyDescent="0.3">
      <c r="A249" s="15" t="str">
        <f t="shared" si="3"/>
        <v>B</v>
      </c>
      <c r="C249" s="8"/>
      <c r="D249" s="8" t="s">
        <v>34</v>
      </c>
      <c r="E249" s="9"/>
      <c r="F249" s="10"/>
      <c r="G249" s="11"/>
      <c r="H249" s="11"/>
      <c r="I249" s="12"/>
    </row>
    <row r="250" spans="1:9" x14ac:dyDescent="0.3">
      <c r="A250" s="15" t="str">
        <f t="shared" si="3"/>
        <v>C</v>
      </c>
      <c r="C250" s="8"/>
      <c r="D250" s="8" t="s">
        <v>35</v>
      </c>
      <c r="E250" s="9"/>
      <c r="F250" s="10"/>
      <c r="G250" s="11"/>
      <c r="H250" s="11"/>
      <c r="I250" s="12"/>
    </row>
    <row r="251" spans="1:9" x14ac:dyDescent="0.3">
      <c r="A251" s="15" t="str">
        <f t="shared" si="3"/>
        <v>D</v>
      </c>
      <c r="C251" s="8"/>
      <c r="D251" s="8" t="s">
        <v>36</v>
      </c>
      <c r="E251" s="9"/>
      <c r="F251" s="10"/>
      <c r="G251" s="11"/>
      <c r="H251" s="11"/>
      <c r="I251" s="12"/>
    </row>
    <row r="252" spans="1:9" x14ac:dyDescent="0.3">
      <c r="A252" s="15" t="str">
        <f t="shared" si="3"/>
        <v>A</v>
      </c>
      <c r="C252" s="3"/>
      <c r="D252" s="3" t="s">
        <v>33</v>
      </c>
      <c r="E252" s="4"/>
      <c r="F252" s="5"/>
      <c r="G252" s="6"/>
      <c r="H252" s="6"/>
      <c r="I252" s="7"/>
    </row>
    <row r="253" spans="1:9" x14ac:dyDescent="0.3">
      <c r="A253" s="15" t="str">
        <f t="shared" si="3"/>
        <v>B</v>
      </c>
      <c r="C253" s="3"/>
      <c r="D253" s="3" t="s">
        <v>34</v>
      </c>
      <c r="E253" s="4"/>
      <c r="F253" s="5"/>
      <c r="G253" s="6"/>
      <c r="H253" s="6"/>
      <c r="I253" s="7"/>
    </row>
    <row r="254" spans="1:9" x14ac:dyDescent="0.3">
      <c r="A254" s="15" t="str">
        <f t="shared" si="3"/>
        <v>C</v>
      </c>
      <c r="C254" s="3"/>
      <c r="D254" s="3" t="s">
        <v>35</v>
      </c>
      <c r="E254" s="4"/>
      <c r="F254" s="5"/>
      <c r="G254" s="6"/>
      <c r="H254" s="6"/>
      <c r="I254" s="7"/>
    </row>
    <row r="255" spans="1:9" x14ac:dyDescent="0.3">
      <c r="A255" s="15" t="str">
        <f t="shared" si="3"/>
        <v>D</v>
      </c>
      <c r="C255" s="3"/>
      <c r="D255" s="3" t="s">
        <v>36</v>
      </c>
      <c r="E255" s="4"/>
      <c r="F255" s="5"/>
      <c r="G255" s="6"/>
      <c r="H255" s="6"/>
      <c r="I255" s="7"/>
    </row>
    <row r="256" spans="1:9" x14ac:dyDescent="0.3">
      <c r="A256" s="15" t="str">
        <f t="shared" si="3"/>
        <v>A</v>
      </c>
      <c r="C256" s="8"/>
      <c r="D256" s="8" t="s">
        <v>33</v>
      </c>
      <c r="E256" s="9"/>
      <c r="F256" s="10"/>
      <c r="G256" s="11"/>
      <c r="H256" s="11"/>
      <c r="I256" s="12"/>
    </row>
    <row r="257" spans="1:9" x14ac:dyDescent="0.3">
      <c r="A257" s="15" t="str">
        <f t="shared" si="3"/>
        <v>B</v>
      </c>
      <c r="C257" s="8"/>
      <c r="D257" s="8" t="s">
        <v>34</v>
      </c>
      <c r="E257" s="9"/>
      <c r="F257" s="10"/>
      <c r="G257" s="11"/>
      <c r="H257" s="11"/>
      <c r="I257" s="12"/>
    </row>
    <row r="258" spans="1:9" x14ac:dyDescent="0.3">
      <c r="A258" s="15" t="str">
        <f t="shared" si="3"/>
        <v>C</v>
      </c>
      <c r="C258" s="8"/>
      <c r="D258" s="8" t="s">
        <v>35</v>
      </c>
      <c r="E258" s="9"/>
      <c r="F258" s="10"/>
      <c r="G258" s="11"/>
      <c r="H258" s="11"/>
      <c r="I258" s="12"/>
    </row>
    <row r="259" spans="1:9" x14ac:dyDescent="0.3">
      <c r="A259" s="15" t="str">
        <f t="shared" si="3"/>
        <v>D</v>
      </c>
      <c r="C259" s="8"/>
      <c r="D259" s="8" t="s">
        <v>36</v>
      </c>
      <c r="E259" s="9"/>
      <c r="F259" s="10"/>
      <c r="G259" s="11"/>
      <c r="H259" s="11"/>
      <c r="I259" s="12"/>
    </row>
    <row r="260" spans="1:9" x14ac:dyDescent="0.3">
      <c r="A260" s="15" t="str">
        <f t="shared" si="3"/>
        <v>A</v>
      </c>
      <c r="C260" s="3"/>
      <c r="D260" s="3" t="s">
        <v>33</v>
      </c>
      <c r="E260" s="4"/>
      <c r="F260" s="5"/>
      <c r="G260" s="6"/>
      <c r="H260" s="6"/>
      <c r="I260" s="7"/>
    </row>
    <row r="261" spans="1:9" x14ac:dyDescent="0.3">
      <c r="A261" s="15" t="str">
        <f t="shared" ref="A261:A324" si="4">C261&amp;D261</f>
        <v>B</v>
      </c>
      <c r="C261" s="3"/>
      <c r="D261" s="3" t="s">
        <v>34</v>
      </c>
      <c r="E261" s="4"/>
      <c r="F261" s="5"/>
      <c r="G261" s="6"/>
      <c r="H261" s="6"/>
      <c r="I261" s="7"/>
    </row>
    <row r="262" spans="1:9" x14ac:dyDescent="0.3">
      <c r="A262" s="15" t="str">
        <f t="shared" si="4"/>
        <v>C</v>
      </c>
      <c r="C262" s="3"/>
      <c r="D262" s="3" t="s">
        <v>35</v>
      </c>
      <c r="E262" s="4"/>
      <c r="F262" s="5"/>
      <c r="G262" s="6"/>
      <c r="H262" s="6"/>
      <c r="I262" s="7"/>
    </row>
    <row r="263" spans="1:9" x14ac:dyDescent="0.3">
      <c r="A263" s="15" t="str">
        <f t="shared" si="4"/>
        <v>D</v>
      </c>
      <c r="C263" s="3"/>
      <c r="D263" s="3" t="s">
        <v>36</v>
      </c>
      <c r="E263" s="4"/>
      <c r="F263" s="5"/>
      <c r="G263" s="6"/>
      <c r="H263" s="6"/>
      <c r="I263" s="7"/>
    </row>
    <row r="264" spans="1:9" x14ac:dyDescent="0.3">
      <c r="A264" s="15" t="str">
        <f t="shared" si="4"/>
        <v>A</v>
      </c>
      <c r="C264" s="8"/>
      <c r="D264" s="8" t="s">
        <v>33</v>
      </c>
      <c r="E264" s="9"/>
      <c r="F264" s="10"/>
      <c r="G264" s="11"/>
      <c r="H264" s="11"/>
      <c r="I264" s="12"/>
    </row>
    <row r="265" spans="1:9" x14ac:dyDescent="0.3">
      <c r="A265" s="15" t="str">
        <f t="shared" si="4"/>
        <v>B</v>
      </c>
      <c r="C265" s="8"/>
      <c r="D265" s="8" t="s">
        <v>34</v>
      </c>
      <c r="E265" s="9"/>
      <c r="F265" s="10"/>
      <c r="G265" s="11"/>
      <c r="H265" s="11"/>
      <c r="I265" s="12"/>
    </row>
    <row r="266" spans="1:9" x14ac:dyDescent="0.3">
      <c r="A266" s="15" t="str">
        <f t="shared" si="4"/>
        <v>C</v>
      </c>
      <c r="C266" s="8"/>
      <c r="D266" s="8" t="s">
        <v>35</v>
      </c>
      <c r="E266" s="9"/>
      <c r="F266" s="10"/>
      <c r="G266" s="11"/>
      <c r="H266" s="11"/>
      <c r="I266" s="12"/>
    </row>
    <row r="267" spans="1:9" x14ac:dyDescent="0.3">
      <c r="A267" s="15" t="str">
        <f t="shared" si="4"/>
        <v>D</v>
      </c>
      <c r="C267" s="8"/>
      <c r="D267" s="8" t="s">
        <v>36</v>
      </c>
      <c r="E267" s="9"/>
      <c r="F267" s="10"/>
      <c r="G267" s="11"/>
      <c r="H267" s="11"/>
      <c r="I267" s="12"/>
    </row>
    <row r="268" spans="1:9" x14ac:dyDescent="0.3">
      <c r="A268" s="15" t="str">
        <f t="shared" si="4"/>
        <v>A</v>
      </c>
      <c r="C268" s="3"/>
      <c r="D268" s="3" t="s">
        <v>33</v>
      </c>
      <c r="E268" s="4"/>
      <c r="F268" s="5"/>
      <c r="G268" s="6"/>
      <c r="H268" s="6"/>
      <c r="I268" s="7"/>
    </row>
    <row r="269" spans="1:9" x14ac:dyDescent="0.3">
      <c r="A269" s="15" t="str">
        <f t="shared" si="4"/>
        <v>B</v>
      </c>
      <c r="C269" s="3"/>
      <c r="D269" s="3" t="s">
        <v>34</v>
      </c>
      <c r="E269" s="4"/>
      <c r="F269" s="5"/>
      <c r="G269" s="6"/>
      <c r="H269" s="6"/>
      <c r="I269" s="7"/>
    </row>
    <row r="270" spans="1:9" x14ac:dyDescent="0.3">
      <c r="A270" s="15" t="str">
        <f t="shared" si="4"/>
        <v>C</v>
      </c>
      <c r="C270" s="3"/>
      <c r="D270" s="3" t="s">
        <v>35</v>
      </c>
      <c r="E270" s="4"/>
      <c r="F270" s="5"/>
      <c r="G270" s="6"/>
      <c r="H270" s="6"/>
      <c r="I270" s="7"/>
    </row>
    <row r="271" spans="1:9" x14ac:dyDescent="0.3">
      <c r="A271" s="15" t="str">
        <f t="shared" si="4"/>
        <v>D</v>
      </c>
      <c r="C271" s="3"/>
      <c r="D271" s="3" t="s">
        <v>36</v>
      </c>
      <c r="E271" s="4"/>
      <c r="F271" s="5"/>
      <c r="G271" s="6"/>
      <c r="H271" s="6"/>
      <c r="I271" s="7"/>
    </row>
    <row r="272" spans="1:9" x14ac:dyDescent="0.3">
      <c r="A272" s="15" t="str">
        <f t="shared" si="4"/>
        <v>A</v>
      </c>
      <c r="C272" s="8"/>
      <c r="D272" s="8" t="s">
        <v>33</v>
      </c>
      <c r="E272" s="9"/>
      <c r="F272" s="10"/>
      <c r="G272" s="11"/>
      <c r="H272" s="11"/>
      <c r="I272" s="12"/>
    </row>
    <row r="273" spans="1:9" x14ac:dyDescent="0.3">
      <c r="A273" s="15" t="str">
        <f t="shared" si="4"/>
        <v>B</v>
      </c>
      <c r="C273" s="8"/>
      <c r="D273" s="8" t="s">
        <v>34</v>
      </c>
      <c r="E273" s="9"/>
      <c r="F273" s="10"/>
      <c r="G273" s="11"/>
      <c r="H273" s="11"/>
      <c r="I273" s="12"/>
    </row>
    <row r="274" spans="1:9" x14ac:dyDescent="0.3">
      <c r="A274" s="15" t="str">
        <f t="shared" si="4"/>
        <v>C</v>
      </c>
      <c r="C274" s="8"/>
      <c r="D274" s="8" t="s">
        <v>35</v>
      </c>
      <c r="E274" s="9"/>
      <c r="F274" s="10"/>
      <c r="G274" s="11"/>
      <c r="H274" s="11"/>
      <c r="I274" s="12"/>
    </row>
    <row r="275" spans="1:9" x14ac:dyDescent="0.3">
      <c r="A275" s="15" t="str">
        <f t="shared" si="4"/>
        <v>D</v>
      </c>
      <c r="C275" s="8"/>
      <c r="D275" s="8" t="s">
        <v>36</v>
      </c>
      <c r="E275" s="9"/>
      <c r="F275" s="10"/>
      <c r="G275" s="11"/>
      <c r="H275" s="11"/>
      <c r="I275" s="12"/>
    </row>
    <row r="276" spans="1:9" x14ac:dyDescent="0.3">
      <c r="A276" s="15" t="str">
        <f t="shared" si="4"/>
        <v>A</v>
      </c>
      <c r="C276" s="3"/>
      <c r="D276" s="3" t="s">
        <v>33</v>
      </c>
      <c r="E276" s="4"/>
      <c r="F276" s="5"/>
      <c r="G276" s="6"/>
      <c r="H276" s="6"/>
      <c r="I276" s="7"/>
    </row>
    <row r="277" spans="1:9" x14ac:dyDescent="0.3">
      <c r="A277" s="15" t="str">
        <f t="shared" si="4"/>
        <v>B</v>
      </c>
      <c r="C277" s="3"/>
      <c r="D277" s="3" t="s">
        <v>34</v>
      </c>
      <c r="E277" s="4"/>
      <c r="F277" s="5"/>
      <c r="G277" s="6"/>
      <c r="H277" s="6"/>
      <c r="I277" s="7"/>
    </row>
    <row r="278" spans="1:9" x14ac:dyDescent="0.3">
      <c r="A278" s="15" t="str">
        <f t="shared" si="4"/>
        <v>C</v>
      </c>
      <c r="C278" s="3"/>
      <c r="D278" s="3" t="s">
        <v>35</v>
      </c>
      <c r="E278" s="4"/>
      <c r="F278" s="5"/>
      <c r="G278" s="6"/>
      <c r="H278" s="6"/>
      <c r="I278" s="7"/>
    </row>
    <row r="279" spans="1:9" x14ac:dyDescent="0.3">
      <c r="A279" s="15" t="str">
        <f t="shared" si="4"/>
        <v>D</v>
      </c>
      <c r="C279" s="3"/>
      <c r="D279" s="3" t="s">
        <v>36</v>
      </c>
      <c r="E279" s="4"/>
      <c r="F279" s="5"/>
      <c r="G279" s="6"/>
      <c r="H279" s="6"/>
      <c r="I279" s="7"/>
    </row>
    <row r="280" spans="1:9" x14ac:dyDescent="0.3">
      <c r="A280" s="15" t="str">
        <f t="shared" si="4"/>
        <v>A</v>
      </c>
      <c r="C280" s="8"/>
      <c r="D280" s="8" t="s">
        <v>33</v>
      </c>
      <c r="E280" s="9"/>
      <c r="F280" s="10"/>
      <c r="G280" s="11"/>
      <c r="H280" s="11"/>
      <c r="I280" s="12"/>
    </row>
    <row r="281" spans="1:9" x14ac:dyDescent="0.3">
      <c r="A281" s="15" t="str">
        <f t="shared" si="4"/>
        <v>B</v>
      </c>
      <c r="C281" s="8"/>
      <c r="D281" s="8" t="s">
        <v>34</v>
      </c>
      <c r="E281" s="9"/>
      <c r="F281" s="10"/>
      <c r="G281" s="11"/>
      <c r="H281" s="11"/>
      <c r="I281" s="12"/>
    </row>
    <row r="282" spans="1:9" x14ac:dyDescent="0.3">
      <c r="A282" s="15" t="str">
        <f t="shared" si="4"/>
        <v>C</v>
      </c>
      <c r="C282" s="8"/>
      <c r="D282" s="8" t="s">
        <v>35</v>
      </c>
      <c r="E282" s="9"/>
      <c r="F282" s="10"/>
      <c r="G282" s="11"/>
      <c r="H282" s="11"/>
      <c r="I282" s="12"/>
    </row>
    <row r="283" spans="1:9" x14ac:dyDescent="0.3">
      <c r="A283" s="15" t="str">
        <f t="shared" si="4"/>
        <v>D</v>
      </c>
      <c r="C283" s="8"/>
      <c r="D283" s="8" t="s">
        <v>36</v>
      </c>
      <c r="E283" s="9"/>
      <c r="F283" s="10"/>
      <c r="G283" s="11"/>
      <c r="H283" s="11"/>
      <c r="I283" s="12"/>
    </row>
    <row r="284" spans="1:9" x14ac:dyDescent="0.3">
      <c r="A284" s="15" t="str">
        <f t="shared" si="4"/>
        <v>A</v>
      </c>
      <c r="C284" s="3"/>
      <c r="D284" s="3" t="s">
        <v>33</v>
      </c>
      <c r="E284" s="4"/>
      <c r="F284" s="5"/>
      <c r="G284" s="6"/>
      <c r="H284" s="6"/>
      <c r="I284" s="7"/>
    </row>
    <row r="285" spans="1:9" x14ac:dyDescent="0.3">
      <c r="A285" s="15" t="str">
        <f t="shared" si="4"/>
        <v>B</v>
      </c>
      <c r="C285" s="3"/>
      <c r="D285" s="3" t="s">
        <v>34</v>
      </c>
      <c r="E285" s="4"/>
      <c r="F285" s="5"/>
      <c r="G285" s="6"/>
      <c r="H285" s="6"/>
      <c r="I285" s="7"/>
    </row>
    <row r="286" spans="1:9" x14ac:dyDescent="0.3">
      <c r="A286" s="15" t="str">
        <f t="shared" si="4"/>
        <v>C</v>
      </c>
      <c r="C286" s="3"/>
      <c r="D286" s="3" t="s">
        <v>35</v>
      </c>
      <c r="E286" s="4"/>
      <c r="F286" s="5"/>
      <c r="G286" s="6"/>
      <c r="H286" s="6"/>
      <c r="I286" s="7"/>
    </row>
    <row r="287" spans="1:9" x14ac:dyDescent="0.3">
      <c r="A287" s="15" t="str">
        <f t="shared" si="4"/>
        <v>D</v>
      </c>
      <c r="C287" s="3"/>
      <c r="D287" s="3" t="s">
        <v>36</v>
      </c>
      <c r="E287" s="4"/>
      <c r="F287" s="5"/>
      <c r="G287" s="6"/>
      <c r="H287" s="6"/>
      <c r="I287" s="7"/>
    </row>
    <row r="288" spans="1:9" x14ac:dyDescent="0.3">
      <c r="A288" s="15" t="str">
        <f t="shared" si="4"/>
        <v>A</v>
      </c>
      <c r="C288" s="8"/>
      <c r="D288" s="8" t="s">
        <v>33</v>
      </c>
      <c r="E288" s="9"/>
      <c r="F288" s="10"/>
      <c r="G288" s="11"/>
      <c r="H288" s="11"/>
      <c r="I288" s="12"/>
    </row>
    <row r="289" spans="1:9" x14ac:dyDescent="0.3">
      <c r="A289" s="15" t="str">
        <f t="shared" si="4"/>
        <v>B</v>
      </c>
      <c r="C289" s="8"/>
      <c r="D289" s="8" t="s">
        <v>34</v>
      </c>
      <c r="E289" s="9"/>
      <c r="F289" s="10"/>
      <c r="G289" s="11"/>
      <c r="H289" s="11"/>
      <c r="I289" s="12"/>
    </row>
    <row r="290" spans="1:9" x14ac:dyDescent="0.3">
      <c r="A290" s="15" t="str">
        <f t="shared" si="4"/>
        <v>C</v>
      </c>
      <c r="C290" s="8"/>
      <c r="D290" s="8" t="s">
        <v>35</v>
      </c>
      <c r="E290" s="9"/>
      <c r="F290" s="10"/>
      <c r="G290" s="11"/>
      <c r="H290" s="11"/>
      <c r="I290" s="12"/>
    </row>
    <row r="291" spans="1:9" x14ac:dyDescent="0.3">
      <c r="A291" s="15" t="str">
        <f t="shared" si="4"/>
        <v>D</v>
      </c>
      <c r="C291" s="8"/>
      <c r="D291" s="8" t="s">
        <v>36</v>
      </c>
      <c r="E291" s="9"/>
      <c r="F291" s="10"/>
      <c r="G291" s="11"/>
      <c r="H291" s="11"/>
      <c r="I291" s="12"/>
    </row>
    <row r="292" spans="1:9" x14ac:dyDescent="0.3">
      <c r="A292" s="15" t="str">
        <f t="shared" si="4"/>
        <v>A</v>
      </c>
      <c r="C292" s="3"/>
      <c r="D292" s="3" t="s">
        <v>33</v>
      </c>
      <c r="E292" s="4"/>
      <c r="F292" s="5"/>
      <c r="G292" s="6"/>
      <c r="H292" s="6"/>
      <c r="I292" s="7"/>
    </row>
    <row r="293" spans="1:9" x14ac:dyDescent="0.3">
      <c r="A293" s="15" t="str">
        <f t="shared" si="4"/>
        <v>B</v>
      </c>
      <c r="C293" s="3"/>
      <c r="D293" s="3" t="s">
        <v>34</v>
      </c>
      <c r="E293" s="4"/>
      <c r="F293" s="5"/>
      <c r="G293" s="6"/>
      <c r="H293" s="6"/>
      <c r="I293" s="7"/>
    </row>
    <row r="294" spans="1:9" x14ac:dyDescent="0.3">
      <c r="A294" s="15" t="str">
        <f t="shared" si="4"/>
        <v>C</v>
      </c>
      <c r="C294" s="3"/>
      <c r="D294" s="3" t="s">
        <v>35</v>
      </c>
      <c r="E294" s="4"/>
      <c r="F294" s="5"/>
      <c r="G294" s="6"/>
      <c r="H294" s="6"/>
      <c r="I294" s="7"/>
    </row>
    <row r="295" spans="1:9" x14ac:dyDescent="0.3">
      <c r="A295" s="15" t="str">
        <f t="shared" si="4"/>
        <v>D</v>
      </c>
      <c r="C295" s="3"/>
      <c r="D295" s="3" t="s">
        <v>36</v>
      </c>
      <c r="E295" s="4"/>
      <c r="F295" s="5"/>
      <c r="G295" s="6"/>
      <c r="H295" s="6"/>
      <c r="I295" s="7"/>
    </row>
    <row r="296" spans="1:9" x14ac:dyDescent="0.3">
      <c r="A296" s="15" t="str">
        <f t="shared" si="4"/>
        <v>A</v>
      </c>
      <c r="C296" s="8"/>
      <c r="D296" s="8" t="s">
        <v>33</v>
      </c>
      <c r="E296" s="9"/>
      <c r="F296" s="10"/>
      <c r="G296" s="11"/>
      <c r="H296" s="11"/>
      <c r="I296" s="12"/>
    </row>
    <row r="297" spans="1:9" x14ac:dyDescent="0.3">
      <c r="A297" s="15" t="str">
        <f t="shared" si="4"/>
        <v>B</v>
      </c>
      <c r="C297" s="8"/>
      <c r="D297" s="8" t="s">
        <v>34</v>
      </c>
      <c r="E297" s="9"/>
      <c r="F297" s="10"/>
      <c r="G297" s="11"/>
      <c r="H297" s="11"/>
      <c r="I297" s="12"/>
    </row>
    <row r="298" spans="1:9" x14ac:dyDescent="0.3">
      <c r="A298" s="15" t="str">
        <f t="shared" si="4"/>
        <v>C</v>
      </c>
      <c r="C298" s="8"/>
      <c r="D298" s="8" t="s">
        <v>35</v>
      </c>
      <c r="E298" s="9"/>
      <c r="F298" s="10"/>
      <c r="G298" s="11"/>
      <c r="H298" s="11"/>
      <c r="I298" s="12"/>
    </row>
    <row r="299" spans="1:9" x14ac:dyDescent="0.3">
      <c r="A299" s="15" t="str">
        <f t="shared" si="4"/>
        <v>D</v>
      </c>
      <c r="C299" s="8"/>
      <c r="D299" s="8" t="s">
        <v>36</v>
      </c>
      <c r="E299" s="9"/>
      <c r="F299" s="10"/>
      <c r="G299" s="11"/>
      <c r="H299" s="11"/>
      <c r="I299" s="12"/>
    </row>
    <row r="300" spans="1:9" x14ac:dyDescent="0.3">
      <c r="A300" s="15" t="str">
        <f t="shared" si="4"/>
        <v>A</v>
      </c>
      <c r="C300" s="3"/>
      <c r="D300" s="3" t="s">
        <v>33</v>
      </c>
      <c r="E300" s="4"/>
      <c r="F300" s="5"/>
      <c r="G300" s="6"/>
      <c r="H300" s="6"/>
      <c r="I300" s="7"/>
    </row>
    <row r="301" spans="1:9" x14ac:dyDescent="0.3">
      <c r="A301" s="15" t="str">
        <f t="shared" si="4"/>
        <v>B</v>
      </c>
      <c r="C301" s="3"/>
      <c r="D301" s="3" t="s">
        <v>34</v>
      </c>
      <c r="E301" s="4"/>
      <c r="F301" s="5"/>
      <c r="G301" s="6"/>
      <c r="H301" s="6"/>
      <c r="I301" s="7"/>
    </row>
    <row r="302" spans="1:9" x14ac:dyDescent="0.3">
      <c r="A302" s="15" t="str">
        <f t="shared" si="4"/>
        <v>C</v>
      </c>
      <c r="C302" s="3"/>
      <c r="D302" s="3" t="s">
        <v>35</v>
      </c>
      <c r="E302" s="4"/>
      <c r="F302" s="5"/>
      <c r="G302" s="6"/>
      <c r="H302" s="6"/>
      <c r="I302" s="7"/>
    </row>
    <row r="303" spans="1:9" x14ac:dyDescent="0.3">
      <c r="A303" s="15" t="str">
        <f t="shared" si="4"/>
        <v>D</v>
      </c>
      <c r="C303" s="3"/>
      <c r="D303" s="3" t="s">
        <v>36</v>
      </c>
      <c r="E303" s="4"/>
      <c r="F303" s="5"/>
      <c r="G303" s="6"/>
      <c r="H303" s="6"/>
      <c r="I303" s="7"/>
    </row>
    <row r="304" spans="1:9" x14ac:dyDescent="0.3">
      <c r="A304" s="15" t="str">
        <f t="shared" si="4"/>
        <v>A</v>
      </c>
      <c r="C304" s="8"/>
      <c r="D304" s="8" t="s">
        <v>33</v>
      </c>
      <c r="E304" s="9"/>
      <c r="F304" s="10"/>
      <c r="G304" s="11"/>
      <c r="H304" s="11"/>
      <c r="I304" s="12"/>
    </row>
    <row r="305" spans="1:9" x14ac:dyDescent="0.3">
      <c r="A305" s="15" t="str">
        <f t="shared" si="4"/>
        <v>B</v>
      </c>
      <c r="C305" s="8"/>
      <c r="D305" s="8" t="s">
        <v>34</v>
      </c>
      <c r="E305" s="9"/>
      <c r="F305" s="10"/>
      <c r="G305" s="11"/>
      <c r="H305" s="11"/>
      <c r="I305" s="12"/>
    </row>
    <row r="306" spans="1:9" x14ac:dyDescent="0.3">
      <c r="A306" s="15" t="str">
        <f t="shared" si="4"/>
        <v>C</v>
      </c>
      <c r="C306" s="8"/>
      <c r="D306" s="8" t="s">
        <v>35</v>
      </c>
      <c r="E306" s="9"/>
      <c r="F306" s="10"/>
      <c r="G306" s="11"/>
      <c r="H306" s="11"/>
      <c r="I306" s="12"/>
    </row>
    <row r="307" spans="1:9" x14ac:dyDescent="0.3">
      <c r="A307" s="15" t="str">
        <f t="shared" si="4"/>
        <v>D</v>
      </c>
      <c r="C307" s="8"/>
      <c r="D307" s="8" t="s">
        <v>36</v>
      </c>
      <c r="E307" s="9"/>
      <c r="F307" s="10"/>
      <c r="G307" s="11"/>
      <c r="H307" s="11"/>
      <c r="I307" s="12"/>
    </row>
    <row r="308" spans="1:9" x14ac:dyDescent="0.3">
      <c r="A308" s="15" t="str">
        <f t="shared" si="4"/>
        <v>A</v>
      </c>
      <c r="C308" s="3"/>
      <c r="D308" s="3" t="s">
        <v>33</v>
      </c>
      <c r="E308" s="4"/>
      <c r="F308" s="5"/>
      <c r="G308" s="6"/>
      <c r="H308" s="6"/>
      <c r="I308" s="7"/>
    </row>
    <row r="309" spans="1:9" x14ac:dyDescent="0.3">
      <c r="A309" s="15" t="str">
        <f t="shared" si="4"/>
        <v>B</v>
      </c>
      <c r="C309" s="3"/>
      <c r="D309" s="3" t="s">
        <v>34</v>
      </c>
      <c r="E309" s="4"/>
      <c r="F309" s="5"/>
      <c r="G309" s="6"/>
      <c r="H309" s="6"/>
      <c r="I309" s="7"/>
    </row>
    <row r="310" spans="1:9" x14ac:dyDescent="0.3">
      <c r="A310" s="15" t="str">
        <f t="shared" si="4"/>
        <v>C</v>
      </c>
      <c r="C310" s="3"/>
      <c r="D310" s="3" t="s">
        <v>35</v>
      </c>
      <c r="E310" s="4"/>
      <c r="F310" s="5"/>
      <c r="G310" s="6"/>
      <c r="H310" s="6"/>
      <c r="I310" s="7"/>
    </row>
    <row r="311" spans="1:9" x14ac:dyDescent="0.3">
      <c r="A311" s="15" t="str">
        <f t="shared" si="4"/>
        <v>D</v>
      </c>
      <c r="C311" s="3"/>
      <c r="D311" s="3" t="s">
        <v>36</v>
      </c>
      <c r="E311" s="4"/>
      <c r="F311" s="5"/>
      <c r="G311" s="6"/>
      <c r="H311" s="6"/>
      <c r="I311" s="7"/>
    </row>
    <row r="312" spans="1:9" x14ac:dyDescent="0.3">
      <c r="A312" s="15" t="str">
        <f t="shared" si="4"/>
        <v>A</v>
      </c>
      <c r="C312" s="8"/>
      <c r="D312" s="8" t="s">
        <v>33</v>
      </c>
      <c r="E312" s="9"/>
      <c r="F312" s="10"/>
      <c r="G312" s="11"/>
      <c r="H312" s="11"/>
      <c r="I312" s="12"/>
    </row>
    <row r="313" spans="1:9" x14ac:dyDescent="0.3">
      <c r="A313" s="15" t="str">
        <f t="shared" si="4"/>
        <v>B</v>
      </c>
      <c r="C313" s="8"/>
      <c r="D313" s="8" t="s">
        <v>34</v>
      </c>
      <c r="E313" s="9"/>
      <c r="F313" s="10"/>
      <c r="G313" s="11"/>
      <c r="H313" s="11"/>
      <c r="I313" s="12"/>
    </row>
    <row r="314" spans="1:9" x14ac:dyDescent="0.3">
      <c r="A314" s="15" t="str">
        <f t="shared" si="4"/>
        <v>C</v>
      </c>
      <c r="C314" s="8"/>
      <c r="D314" s="8" t="s">
        <v>35</v>
      </c>
      <c r="E314" s="9"/>
      <c r="F314" s="10"/>
      <c r="G314" s="11"/>
      <c r="H314" s="11"/>
      <c r="I314" s="12"/>
    </row>
    <row r="315" spans="1:9" x14ac:dyDescent="0.3">
      <c r="A315" s="15" t="str">
        <f t="shared" si="4"/>
        <v>D</v>
      </c>
      <c r="C315" s="8"/>
      <c r="D315" s="8" t="s">
        <v>36</v>
      </c>
      <c r="E315" s="9"/>
      <c r="F315" s="10"/>
      <c r="G315" s="11"/>
      <c r="H315" s="11"/>
      <c r="I315" s="12"/>
    </row>
    <row r="316" spans="1:9" x14ac:dyDescent="0.3">
      <c r="A316" s="15" t="str">
        <f t="shared" si="4"/>
        <v>A</v>
      </c>
      <c r="C316" s="3"/>
      <c r="D316" s="3" t="s">
        <v>33</v>
      </c>
      <c r="E316" s="4"/>
      <c r="F316" s="5"/>
      <c r="G316" s="6"/>
      <c r="H316" s="6"/>
      <c r="I316" s="7"/>
    </row>
    <row r="317" spans="1:9" x14ac:dyDescent="0.3">
      <c r="A317" s="15" t="str">
        <f t="shared" si="4"/>
        <v>B</v>
      </c>
      <c r="C317" s="3"/>
      <c r="D317" s="3" t="s">
        <v>34</v>
      </c>
      <c r="E317" s="4"/>
      <c r="F317" s="5"/>
      <c r="G317" s="6"/>
      <c r="H317" s="6"/>
      <c r="I317" s="7"/>
    </row>
    <row r="318" spans="1:9" x14ac:dyDescent="0.3">
      <c r="A318" s="15" t="str">
        <f t="shared" si="4"/>
        <v>C</v>
      </c>
      <c r="C318" s="3"/>
      <c r="D318" s="3" t="s">
        <v>35</v>
      </c>
      <c r="E318" s="4"/>
      <c r="F318" s="5"/>
      <c r="G318" s="6"/>
      <c r="H318" s="6"/>
      <c r="I318" s="7"/>
    </row>
    <row r="319" spans="1:9" x14ac:dyDescent="0.3">
      <c r="A319" s="15" t="str">
        <f t="shared" si="4"/>
        <v>D</v>
      </c>
      <c r="C319" s="3"/>
      <c r="D319" s="3" t="s">
        <v>36</v>
      </c>
      <c r="E319" s="4"/>
      <c r="F319" s="5"/>
      <c r="G319" s="6"/>
      <c r="H319" s="6"/>
      <c r="I319" s="7"/>
    </row>
    <row r="320" spans="1:9" x14ac:dyDescent="0.3">
      <c r="A320" s="15" t="str">
        <f t="shared" si="4"/>
        <v>A</v>
      </c>
      <c r="C320" s="8"/>
      <c r="D320" s="8" t="s">
        <v>33</v>
      </c>
      <c r="E320" s="9"/>
      <c r="F320" s="10"/>
      <c r="G320" s="11"/>
      <c r="H320" s="11"/>
      <c r="I320" s="12"/>
    </row>
    <row r="321" spans="1:9" x14ac:dyDescent="0.3">
      <c r="A321" s="15" t="str">
        <f t="shared" si="4"/>
        <v>B</v>
      </c>
      <c r="C321" s="8"/>
      <c r="D321" s="8" t="s">
        <v>34</v>
      </c>
      <c r="E321" s="9"/>
      <c r="F321" s="10"/>
      <c r="G321" s="11"/>
      <c r="H321" s="11"/>
      <c r="I321" s="12"/>
    </row>
    <row r="322" spans="1:9" x14ac:dyDescent="0.3">
      <c r="A322" s="15" t="str">
        <f t="shared" si="4"/>
        <v>C</v>
      </c>
      <c r="C322" s="8"/>
      <c r="D322" s="8" t="s">
        <v>35</v>
      </c>
      <c r="E322" s="9"/>
      <c r="F322" s="10"/>
      <c r="G322" s="11"/>
      <c r="H322" s="11"/>
      <c r="I322" s="12"/>
    </row>
    <row r="323" spans="1:9" x14ac:dyDescent="0.3">
      <c r="A323" s="15" t="str">
        <f t="shared" si="4"/>
        <v>D</v>
      </c>
      <c r="C323" s="8"/>
      <c r="D323" s="8" t="s">
        <v>36</v>
      </c>
      <c r="E323" s="9"/>
      <c r="F323" s="10"/>
      <c r="G323" s="11"/>
      <c r="H323" s="11"/>
      <c r="I323" s="12"/>
    </row>
    <row r="324" spans="1:9" x14ac:dyDescent="0.3">
      <c r="A324" s="15" t="str">
        <f t="shared" si="4"/>
        <v>A</v>
      </c>
      <c r="C324" s="3"/>
      <c r="D324" s="3" t="s">
        <v>33</v>
      </c>
      <c r="E324" s="4"/>
      <c r="F324" s="5"/>
      <c r="G324" s="6"/>
      <c r="H324" s="6"/>
      <c r="I324" s="7"/>
    </row>
    <row r="325" spans="1:9" x14ac:dyDescent="0.3">
      <c r="A325" s="15" t="str">
        <f t="shared" ref="A325:A388" si="5">C325&amp;D325</f>
        <v>B</v>
      </c>
      <c r="C325" s="3"/>
      <c r="D325" s="3" t="s">
        <v>34</v>
      </c>
      <c r="E325" s="4"/>
      <c r="F325" s="5"/>
      <c r="G325" s="6"/>
      <c r="H325" s="6"/>
      <c r="I325" s="7"/>
    </row>
    <row r="326" spans="1:9" x14ac:dyDescent="0.3">
      <c r="A326" s="15" t="str">
        <f t="shared" si="5"/>
        <v>C</v>
      </c>
      <c r="C326" s="3"/>
      <c r="D326" s="3" t="s">
        <v>35</v>
      </c>
      <c r="E326" s="4"/>
      <c r="F326" s="5"/>
      <c r="G326" s="6"/>
      <c r="H326" s="6"/>
      <c r="I326" s="7"/>
    </row>
    <row r="327" spans="1:9" x14ac:dyDescent="0.3">
      <c r="A327" s="15" t="str">
        <f t="shared" si="5"/>
        <v>D</v>
      </c>
      <c r="C327" s="3"/>
      <c r="D327" s="3" t="s">
        <v>36</v>
      </c>
      <c r="E327" s="4"/>
      <c r="F327" s="5"/>
      <c r="G327" s="6"/>
      <c r="H327" s="6"/>
      <c r="I327" s="7"/>
    </row>
    <row r="328" spans="1:9" x14ac:dyDescent="0.3">
      <c r="A328" s="15" t="str">
        <f t="shared" si="5"/>
        <v>A</v>
      </c>
      <c r="C328" s="8"/>
      <c r="D328" s="8" t="s">
        <v>33</v>
      </c>
      <c r="E328" s="9"/>
      <c r="F328" s="10"/>
      <c r="G328" s="11"/>
      <c r="H328" s="11"/>
      <c r="I328" s="12"/>
    </row>
    <row r="329" spans="1:9" x14ac:dyDescent="0.3">
      <c r="A329" s="15" t="str">
        <f t="shared" si="5"/>
        <v>B</v>
      </c>
      <c r="C329" s="8"/>
      <c r="D329" s="8" t="s">
        <v>34</v>
      </c>
      <c r="E329" s="9"/>
      <c r="F329" s="10"/>
      <c r="G329" s="11"/>
      <c r="H329" s="11"/>
      <c r="I329" s="12"/>
    </row>
    <row r="330" spans="1:9" x14ac:dyDescent="0.3">
      <c r="A330" s="15" t="str">
        <f t="shared" si="5"/>
        <v>C</v>
      </c>
      <c r="C330" s="8"/>
      <c r="D330" s="8" t="s">
        <v>35</v>
      </c>
      <c r="E330" s="9"/>
      <c r="F330" s="10"/>
      <c r="G330" s="11"/>
      <c r="H330" s="11"/>
      <c r="I330" s="12"/>
    </row>
    <row r="331" spans="1:9" x14ac:dyDescent="0.3">
      <c r="A331" s="15" t="str">
        <f t="shared" si="5"/>
        <v>D</v>
      </c>
      <c r="C331" s="8"/>
      <c r="D331" s="8" t="s">
        <v>36</v>
      </c>
      <c r="E331" s="9"/>
      <c r="F331" s="10"/>
      <c r="G331" s="11"/>
      <c r="H331" s="11"/>
      <c r="I331" s="12"/>
    </row>
    <row r="332" spans="1:9" x14ac:dyDescent="0.3">
      <c r="A332" s="15" t="str">
        <f t="shared" si="5"/>
        <v>A</v>
      </c>
      <c r="C332" s="3"/>
      <c r="D332" s="3" t="s">
        <v>33</v>
      </c>
      <c r="E332" s="4"/>
      <c r="F332" s="5"/>
      <c r="G332" s="6"/>
      <c r="H332" s="6"/>
      <c r="I332" s="7"/>
    </row>
    <row r="333" spans="1:9" x14ac:dyDescent="0.3">
      <c r="A333" s="15" t="str">
        <f t="shared" si="5"/>
        <v>B</v>
      </c>
      <c r="C333" s="3"/>
      <c r="D333" s="3" t="s">
        <v>34</v>
      </c>
      <c r="E333" s="4"/>
      <c r="F333" s="5"/>
      <c r="G333" s="6"/>
      <c r="H333" s="6"/>
      <c r="I333" s="7"/>
    </row>
    <row r="334" spans="1:9" x14ac:dyDescent="0.3">
      <c r="A334" s="15" t="str">
        <f t="shared" si="5"/>
        <v>C</v>
      </c>
      <c r="C334" s="3"/>
      <c r="D334" s="3" t="s">
        <v>35</v>
      </c>
      <c r="E334" s="4"/>
      <c r="F334" s="5"/>
      <c r="G334" s="6"/>
      <c r="H334" s="6"/>
      <c r="I334" s="7"/>
    </row>
    <row r="335" spans="1:9" x14ac:dyDescent="0.3">
      <c r="A335" s="15" t="str">
        <f t="shared" si="5"/>
        <v>D</v>
      </c>
      <c r="C335" s="3"/>
      <c r="D335" s="3" t="s">
        <v>36</v>
      </c>
      <c r="E335" s="4"/>
      <c r="F335" s="5"/>
      <c r="G335" s="6"/>
      <c r="H335" s="6"/>
      <c r="I335" s="7"/>
    </row>
    <row r="336" spans="1:9" x14ac:dyDescent="0.3">
      <c r="A336" s="15" t="str">
        <f t="shared" si="5"/>
        <v>A</v>
      </c>
      <c r="C336" s="8"/>
      <c r="D336" s="8" t="s">
        <v>33</v>
      </c>
      <c r="E336" s="9"/>
      <c r="F336" s="10"/>
      <c r="G336" s="11"/>
      <c r="H336" s="11"/>
      <c r="I336" s="12"/>
    </row>
    <row r="337" spans="1:9" x14ac:dyDescent="0.3">
      <c r="A337" s="15" t="str">
        <f t="shared" si="5"/>
        <v>B</v>
      </c>
      <c r="C337" s="8"/>
      <c r="D337" s="8" t="s">
        <v>34</v>
      </c>
      <c r="E337" s="9"/>
      <c r="F337" s="10"/>
      <c r="G337" s="11"/>
      <c r="H337" s="11"/>
      <c r="I337" s="12"/>
    </row>
    <row r="338" spans="1:9" x14ac:dyDescent="0.3">
      <c r="A338" s="15" t="str">
        <f t="shared" si="5"/>
        <v>C</v>
      </c>
      <c r="C338" s="8"/>
      <c r="D338" s="8" t="s">
        <v>35</v>
      </c>
      <c r="E338" s="9"/>
      <c r="F338" s="10"/>
      <c r="G338" s="11"/>
      <c r="H338" s="11"/>
      <c r="I338" s="12"/>
    </row>
    <row r="339" spans="1:9" x14ac:dyDescent="0.3">
      <c r="A339" s="15" t="str">
        <f t="shared" si="5"/>
        <v>D</v>
      </c>
      <c r="C339" s="8"/>
      <c r="D339" s="8" t="s">
        <v>36</v>
      </c>
      <c r="E339" s="9"/>
      <c r="F339" s="10"/>
      <c r="G339" s="11"/>
      <c r="H339" s="11"/>
      <c r="I339" s="12"/>
    </row>
    <row r="340" spans="1:9" x14ac:dyDescent="0.3">
      <c r="A340" s="15" t="str">
        <f t="shared" si="5"/>
        <v>A</v>
      </c>
      <c r="C340" s="3"/>
      <c r="D340" s="3" t="s">
        <v>33</v>
      </c>
      <c r="E340" s="4"/>
      <c r="F340" s="5"/>
      <c r="G340" s="6"/>
      <c r="H340" s="6"/>
      <c r="I340" s="7"/>
    </row>
    <row r="341" spans="1:9" x14ac:dyDescent="0.3">
      <c r="A341" s="15" t="str">
        <f t="shared" si="5"/>
        <v>B</v>
      </c>
      <c r="C341" s="3"/>
      <c r="D341" s="3" t="s">
        <v>34</v>
      </c>
      <c r="E341" s="4"/>
      <c r="F341" s="5"/>
      <c r="G341" s="6"/>
      <c r="H341" s="6"/>
      <c r="I341" s="7"/>
    </row>
    <row r="342" spans="1:9" x14ac:dyDescent="0.3">
      <c r="A342" s="15" t="str">
        <f t="shared" si="5"/>
        <v>C</v>
      </c>
      <c r="C342" s="3"/>
      <c r="D342" s="3" t="s">
        <v>35</v>
      </c>
      <c r="E342" s="4"/>
      <c r="F342" s="5"/>
      <c r="G342" s="6"/>
      <c r="H342" s="6"/>
      <c r="I342" s="7"/>
    </row>
    <row r="343" spans="1:9" x14ac:dyDescent="0.3">
      <c r="A343" s="15" t="str">
        <f t="shared" si="5"/>
        <v>D</v>
      </c>
      <c r="C343" s="3"/>
      <c r="D343" s="3" t="s">
        <v>36</v>
      </c>
      <c r="E343" s="4"/>
      <c r="F343" s="5"/>
      <c r="G343" s="6"/>
      <c r="H343" s="6"/>
      <c r="I343" s="7"/>
    </row>
    <row r="344" spans="1:9" x14ac:dyDescent="0.3">
      <c r="A344" s="15" t="str">
        <f t="shared" si="5"/>
        <v>A</v>
      </c>
      <c r="C344" s="8"/>
      <c r="D344" s="8" t="s">
        <v>33</v>
      </c>
      <c r="E344" s="9"/>
      <c r="F344" s="10"/>
      <c r="G344" s="11"/>
      <c r="H344" s="11"/>
      <c r="I344" s="12"/>
    </row>
    <row r="345" spans="1:9" x14ac:dyDescent="0.3">
      <c r="A345" s="15" t="str">
        <f t="shared" si="5"/>
        <v>B</v>
      </c>
      <c r="C345" s="8"/>
      <c r="D345" s="8" t="s">
        <v>34</v>
      </c>
      <c r="E345" s="9"/>
      <c r="F345" s="10"/>
      <c r="G345" s="11"/>
      <c r="H345" s="11"/>
      <c r="I345" s="12"/>
    </row>
    <row r="346" spans="1:9" x14ac:dyDescent="0.3">
      <c r="A346" s="15" t="str">
        <f t="shared" si="5"/>
        <v>C</v>
      </c>
      <c r="C346" s="8"/>
      <c r="D346" s="8" t="s">
        <v>35</v>
      </c>
      <c r="E346" s="9"/>
      <c r="F346" s="10"/>
      <c r="G346" s="11"/>
      <c r="H346" s="11"/>
      <c r="I346" s="12"/>
    </row>
    <row r="347" spans="1:9" x14ac:dyDescent="0.3">
      <c r="A347" s="15" t="str">
        <f t="shared" si="5"/>
        <v>D</v>
      </c>
      <c r="C347" s="8"/>
      <c r="D347" s="8" t="s">
        <v>36</v>
      </c>
      <c r="E347" s="9"/>
      <c r="F347" s="10"/>
      <c r="G347" s="11"/>
      <c r="H347" s="11"/>
      <c r="I347" s="12"/>
    </row>
    <row r="348" spans="1:9" x14ac:dyDescent="0.3">
      <c r="A348" s="15" t="str">
        <f t="shared" si="5"/>
        <v>A</v>
      </c>
      <c r="C348" s="3"/>
      <c r="D348" s="3" t="s">
        <v>33</v>
      </c>
      <c r="E348" s="4"/>
      <c r="F348" s="5"/>
      <c r="G348" s="6"/>
      <c r="H348" s="6"/>
      <c r="I348" s="7"/>
    </row>
    <row r="349" spans="1:9" x14ac:dyDescent="0.3">
      <c r="A349" s="15" t="str">
        <f t="shared" si="5"/>
        <v>B</v>
      </c>
      <c r="C349" s="3"/>
      <c r="D349" s="3" t="s">
        <v>34</v>
      </c>
      <c r="E349" s="4"/>
      <c r="F349" s="5"/>
      <c r="G349" s="6"/>
      <c r="H349" s="6"/>
      <c r="I349" s="7"/>
    </row>
    <row r="350" spans="1:9" x14ac:dyDescent="0.3">
      <c r="A350" s="15" t="str">
        <f t="shared" si="5"/>
        <v>C</v>
      </c>
      <c r="C350" s="3"/>
      <c r="D350" s="3" t="s">
        <v>35</v>
      </c>
      <c r="E350" s="4"/>
      <c r="F350" s="5"/>
      <c r="G350" s="6"/>
      <c r="H350" s="6"/>
      <c r="I350" s="7"/>
    </row>
    <row r="351" spans="1:9" x14ac:dyDescent="0.3">
      <c r="A351" s="15" t="str">
        <f t="shared" si="5"/>
        <v>D</v>
      </c>
      <c r="C351" s="3"/>
      <c r="D351" s="3" t="s">
        <v>36</v>
      </c>
      <c r="E351" s="4"/>
      <c r="F351" s="5"/>
      <c r="G351" s="6"/>
      <c r="H351" s="6"/>
      <c r="I351" s="7"/>
    </row>
    <row r="352" spans="1:9" x14ac:dyDescent="0.3">
      <c r="A352" s="15" t="str">
        <f t="shared" si="5"/>
        <v>A</v>
      </c>
      <c r="C352" s="8"/>
      <c r="D352" s="8" t="s">
        <v>33</v>
      </c>
      <c r="E352" s="9"/>
      <c r="F352" s="10"/>
      <c r="G352" s="11"/>
      <c r="H352" s="11"/>
      <c r="I352" s="12"/>
    </row>
    <row r="353" spans="1:9" x14ac:dyDescent="0.3">
      <c r="A353" s="15" t="str">
        <f t="shared" si="5"/>
        <v>B</v>
      </c>
      <c r="C353" s="8"/>
      <c r="D353" s="8" t="s">
        <v>34</v>
      </c>
      <c r="E353" s="9"/>
      <c r="F353" s="10"/>
      <c r="G353" s="11"/>
      <c r="H353" s="11"/>
      <c r="I353" s="12"/>
    </row>
    <row r="354" spans="1:9" x14ac:dyDescent="0.3">
      <c r="A354" s="15" t="str">
        <f t="shared" si="5"/>
        <v>C</v>
      </c>
      <c r="C354" s="8"/>
      <c r="D354" s="8" t="s">
        <v>35</v>
      </c>
      <c r="E354" s="9"/>
      <c r="F354" s="10"/>
      <c r="G354" s="11"/>
      <c r="H354" s="11"/>
      <c r="I354" s="12"/>
    </row>
    <row r="355" spans="1:9" x14ac:dyDescent="0.3">
      <c r="A355" s="15" t="str">
        <f t="shared" si="5"/>
        <v>D</v>
      </c>
      <c r="C355" s="8"/>
      <c r="D355" s="8" t="s">
        <v>36</v>
      </c>
      <c r="E355" s="9"/>
      <c r="F355" s="10"/>
      <c r="G355" s="11"/>
      <c r="H355" s="11"/>
      <c r="I355" s="12"/>
    </row>
    <row r="356" spans="1:9" x14ac:dyDescent="0.3">
      <c r="A356" s="15" t="str">
        <f t="shared" si="5"/>
        <v>A</v>
      </c>
      <c r="C356" s="3"/>
      <c r="D356" s="3" t="s">
        <v>33</v>
      </c>
      <c r="E356" s="4"/>
      <c r="F356" s="5"/>
      <c r="G356" s="6"/>
      <c r="H356" s="6"/>
      <c r="I356" s="7"/>
    </row>
    <row r="357" spans="1:9" x14ac:dyDescent="0.3">
      <c r="A357" s="15" t="str">
        <f t="shared" si="5"/>
        <v>B</v>
      </c>
      <c r="C357" s="3"/>
      <c r="D357" s="3" t="s">
        <v>34</v>
      </c>
      <c r="E357" s="4"/>
      <c r="F357" s="5"/>
      <c r="G357" s="6"/>
      <c r="H357" s="6"/>
      <c r="I357" s="7"/>
    </row>
    <row r="358" spans="1:9" x14ac:dyDescent="0.3">
      <c r="A358" s="15" t="str">
        <f t="shared" si="5"/>
        <v>C</v>
      </c>
      <c r="C358" s="3"/>
      <c r="D358" s="3" t="s">
        <v>35</v>
      </c>
      <c r="E358" s="4"/>
      <c r="F358" s="5"/>
      <c r="G358" s="6"/>
      <c r="H358" s="6"/>
      <c r="I358" s="7"/>
    </row>
    <row r="359" spans="1:9" x14ac:dyDescent="0.3">
      <c r="A359" s="15" t="str">
        <f t="shared" si="5"/>
        <v>D</v>
      </c>
      <c r="C359" s="3"/>
      <c r="D359" s="3" t="s">
        <v>36</v>
      </c>
      <c r="E359" s="4"/>
      <c r="F359" s="5"/>
      <c r="G359" s="6"/>
      <c r="H359" s="6"/>
      <c r="I359" s="7"/>
    </row>
    <row r="360" spans="1:9" x14ac:dyDescent="0.3">
      <c r="A360" s="15" t="str">
        <f t="shared" si="5"/>
        <v>A</v>
      </c>
      <c r="C360" s="8"/>
      <c r="D360" s="8" t="s">
        <v>33</v>
      </c>
      <c r="E360" s="9"/>
      <c r="F360" s="10"/>
      <c r="G360" s="11"/>
      <c r="H360" s="11"/>
      <c r="I360" s="12"/>
    </row>
    <row r="361" spans="1:9" x14ac:dyDescent="0.3">
      <c r="A361" s="15" t="str">
        <f t="shared" si="5"/>
        <v>B</v>
      </c>
      <c r="C361" s="8"/>
      <c r="D361" s="8" t="s">
        <v>34</v>
      </c>
      <c r="E361" s="9"/>
      <c r="F361" s="10"/>
      <c r="G361" s="11"/>
      <c r="H361" s="11"/>
      <c r="I361" s="12"/>
    </row>
    <row r="362" spans="1:9" x14ac:dyDescent="0.3">
      <c r="A362" s="15" t="str">
        <f t="shared" si="5"/>
        <v>C</v>
      </c>
      <c r="C362" s="8"/>
      <c r="D362" s="8" t="s">
        <v>35</v>
      </c>
      <c r="E362" s="9"/>
      <c r="F362" s="10"/>
      <c r="G362" s="11"/>
      <c r="H362" s="11"/>
      <c r="I362" s="12"/>
    </row>
    <row r="363" spans="1:9" x14ac:dyDescent="0.3">
      <c r="A363" s="15" t="str">
        <f t="shared" si="5"/>
        <v>D</v>
      </c>
      <c r="C363" s="8"/>
      <c r="D363" s="8" t="s">
        <v>36</v>
      </c>
      <c r="E363" s="9"/>
      <c r="F363" s="10"/>
      <c r="G363" s="11"/>
      <c r="H363" s="11"/>
      <c r="I363" s="12"/>
    </row>
    <row r="364" spans="1:9" x14ac:dyDescent="0.3">
      <c r="A364" s="15" t="str">
        <f t="shared" si="5"/>
        <v>A</v>
      </c>
      <c r="C364" s="3"/>
      <c r="D364" s="3" t="s">
        <v>33</v>
      </c>
      <c r="E364" s="4"/>
      <c r="F364" s="5"/>
      <c r="G364" s="6"/>
      <c r="H364" s="6"/>
      <c r="I364" s="7"/>
    </row>
    <row r="365" spans="1:9" x14ac:dyDescent="0.3">
      <c r="A365" s="15" t="str">
        <f t="shared" si="5"/>
        <v>B</v>
      </c>
      <c r="C365" s="3"/>
      <c r="D365" s="3" t="s">
        <v>34</v>
      </c>
      <c r="E365" s="4"/>
      <c r="F365" s="5"/>
      <c r="G365" s="6"/>
      <c r="H365" s="6"/>
      <c r="I365" s="7"/>
    </row>
    <row r="366" spans="1:9" x14ac:dyDescent="0.3">
      <c r="A366" s="15" t="str">
        <f t="shared" si="5"/>
        <v>C</v>
      </c>
      <c r="C366" s="3"/>
      <c r="D366" s="3" t="s">
        <v>35</v>
      </c>
      <c r="E366" s="4"/>
      <c r="F366" s="5"/>
      <c r="G366" s="6"/>
      <c r="H366" s="6"/>
      <c r="I366" s="7"/>
    </row>
    <row r="367" spans="1:9" x14ac:dyDescent="0.3">
      <c r="A367" s="15" t="str">
        <f t="shared" si="5"/>
        <v>D</v>
      </c>
      <c r="C367" s="3"/>
      <c r="D367" s="3" t="s">
        <v>36</v>
      </c>
      <c r="E367" s="4"/>
      <c r="F367" s="5"/>
      <c r="G367" s="6"/>
      <c r="H367" s="6"/>
      <c r="I367" s="7"/>
    </row>
    <row r="368" spans="1:9" x14ac:dyDescent="0.3">
      <c r="A368" s="15" t="str">
        <f t="shared" si="5"/>
        <v>A</v>
      </c>
      <c r="C368" s="8"/>
      <c r="D368" s="8" t="s">
        <v>33</v>
      </c>
      <c r="E368" s="9"/>
      <c r="F368" s="10"/>
      <c r="G368" s="11"/>
      <c r="H368" s="11"/>
      <c r="I368" s="12"/>
    </row>
    <row r="369" spans="1:9" x14ac:dyDescent="0.3">
      <c r="A369" s="15" t="str">
        <f t="shared" si="5"/>
        <v>B</v>
      </c>
      <c r="C369" s="8"/>
      <c r="D369" s="8" t="s">
        <v>34</v>
      </c>
      <c r="E369" s="9"/>
      <c r="F369" s="10"/>
      <c r="G369" s="11"/>
      <c r="H369" s="11"/>
      <c r="I369" s="12"/>
    </row>
    <row r="370" spans="1:9" x14ac:dyDescent="0.3">
      <c r="A370" s="15" t="str">
        <f t="shared" si="5"/>
        <v>C</v>
      </c>
      <c r="C370" s="8"/>
      <c r="D370" s="8" t="s">
        <v>35</v>
      </c>
      <c r="E370" s="9"/>
      <c r="F370" s="10"/>
      <c r="G370" s="11"/>
      <c r="H370" s="11"/>
      <c r="I370" s="12"/>
    </row>
    <row r="371" spans="1:9" x14ac:dyDescent="0.3">
      <c r="A371" s="15" t="str">
        <f t="shared" si="5"/>
        <v>D</v>
      </c>
      <c r="C371" s="8"/>
      <c r="D371" s="8" t="s">
        <v>36</v>
      </c>
      <c r="E371" s="9"/>
      <c r="F371" s="10"/>
      <c r="G371" s="11"/>
      <c r="H371" s="11"/>
      <c r="I371" s="12"/>
    </row>
    <row r="372" spans="1:9" x14ac:dyDescent="0.3">
      <c r="A372" s="15" t="str">
        <f t="shared" si="5"/>
        <v>A</v>
      </c>
      <c r="C372" s="3"/>
      <c r="D372" s="3" t="s">
        <v>33</v>
      </c>
      <c r="E372" s="4"/>
      <c r="F372" s="5"/>
      <c r="G372" s="6"/>
      <c r="H372" s="6"/>
      <c r="I372" s="7"/>
    </row>
    <row r="373" spans="1:9" x14ac:dyDescent="0.3">
      <c r="A373" s="15" t="str">
        <f t="shared" si="5"/>
        <v>B</v>
      </c>
      <c r="C373" s="3"/>
      <c r="D373" s="3" t="s">
        <v>34</v>
      </c>
      <c r="E373" s="4"/>
      <c r="F373" s="5"/>
      <c r="G373" s="6"/>
      <c r="H373" s="6"/>
      <c r="I373" s="7"/>
    </row>
    <row r="374" spans="1:9" x14ac:dyDescent="0.3">
      <c r="A374" s="15" t="str">
        <f t="shared" si="5"/>
        <v>C</v>
      </c>
      <c r="C374" s="3"/>
      <c r="D374" s="3" t="s">
        <v>35</v>
      </c>
      <c r="E374" s="4"/>
      <c r="F374" s="5"/>
      <c r="G374" s="6"/>
      <c r="H374" s="6"/>
      <c r="I374" s="7"/>
    </row>
    <row r="375" spans="1:9" x14ac:dyDescent="0.3">
      <c r="A375" s="15" t="str">
        <f t="shared" si="5"/>
        <v>D</v>
      </c>
      <c r="C375" s="3"/>
      <c r="D375" s="3" t="s">
        <v>36</v>
      </c>
      <c r="E375" s="4"/>
      <c r="F375" s="5"/>
      <c r="G375" s="6"/>
      <c r="H375" s="6"/>
      <c r="I375" s="7"/>
    </row>
    <row r="376" spans="1:9" x14ac:dyDescent="0.3">
      <c r="A376" s="15" t="str">
        <f t="shared" si="5"/>
        <v>A</v>
      </c>
      <c r="C376" s="8"/>
      <c r="D376" s="8" t="s">
        <v>33</v>
      </c>
      <c r="E376" s="9"/>
      <c r="F376" s="10"/>
      <c r="G376" s="11"/>
      <c r="H376" s="11"/>
      <c r="I376" s="12"/>
    </row>
    <row r="377" spans="1:9" x14ac:dyDescent="0.3">
      <c r="A377" s="15" t="str">
        <f t="shared" si="5"/>
        <v>B</v>
      </c>
      <c r="C377" s="8"/>
      <c r="D377" s="8" t="s">
        <v>34</v>
      </c>
      <c r="E377" s="9"/>
      <c r="F377" s="10"/>
      <c r="G377" s="11"/>
      <c r="H377" s="11"/>
      <c r="I377" s="12"/>
    </row>
    <row r="378" spans="1:9" x14ac:dyDescent="0.3">
      <c r="A378" s="15" t="str">
        <f t="shared" si="5"/>
        <v>C</v>
      </c>
      <c r="C378" s="8"/>
      <c r="D378" s="8" t="s">
        <v>35</v>
      </c>
      <c r="E378" s="9"/>
      <c r="F378" s="10"/>
      <c r="G378" s="11"/>
      <c r="H378" s="11"/>
      <c r="I378" s="12"/>
    </row>
    <row r="379" spans="1:9" x14ac:dyDescent="0.3">
      <c r="A379" s="15" t="str">
        <f t="shared" si="5"/>
        <v>D</v>
      </c>
      <c r="C379" s="8"/>
      <c r="D379" s="8" t="s">
        <v>36</v>
      </c>
      <c r="E379" s="9"/>
      <c r="F379" s="10"/>
      <c r="G379" s="11"/>
      <c r="H379" s="11"/>
      <c r="I379" s="12"/>
    </row>
    <row r="380" spans="1:9" x14ac:dyDescent="0.3">
      <c r="A380" s="15" t="str">
        <f t="shared" si="5"/>
        <v>A</v>
      </c>
      <c r="C380" s="3"/>
      <c r="D380" s="3" t="s">
        <v>33</v>
      </c>
      <c r="E380" s="4"/>
      <c r="F380" s="5"/>
      <c r="G380" s="6"/>
      <c r="H380" s="6"/>
      <c r="I380" s="7"/>
    </row>
    <row r="381" spans="1:9" x14ac:dyDescent="0.3">
      <c r="A381" s="15" t="str">
        <f t="shared" si="5"/>
        <v>B</v>
      </c>
      <c r="C381" s="3"/>
      <c r="D381" s="3" t="s">
        <v>34</v>
      </c>
      <c r="E381" s="4"/>
      <c r="F381" s="5"/>
      <c r="G381" s="6"/>
      <c r="H381" s="6"/>
      <c r="I381" s="7"/>
    </row>
    <row r="382" spans="1:9" x14ac:dyDescent="0.3">
      <c r="A382" s="15" t="str">
        <f t="shared" si="5"/>
        <v>C</v>
      </c>
      <c r="C382" s="3"/>
      <c r="D382" s="3" t="s">
        <v>35</v>
      </c>
      <c r="E382" s="4"/>
      <c r="F382" s="5"/>
      <c r="G382" s="6"/>
      <c r="H382" s="6"/>
      <c r="I382" s="7"/>
    </row>
    <row r="383" spans="1:9" x14ac:dyDescent="0.3">
      <c r="A383" s="15" t="str">
        <f t="shared" si="5"/>
        <v>D</v>
      </c>
      <c r="C383" s="3"/>
      <c r="D383" s="3" t="s">
        <v>36</v>
      </c>
      <c r="E383" s="4"/>
      <c r="F383" s="5"/>
      <c r="G383" s="6"/>
      <c r="H383" s="6"/>
      <c r="I383" s="7"/>
    </row>
    <row r="384" spans="1:9" x14ac:dyDescent="0.3">
      <c r="A384" s="15" t="str">
        <f t="shared" si="5"/>
        <v>A</v>
      </c>
      <c r="C384" s="8"/>
      <c r="D384" s="8" t="s">
        <v>33</v>
      </c>
      <c r="E384" s="9"/>
      <c r="F384" s="10"/>
      <c r="G384" s="11"/>
      <c r="H384" s="11"/>
      <c r="I384" s="12"/>
    </row>
    <row r="385" spans="1:9" x14ac:dyDescent="0.3">
      <c r="A385" s="15" t="str">
        <f t="shared" si="5"/>
        <v>B</v>
      </c>
      <c r="C385" s="8"/>
      <c r="D385" s="8" t="s">
        <v>34</v>
      </c>
      <c r="E385" s="9"/>
      <c r="F385" s="10"/>
      <c r="G385" s="11"/>
      <c r="H385" s="11"/>
      <c r="I385" s="12"/>
    </row>
    <row r="386" spans="1:9" x14ac:dyDescent="0.3">
      <c r="A386" s="15" t="str">
        <f t="shared" si="5"/>
        <v>C</v>
      </c>
      <c r="C386" s="8"/>
      <c r="D386" s="8" t="s">
        <v>35</v>
      </c>
      <c r="E386" s="9"/>
      <c r="F386" s="10"/>
      <c r="G386" s="11"/>
      <c r="H386" s="11"/>
      <c r="I386" s="12"/>
    </row>
    <row r="387" spans="1:9" x14ac:dyDescent="0.3">
      <c r="A387" s="15" t="str">
        <f t="shared" si="5"/>
        <v>D</v>
      </c>
      <c r="C387" s="8"/>
      <c r="D387" s="8" t="s">
        <v>36</v>
      </c>
      <c r="E387" s="9"/>
      <c r="F387" s="10"/>
      <c r="G387" s="11"/>
      <c r="H387" s="11"/>
      <c r="I387" s="12"/>
    </row>
    <row r="388" spans="1:9" x14ac:dyDescent="0.3">
      <c r="A388" s="15" t="str">
        <f t="shared" si="5"/>
        <v>A</v>
      </c>
      <c r="C388" s="3"/>
      <c r="D388" s="3" t="s">
        <v>33</v>
      </c>
      <c r="E388" s="4"/>
      <c r="F388" s="5"/>
      <c r="G388" s="6"/>
      <c r="H388" s="6"/>
      <c r="I388" s="7"/>
    </row>
    <row r="389" spans="1:9" x14ac:dyDescent="0.3">
      <c r="A389" s="15" t="str">
        <f t="shared" ref="A389:A403" si="6">C389&amp;D389</f>
        <v>B</v>
      </c>
      <c r="C389" s="3"/>
      <c r="D389" s="3" t="s">
        <v>34</v>
      </c>
      <c r="E389" s="4"/>
      <c r="F389" s="5"/>
      <c r="G389" s="6"/>
      <c r="H389" s="6"/>
      <c r="I389" s="7"/>
    </row>
    <row r="390" spans="1:9" x14ac:dyDescent="0.3">
      <c r="A390" s="15" t="str">
        <f t="shared" si="6"/>
        <v>C</v>
      </c>
      <c r="C390" s="3"/>
      <c r="D390" s="3" t="s">
        <v>35</v>
      </c>
      <c r="E390" s="4"/>
      <c r="F390" s="5"/>
      <c r="G390" s="6"/>
      <c r="H390" s="6"/>
      <c r="I390" s="7"/>
    </row>
    <row r="391" spans="1:9" x14ac:dyDescent="0.3">
      <c r="A391" s="15" t="str">
        <f t="shared" si="6"/>
        <v>D</v>
      </c>
      <c r="C391" s="3"/>
      <c r="D391" s="3" t="s">
        <v>36</v>
      </c>
      <c r="E391" s="4"/>
      <c r="F391" s="5"/>
      <c r="G391" s="6"/>
      <c r="H391" s="6"/>
      <c r="I391" s="7"/>
    </row>
    <row r="392" spans="1:9" x14ac:dyDescent="0.3">
      <c r="A392" s="15" t="str">
        <f t="shared" si="6"/>
        <v>A</v>
      </c>
      <c r="C392" s="8"/>
      <c r="D392" s="8" t="s">
        <v>33</v>
      </c>
      <c r="E392" s="9"/>
      <c r="F392" s="10"/>
      <c r="G392" s="11"/>
      <c r="H392" s="11"/>
      <c r="I392" s="12"/>
    </row>
    <row r="393" spans="1:9" x14ac:dyDescent="0.3">
      <c r="A393" s="15" t="str">
        <f t="shared" si="6"/>
        <v>B</v>
      </c>
      <c r="C393" s="8"/>
      <c r="D393" s="8" t="s">
        <v>34</v>
      </c>
      <c r="E393" s="9"/>
      <c r="F393" s="10"/>
      <c r="G393" s="11"/>
      <c r="H393" s="11"/>
      <c r="I393" s="12"/>
    </row>
    <row r="394" spans="1:9" x14ac:dyDescent="0.3">
      <c r="A394" s="15" t="str">
        <f t="shared" si="6"/>
        <v>C</v>
      </c>
      <c r="C394" s="8"/>
      <c r="D394" s="8" t="s">
        <v>35</v>
      </c>
      <c r="E394" s="9"/>
      <c r="F394" s="10"/>
      <c r="G394" s="11"/>
      <c r="H394" s="11"/>
      <c r="I394" s="12"/>
    </row>
    <row r="395" spans="1:9" x14ac:dyDescent="0.3">
      <c r="A395" s="15" t="str">
        <f t="shared" si="6"/>
        <v>D</v>
      </c>
      <c r="C395" s="8"/>
      <c r="D395" s="8" t="s">
        <v>36</v>
      </c>
      <c r="E395" s="9"/>
      <c r="F395" s="10"/>
      <c r="G395" s="11"/>
      <c r="H395" s="11"/>
      <c r="I395" s="12"/>
    </row>
    <row r="396" spans="1:9" x14ac:dyDescent="0.3">
      <c r="A396" s="15" t="str">
        <f t="shared" si="6"/>
        <v>A</v>
      </c>
      <c r="C396" s="3"/>
      <c r="D396" s="3" t="s">
        <v>33</v>
      </c>
      <c r="E396" s="4"/>
      <c r="F396" s="5"/>
      <c r="G396" s="6"/>
      <c r="H396" s="6"/>
      <c r="I396" s="7"/>
    </row>
    <row r="397" spans="1:9" x14ac:dyDescent="0.3">
      <c r="A397" s="15" t="str">
        <f t="shared" si="6"/>
        <v>B</v>
      </c>
      <c r="C397" s="3"/>
      <c r="D397" s="3" t="s">
        <v>34</v>
      </c>
      <c r="E397" s="4"/>
      <c r="F397" s="5"/>
      <c r="G397" s="6"/>
      <c r="H397" s="6"/>
      <c r="I397" s="7"/>
    </row>
    <row r="398" spans="1:9" x14ac:dyDescent="0.3">
      <c r="A398" s="15" t="str">
        <f t="shared" si="6"/>
        <v>C</v>
      </c>
      <c r="C398" s="3"/>
      <c r="D398" s="3" t="s">
        <v>35</v>
      </c>
      <c r="E398" s="4"/>
      <c r="F398" s="5"/>
      <c r="G398" s="6"/>
      <c r="H398" s="6"/>
      <c r="I398" s="7"/>
    </row>
    <row r="399" spans="1:9" x14ac:dyDescent="0.3">
      <c r="A399" s="15" t="str">
        <f t="shared" si="6"/>
        <v>D</v>
      </c>
      <c r="C399" s="3"/>
      <c r="D399" s="3" t="s">
        <v>36</v>
      </c>
      <c r="E399" s="4"/>
      <c r="F399" s="5"/>
      <c r="G399" s="6"/>
      <c r="H399" s="6"/>
      <c r="I399" s="7"/>
    </row>
    <row r="400" spans="1:9" x14ac:dyDescent="0.3">
      <c r="A400" s="15" t="str">
        <f t="shared" si="6"/>
        <v>A</v>
      </c>
      <c r="C400" s="8"/>
      <c r="D400" s="8" t="s">
        <v>33</v>
      </c>
      <c r="E400" s="9"/>
      <c r="F400" s="10"/>
      <c r="G400" s="11"/>
      <c r="H400" s="11"/>
      <c r="I400" s="12"/>
    </row>
    <row r="401" spans="1:9" x14ac:dyDescent="0.3">
      <c r="A401" s="15" t="str">
        <f t="shared" si="6"/>
        <v>B</v>
      </c>
      <c r="C401" s="8"/>
      <c r="D401" s="8" t="s">
        <v>34</v>
      </c>
      <c r="E401" s="9"/>
      <c r="F401" s="10"/>
      <c r="G401" s="11"/>
      <c r="H401" s="11"/>
      <c r="I401" s="12"/>
    </row>
    <row r="402" spans="1:9" x14ac:dyDescent="0.3">
      <c r="A402" s="15" t="str">
        <f t="shared" si="6"/>
        <v>C</v>
      </c>
      <c r="C402" s="8"/>
      <c r="D402" s="8" t="s">
        <v>35</v>
      </c>
      <c r="E402" s="9"/>
      <c r="F402" s="10"/>
      <c r="G402" s="11"/>
      <c r="H402" s="11"/>
      <c r="I402" s="12"/>
    </row>
    <row r="403" spans="1:9" x14ac:dyDescent="0.3">
      <c r="A403" s="15" t="str">
        <f t="shared" si="6"/>
        <v>D</v>
      </c>
      <c r="C403" s="8"/>
      <c r="D403" s="8" t="s">
        <v>36</v>
      </c>
      <c r="E403" s="9"/>
      <c r="F403" s="10"/>
      <c r="G403" s="11"/>
      <c r="H403" s="11"/>
      <c r="I403" s="12"/>
    </row>
  </sheetData>
  <sheetProtection algorithmName="SHA-512" hashValue="SW7D2zlYCXJV+qH30SR2seiU7IHG9aNXUQhA3DF0uXhNqtmjojZosZYEZbVgbuS0e6ngByJ69BK0zmk4yk0c0A==" saltValue="XVKuxNS5YvFFZ1aaIN1jwQ==" spinCount="100000" sheet="1" formatRows="0" insertRows="0" sort="0" autoFilter="0"/>
  <autoFilter ref="C3:I3" xr:uid="{00000000-0001-0000-0000-000000000000}"/>
  <mergeCells count="1">
    <mergeCell ref="D1:O1"/>
  </mergeCells>
  <pageMargins left="0.70866141732283472" right="0.70866141732283472" top="0.74803149606299213" bottom="0.74803149606299213" header="0.31496062992125984" footer="0.31496062992125984"/>
  <pageSetup paperSize="9" scale="86" fitToHeight="0" orientation="landscape" r:id="rId1"/>
  <headerFooter>
    <oddHeader>&amp;L&amp;Z&amp;F&amp;R&amp;D</oddHeader>
    <oddFooter>&amp;CPágina &amp;P de &amp;N&amp;RDpto. de Compras - RETEC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A6031-0CB8-42B6-9EFC-C1E0561AFAB2}">
  <sheetPr codeName="Planilha2">
    <tabColor theme="8" tint="-0.499984740745262"/>
    <pageSetUpPr fitToPage="1"/>
  </sheetPr>
  <dimension ref="A1:AX510"/>
  <sheetViews>
    <sheetView showGridLines="0" tabSelected="1" topLeftCell="D1" zoomScale="80" zoomScaleNormal="80" zoomScaleSheetLayoutView="25" workbookViewId="0">
      <pane ySplit="10" topLeftCell="A11" activePane="bottomLeft" state="frozen"/>
      <selection pane="bottomLeft" activeCell="G6" sqref="G6"/>
    </sheetView>
  </sheetViews>
  <sheetFormatPr defaultColWidth="9.109375" defaultRowHeight="14.4" x14ac:dyDescent="0.3"/>
  <cols>
    <col min="1" max="1" width="10.109375" style="20" customWidth="1"/>
    <col min="2" max="3" width="17.33203125" style="20" customWidth="1"/>
    <col min="4" max="4" width="56" style="19" customWidth="1"/>
    <col min="5" max="5" width="14.5546875" style="19" customWidth="1"/>
    <col min="6" max="6" width="66.21875" style="19" customWidth="1"/>
    <col min="7" max="7" width="34.33203125" style="19" customWidth="1"/>
    <col min="8" max="8" width="22.6640625" style="19" customWidth="1"/>
    <col min="9" max="9" width="21.109375" style="19" customWidth="1"/>
    <col min="10" max="11" width="17.33203125" style="19" customWidth="1"/>
    <col min="12" max="12" width="21.33203125" style="19" customWidth="1"/>
    <col min="13" max="13" width="69.5546875" style="19" customWidth="1"/>
    <col min="14" max="14" width="1.5546875" style="19" customWidth="1"/>
    <col min="15" max="15" width="19.33203125" style="19" customWidth="1"/>
    <col min="16" max="28" width="9.109375" style="19"/>
    <col min="29" max="29" width="9.109375" style="19" customWidth="1"/>
    <col min="30" max="30" width="19.44140625" style="19" hidden="1" customWidth="1"/>
    <col min="31" max="31" width="9.109375" style="19" hidden="1" customWidth="1"/>
    <col min="32" max="32" width="19.44140625" style="19" hidden="1" customWidth="1"/>
    <col min="33" max="33" width="111.5546875" style="19" hidden="1" customWidth="1"/>
    <col min="34" max="36" width="20.33203125" style="19" hidden="1" customWidth="1"/>
    <col min="37" max="37" width="16.44140625" style="19" hidden="1" customWidth="1"/>
    <col min="38" max="39" width="9.109375" style="19" customWidth="1"/>
    <col min="40" max="40" width="9.109375" style="19" hidden="1" customWidth="1"/>
    <col min="41" max="41" width="18.88671875" style="19" hidden="1" customWidth="1"/>
    <col min="42" max="42" width="17.5546875" style="19" hidden="1" customWidth="1"/>
    <col min="43" max="43" width="17.6640625" style="19" hidden="1" customWidth="1"/>
    <col min="44" max="44" width="21.109375" style="19" hidden="1" customWidth="1"/>
    <col min="45" max="45" width="2.6640625" style="19" hidden="1" customWidth="1"/>
    <col min="46" max="47" width="16.44140625" style="19" hidden="1" customWidth="1"/>
    <col min="48" max="48" width="2.6640625" style="19" hidden="1" customWidth="1"/>
    <col min="49" max="50" width="14.5546875" style="19" hidden="1" customWidth="1"/>
    <col min="51" max="51" width="9.109375" style="19"/>
    <col min="52" max="52" width="9.109375" style="19" customWidth="1"/>
    <col min="53" max="16384" width="9.109375" style="19"/>
  </cols>
  <sheetData>
    <row r="1" spans="1:50" ht="62.25" customHeight="1" x14ac:dyDescent="0.3">
      <c r="A1" s="18"/>
      <c r="B1" s="68"/>
      <c r="C1" s="73"/>
      <c r="D1" s="94" t="str">
        <f>CONCATENATE("Composição de Valores - Eng. de Orçamentos - ",C8," - CTD ",C5," - Revisão: ",C6)</f>
        <v xml:space="preserve">Composição de Valores - Eng. de Orçamentos - - - CTD  - Revisão: </v>
      </c>
      <c r="E1" s="94"/>
      <c r="F1" s="94"/>
      <c r="G1" s="94"/>
      <c r="H1" s="94"/>
      <c r="I1" s="94"/>
      <c r="J1" s="94"/>
      <c r="K1" s="94"/>
      <c r="L1" s="94"/>
      <c r="M1" s="70">
        <f ca="1">NOW()</f>
        <v>45665.529731944443</v>
      </c>
    </row>
    <row r="2" spans="1:50" ht="6" customHeight="1" x14ac:dyDescent="0.3"/>
    <row r="3" spans="1:50" ht="18" customHeight="1" x14ac:dyDescent="0.3">
      <c r="A3" s="88" t="s">
        <v>15</v>
      </c>
      <c r="B3" s="89"/>
      <c r="C3" s="90" t="s">
        <v>24</v>
      </c>
      <c r="D3" s="91"/>
      <c r="E3" s="21"/>
      <c r="F3" s="21"/>
      <c r="G3" s="22"/>
      <c r="H3" s="95" t="s">
        <v>23</v>
      </c>
      <c r="I3" s="96"/>
      <c r="J3" s="77"/>
      <c r="K3" s="97" t="s">
        <v>14</v>
      </c>
      <c r="L3" s="97"/>
    </row>
    <row r="4" spans="1:50" ht="18" customHeight="1" x14ac:dyDescent="0.3">
      <c r="A4" s="88" t="s">
        <v>22</v>
      </c>
      <c r="B4" s="89"/>
      <c r="C4" s="90" t="s">
        <v>24</v>
      </c>
      <c r="D4" s="91"/>
      <c r="E4" s="21"/>
      <c r="F4" s="21"/>
      <c r="G4" s="22"/>
      <c r="H4" s="92" t="s">
        <v>26</v>
      </c>
      <c r="I4" s="93"/>
      <c r="J4" s="77"/>
      <c r="K4" s="97"/>
      <c r="L4" s="97"/>
    </row>
    <row r="5" spans="1:50" ht="18" customHeight="1" x14ac:dyDescent="0.3">
      <c r="A5" s="88" t="s">
        <v>85</v>
      </c>
      <c r="B5" s="89"/>
      <c r="C5" s="76"/>
      <c r="E5" s="21"/>
      <c r="F5" s="21"/>
      <c r="G5" s="22"/>
      <c r="H5" s="26"/>
      <c r="I5" s="23"/>
      <c r="J5" s="24"/>
      <c r="K5" s="98" t="e">
        <f>AK11</f>
        <v>#N/A</v>
      </c>
      <c r="L5" s="98"/>
      <c r="M5" s="25"/>
    </row>
    <row r="6" spans="1:50" ht="18" customHeight="1" x14ac:dyDescent="0.3">
      <c r="A6" s="88" t="s">
        <v>84</v>
      </c>
      <c r="B6" s="89"/>
      <c r="C6" s="75"/>
      <c r="E6" s="50"/>
      <c r="F6" s="21"/>
      <c r="G6" s="22"/>
      <c r="H6" s="26"/>
      <c r="I6" s="23"/>
      <c r="J6" s="24"/>
      <c r="K6" s="78"/>
      <c r="L6" s="78"/>
      <c r="M6" s="25"/>
    </row>
    <row r="7" spans="1:50" ht="4.5" customHeight="1" x14ac:dyDescent="0.3">
      <c r="A7" s="88"/>
      <c r="B7" s="89"/>
      <c r="C7" s="74"/>
      <c r="D7" s="51"/>
      <c r="E7" s="21"/>
      <c r="F7" s="21"/>
      <c r="G7" s="22"/>
      <c r="H7" s="27"/>
      <c r="I7" s="23"/>
      <c r="J7" s="24"/>
      <c r="K7" s="24"/>
      <c r="L7" s="25"/>
      <c r="M7" s="25"/>
    </row>
    <row r="8" spans="1:50" ht="18" customHeight="1" x14ac:dyDescent="0.3">
      <c r="A8" s="88" t="s">
        <v>47</v>
      </c>
      <c r="B8" s="89"/>
      <c r="C8" s="92" t="s">
        <v>24</v>
      </c>
      <c r="D8" s="93"/>
      <c r="E8" s="21"/>
      <c r="F8" s="21"/>
      <c r="G8" s="22"/>
      <c r="H8" s="27"/>
      <c r="I8" s="23"/>
      <c r="J8" s="24"/>
      <c r="K8" s="24"/>
      <c r="L8" s="25"/>
      <c r="M8" s="25"/>
    </row>
    <row r="9" spans="1:50" ht="4.5" customHeight="1" x14ac:dyDescent="0.3">
      <c r="D9" s="28"/>
    </row>
    <row r="10" spans="1:50" s="27" customFormat="1" ht="34.5" customHeight="1" x14ac:dyDescent="0.3">
      <c r="A10" s="32" t="s">
        <v>0</v>
      </c>
      <c r="B10" s="32" t="s">
        <v>99</v>
      </c>
      <c r="C10" s="32" t="s">
        <v>18</v>
      </c>
      <c r="D10" s="48" t="s">
        <v>20</v>
      </c>
      <c r="E10" s="48" t="s">
        <v>50</v>
      </c>
      <c r="F10" s="48" t="s">
        <v>51</v>
      </c>
      <c r="G10" s="49" t="s">
        <v>17</v>
      </c>
      <c r="H10" s="49" t="s">
        <v>19</v>
      </c>
      <c r="I10" s="49" t="s">
        <v>21</v>
      </c>
      <c r="J10" s="49" t="s">
        <v>1</v>
      </c>
      <c r="K10" s="49" t="s">
        <v>2</v>
      </c>
      <c r="L10" s="49" t="str">
        <f>_xlfn.CONCAT("Preço de Venda: ",H4)</f>
        <v>Preço de Venda: ATACADO</v>
      </c>
      <c r="M10" s="69" t="s">
        <v>102</v>
      </c>
      <c r="AD10" s="29" t="s">
        <v>5</v>
      </c>
      <c r="AE10" s="29" t="s">
        <v>48</v>
      </c>
      <c r="AF10" s="29" t="s">
        <v>53</v>
      </c>
      <c r="AG10" s="29" t="s">
        <v>49</v>
      </c>
      <c r="AH10" s="29" t="s">
        <v>16</v>
      </c>
      <c r="AI10" s="29" t="s">
        <v>4</v>
      </c>
      <c r="AJ10" s="29" t="s">
        <v>12</v>
      </c>
      <c r="AK10" s="29" t="s">
        <v>13</v>
      </c>
      <c r="AN10" s="30" t="s">
        <v>0</v>
      </c>
      <c r="AO10" s="31" t="s">
        <v>7</v>
      </c>
      <c r="AP10" s="31" t="s">
        <v>3</v>
      </c>
      <c r="AQ10" s="31" t="s">
        <v>8</v>
      </c>
      <c r="AR10" s="31" t="s">
        <v>9</v>
      </c>
      <c r="AT10" s="31" t="s">
        <v>4</v>
      </c>
      <c r="AU10" s="31" t="s">
        <v>12</v>
      </c>
      <c r="AW10" s="31" t="s">
        <v>10</v>
      </c>
      <c r="AX10" s="31" t="s">
        <v>11</v>
      </c>
    </row>
    <row r="11" spans="1:50" x14ac:dyDescent="0.3">
      <c r="A11" s="32">
        <v>1</v>
      </c>
      <c r="B11" s="33"/>
      <c r="C11" s="33"/>
      <c r="D11" s="33"/>
      <c r="E11" s="33" t="s">
        <v>24</v>
      </c>
      <c r="F11" s="71" t="str">
        <f>IFERROR((VLOOKUP(E11,$AE$11:$AG$14,3,0)),"-")</f>
        <v>-</v>
      </c>
      <c r="G11" s="33"/>
      <c r="H11" s="33"/>
      <c r="I11" s="34"/>
      <c r="J11" s="35"/>
      <c r="K11" s="35"/>
      <c r="L11" s="36">
        <f>IF($H$4="-",0,IF($H$4="VAREJO",AW11,IF($H$4="ATACADO",AX11,0)))</f>
        <v>0</v>
      </c>
      <c r="M11" s="33"/>
      <c r="AD11" s="37" t="str">
        <f>$C$8</f>
        <v>-</v>
      </c>
      <c r="AE11" s="37" t="s">
        <v>33</v>
      </c>
      <c r="AF11" s="37" t="str">
        <f>AD11&amp;AE11</f>
        <v>-A</v>
      </c>
      <c r="AG11" s="72" t="e">
        <f>VLOOKUP(AF11,PARÂMETROS!$A$4:$I$403,5,0)</f>
        <v>#N/A</v>
      </c>
      <c r="AH11" s="38" t="e">
        <f>VLOOKUP(AF11,PARÂMETROS!$A$4:$I$403,6,0)</f>
        <v>#N/A</v>
      </c>
      <c r="AI11" s="39" t="e">
        <f>VLOOKUP(AF11,PARÂMETROS!$A$4:$I$403,7,0)</f>
        <v>#N/A</v>
      </c>
      <c r="AJ11" s="39" t="e">
        <f>VLOOKUP(AF11,PARÂMETROS!$A$4:$I$403,8,0)</f>
        <v>#N/A</v>
      </c>
      <c r="AK11" s="40" t="e">
        <f>VLOOKUP(AF11,PARÂMETROS!$A$4:$I$403,9,0)</f>
        <v>#N/A</v>
      </c>
      <c r="AN11" s="41">
        <v>1</v>
      </c>
      <c r="AO11" s="42">
        <f t="shared" ref="AO11:AO42" si="0">I11+(I11*J11)+(I11*K11)</f>
        <v>0</v>
      </c>
      <c r="AP11" s="43">
        <f t="shared" ref="AP11:AP42" si="1">IFERROR(VLOOKUP(E11,$AE$11:$AK$14,4,0),0)</f>
        <v>0</v>
      </c>
      <c r="AQ11" s="42">
        <f t="shared" ref="AQ11:AQ42" si="2">(I11+(I11*J11)+(I11*K11))*AP11</f>
        <v>0</v>
      </c>
      <c r="AR11" s="44">
        <f>AO11+AQ11</f>
        <v>0</v>
      </c>
      <c r="AT11" s="39">
        <f t="shared" ref="AT11:AT42" si="3">IFERROR((VLOOKUP(E11,$AE$11:$AJ$14,5,0)),0)</f>
        <v>0</v>
      </c>
      <c r="AU11" s="39">
        <f t="shared" ref="AU11:AU42" si="4">IFERROR((VLOOKUP(E11,$AE$11:$AJ$14,6,0)),0)</f>
        <v>0</v>
      </c>
      <c r="AW11" s="45">
        <f>AR11*AT11</f>
        <v>0</v>
      </c>
      <c r="AX11" s="45">
        <f>AR11*AU11</f>
        <v>0</v>
      </c>
    </row>
    <row r="12" spans="1:50" x14ac:dyDescent="0.3">
      <c r="A12" s="32">
        <v>2</v>
      </c>
      <c r="B12" s="33"/>
      <c r="C12" s="33"/>
      <c r="D12" s="33"/>
      <c r="E12" s="33" t="s">
        <v>24</v>
      </c>
      <c r="F12" s="71" t="str">
        <f t="shared" ref="F12:F42" si="5">IFERROR((VLOOKUP(E12,$AE$11:$AG$14,3,0)),"-")</f>
        <v>-</v>
      </c>
      <c r="G12" s="33"/>
      <c r="H12" s="33"/>
      <c r="I12" s="46"/>
      <c r="J12" s="35"/>
      <c r="K12" s="35"/>
      <c r="L12" s="36">
        <f t="shared" ref="L12:L42" si="6">IF($H$4="-",0,IF($H$4="VAREJO",AW12,IF($H$4="ATACADO",AX12,0)))</f>
        <v>0</v>
      </c>
      <c r="M12" s="33"/>
      <c r="AD12" s="37" t="str">
        <f>$C$8</f>
        <v>-</v>
      </c>
      <c r="AE12" s="37" t="s">
        <v>34</v>
      </c>
      <c r="AF12" s="37" t="str">
        <f t="shared" ref="AF12:AF14" si="7">AD12&amp;AE12</f>
        <v>-B</v>
      </c>
      <c r="AG12" s="72">
        <f>VLOOKUP(AF12,PARÂMETROS!$A$4:$I$403,5,0)</f>
        <v>0</v>
      </c>
      <c r="AH12" s="38">
        <f>VLOOKUP(AF12,PARÂMETROS!$A$4:$I$403,6,0)</f>
        <v>0</v>
      </c>
      <c r="AI12" s="39">
        <f>VLOOKUP(AF12,PARÂMETROS!$A$4:$I$403,7,0)</f>
        <v>0</v>
      </c>
      <c r="AJ12" s="39">
        <f>VLOOKUP(AF12,PARÂMETROS!$A$4:$I$403,8,0)</f>
        <v>0</v>
      </c>
      <c r="AK12" s="40">
        <f>VLOOKUP(AF12,PARÂMETROS!$A$4:$I$403,9,0)</f>
        <v>0</v>
      </c>
      <c r="AN12" s="47">
        <v>2</v>
      </c>
      <c r="AO12" s="42">
        <f t="shared" si="0"/>
        <v>0</v>
      </c>
      <c r="AP12" s="43">
        <f t="shared" si="1"/>
        <v>0</v>
      </c>
      <c r="AQ12" s="42">
        <f t="shared" si="2"/>
        <v>0</v>
      </c>
      <c r="AR12" s="44">
        <f t="shared" ref="AR12:AR75" si="8">AO12+AQ12</f>
        <v>0</v>
      </c>
      <c r="AT12" s="39">
        <f t="shared" si="3"/>
        <v>0</v>
      </c>
      <c r="AU12" s="39">
        <f t="shared" si="4"/>
        <v>0</v>
      </c>
      <c r="AW12" s="45">
        <f t="shared" ref="AW12:AW75" si="9">AR12*AT12</f>
        <v>0</v>
      </c>
      <c r="AX12" s="45">
        <f t="shared" ref="AX12:AX75" si="10">AR12*AU12</f>
        <v>0</v>
      </c>
    </row>
    <row r="13" spans="1:50" ht="28.8" x14ac:dyDescent="0.3">
      <c r="A13" s="32">
        <v>3</v>
      </c>
      <c r="B13" s="33"/>
      <c r="C13" s="33"/>
      <c r="D13" s="33"/>
      <c r="E13" s="33" t="s">
        <v>24</v>
      </c>
      <c r="F13" s="71" t="str">
        <f t="shared" si="5"/>
        <v>-</v>
      </c>
      <c r="G13" s="33"/>
      <c r="H13" s="33"/>
      <c r="I13" s="46"/>
      <c r="J13" s="35"/>
      <c r="K13" s="35"/>
      <c r="L13" s="36">
        <f t="shared" si="6"/>
        <v>0</v>
      </c>
      <c r="M13" s="33"/>
      <c r="AD13" s="37" t="str">
        <f>$C$8</f>
        <v>-</v>
      </c>
      <c r="AE13" s="37" t="s">
        <v>35</v>
      </c>
      <c r="AF13" s="37" t="str">
        <f t="shared" si="7"/>
        <v>-C</v>
      </c>
      <c r="AG13" s="72">
        <f>VLOOKUP(AF13,PARÂMETROS!$A$4:$I$403,5,0)</f>
        <v>0</v>
      </c>
      <c r="AH13" s="38">
        <f>VLOOKUP(AF13,PARÂMETROS!$A$4:$I$403,6,0)</f>
        <v>0</v>
      </c>
      <c r="AI13" s="39">
        <f>VLOOKUP(AF13,PARÂMETROS!$A$4:$I$403,7,0)</f>
        <v>0</v>
      </c>
      <c r="AJ13" s="39">
        <f>VLOOKUP(AF13,PARÂMETROS!$A$4:$I$403,8,0)</f>
        <v>0</v>
      </c>
      <c r="AK13" s="40">
        <f>VLOOKUP(AF13,PARÂMETROS!$A$4:$I$403,9,0)</f>
        <v>0</v>
      </c>
      <c r="AN13" s="47">
        <v>3</v>
      </c>
      <c r="AO13" s="42">
        <f t="shared" si="0"/>
        <v>0</v>
      </c>
      <c r="AP13" s="43">
        <f t="shared" si="1"/>
        <v>0</v>
      </c>
      <c r="AQ13" s="42">
        <f t="shared" si="2"/>
        <v>0</v>
      </c>
      <c r="AR13" s="44">
        <f t="shared" si="8"/>
        <v>0</v>
      </c>
      <c r="AT13" s="39">
        <f t="shared" si="3"/>
        <v>0</v>
      </c>
      <c r="AU13" s="39">
        <f t="shared" si="4"/>
        <v>0</v>
      </c>
      <c r="AW13" s="45">
        <f t="shared" si="9"/>
        <v>0</v>
      </c>
      <c r="AX13" s="45">
        <f t="shared" si="10"/>
        <v>0</v>
      </c>
    </row>
    <row r="14" spans="1:50" x14ac:dyDescent="0.3">
      <c r="A14" s="32">
        <v>4</v>
      </c>
      <c r="B14" s="33"/>
      <c r="C14" s="33"/>
      <c r="D14" s="33"/>
      <c r="E14" s="33" t="s">
        <v>24</v>
      </c>
      <c r="F14" s="71" t="str">
        <f t="shared" si="5"/>
        <v>-</v>
      </c>
      <c r="G14" s="33"/>
      <c r="H14" s="33"/>
      <c r="I14" s="46"/>
      <c r="J14" s="35"/>
      <c r="K14" s="35"/>
      <c r="L14" s="36">
        <f t="shared" si="6"/>
        <v>0</v>
      </c>
      <c r="M14" s="33"/>
      <c r="AD14" s="37" t="str">
        <f>$C$8</f>
        <v>-</v>
      </c>
      <c r="AE14" s="37" t="s">
        <v>36</v>
      </c>
      <c r="AF14" s="37" t="str">
        <f t="shared" si="7"/>
        <v>-D</v>
      </c>
      <c r="AG14" s="72">
        <f>VLOOKUP(AF14,PARÂMETROS!$A$4:$I$403,5,0)</f>
        <v>0</v>
      </c>
      <c r="AH14" s="38">
        <f>VLOOKUP(AF14,PARÂMETROS!$A$4:$I$403,6,0)</f>
        <v>0</v>
      </c>
      <c r="AI14" s="39">
        <f>VLOOKUP(AF14,PARÂMETROS!$A$4:$I$403,7,0)</f>
        <v>0</v>
      </c>
      <c r="AJ14" s="39">
        <f>VLOOKUP(AF14,PARÂMETROS!$A$4:$I$95,8,0)</f>
        <v>0</v>
      </c>
      <c r="AK14" s="40">
        <f>VLOOKUP(AF14,PARÂMETROS!$A$4:$I$403,9,0)</f>
        <v>0</v>
      </c>
      <c r="AN14" s="47">
        <v>4</v>
      </c>
      <c r="AO14" s="42">
        <f t="shared" si="0"/>
        <v>0</v>
      </c>
      <c r="AP14" s="43">
        <f t="shared" si="1"/>
        <v>0</v>
      </c>
      <c r="AQ14" s="42">
        <f t="shared" si="2"/>
        <v>0</v>
      </c>
      <c r="AR14" s="44">
        <f t="shared" si="8"/>
        <v>0</v>
      </c>
      <c r="AT14" s="39">
        <f t="shared" si="3"/>
        <v>0</v>
      </c>
      <c r="AU14" s="39">
        <f t="shared" si="4"/>
        <v>0</v>
      </c>
      <c r="AW14" s="45">
        <f t="shared" si="9"/>
        <v>0</v>
      </c>
      <c r="AX14" s="45">
        <f t="shared" si="10"/>
        <v>0</v>
      </c>
    </row>
    <row r="15" spans="1:50" x14ac:dyDescent="0.3">
      <c r="A15" s="32">
        <v>5</v>
      </c>
      <c r="B15" s="33"/>
      <c r="C15" s="33"/>
      <c r="D15" s="33"/>
      <c r="E15" s="33" t="s">
        <v>24</v>
      </c>
      <c r="F15" s="71" t="str">
        <f t="shared" si="5"/>
        <v>-</v>
      </c>
      <c r="G15" s="33"/>
      <c r="H15" s="33"/>
      <c r="I15" s="46"/>
      <c r="J15" s="35"/>
      <c r="K15" s="35"/>
      <c r="L15" s="36">
        <f t="shared" si="6"/>
        <v>0</v>
      </c>
      <c r="M15" s="33"/>
      <c r="AN15" s="47">
        <v>5</v>
      </c>
      <c r="AO15" s="42">
        <f t="shared" si="0"/>
        <v>0</v>
      </c>
      <c r="AP15" s="43">
        <f t="shared" si="1"/>
        <v>0</v>
      </c>
      <c r="AQ15" s="42">
        <f t="shared" si="2"/>
        <v>0</v>
      </c>
      <c r="AR15" s="44">
        <f t="shared" si="8"/>
        <v>0</v>
      </c>
      <c r="AT15" s="39">
        <f t="shared" si="3"/>
        <v>0</v>
      </c>
      <c r="AU15" s="39">
        <f t="shared" si="4"/>
        <v>0</v>
      </c>
      <c r="AW15" s="45">
        <f t="shared" si="9"/>
        <v>0</v>
      </c>
      <c r="AX15" s="45">
        <f t="shared" si="10"/>
        <v>0</v>
      </c>
    </row>
    <row r="16" spans="1:50" x14ac:dyDescent="0.3">
      <c r="A16" s="32">
        <v>6</v>
      </c>
      <c r="B16" s="33"/>
      <c r="C16" s="33"/>
      <c r="D16" s="33"/>
      <c r="E16" s="33" t="s">
        <v>24</v>
      </c>
      <c r="F16" s="71" t="str">
        <f t="shared" si="5"/>
        <v>-</v>
      </c>
      <c r="G16" s="33"/>
      <c r="H16" s="33"/>
      <c r="I16" s="46"/>
      <c r="J16" s="35"/>
      <c r="K16" s="35"/>
      <c r="L16" s="36">
        <f t="shared" si="6"/>
        <v>0</v>
      </c>
      <c r="M16" s="33"/>
      <c r="AN16" s="47">
        <v>6</v>
      </c>
      <c r="AO16" s="42">
        <f t="shared" si="0"/>
        <v>0</v>
      </c>
      <c r="AP16" s="43">
        <f t="shared" si="1"/>
        <v>0</v>
      </c>
      <c r="AQ16" s="42">
        <f t="shared" si="2"/>
        <v>0</v>
      </c>
      <c r="AR16" s="44">
        <f t="shared" si="8"/>
        <v>0</v>
      </c>
      <c r="AT16" s="39">
        <f t="shared" si="3"/>
        <v>0</v>
      </c>
      <c r="AU16" s="39">
        <f t="shared" si="4"/>
        <v>0</v>
      </c>
      <c r="AW16" s="45">
        <f t="shared" si="9"/>
        <v>0</v>
      </c>
      <c r="AX16" s="45">
        <f t="shared" si="10"/>
        <v>0</v>
      </c>
    </row>
    <row r="17" spans="1:50" x14ac:dyDescent="0.3">
      <c r="A17" s="32">
        <v>7</v>
      </c>
      <c r="B17" s="33"/>
      <c r="C17" s="33"/>
      <c r="D17" s="33"/>
      <c r="E17" s="33" t="s">
        <v>24</v>
      </c>
      <c r="F17" s="71" t="str">
        <f t="shared" si="5"/>
        <v>-</v>
      </c>
      <c r="G17" s="33"/>
      <c r="H17" s="33"/>
      <c r="I17" s="46"/>
      <c r="J17" s="35"/>
      <c r="K17" s="35"/>
      <c r="L17" s="36">
        <f t="shared" si="6"/>
        <v>0</v>
      </c>
      <c r="M17" s="33"/>
      <c r="AN17" s="47">
        <v>7</v>
      </c>
      <c r="AO17" s="42">
        <f t="shared" si="0"/>
        <v>0</v>
      </c>
      <c r="AP17" s="43">
        <f t="shared" si="1"/>
        <v>0</v>
      </c>
      <c r="AQ17" s="42">
        <f t="shared" si="2"/>
        <v>0</v>
      </c>
      <c r="AR17" s="44">
        <f t="shared" si="8"/>
        <v>0</v>
      </c>
      <c r="AT17" s="39">
        <f t="shared" si="3"/>
        <v>0</v>
      </c>
      <c r="AU17" s="39">
        <f t="shared" si="4"/>
        <v>0</v>
      </c>
      <c r="AW17" s="45">
        <f t="shared" si="9"/>
        <v>0</v>
      </c>
      <c r="AX17" s="45">
        <f t="shared" si="10"/>
        <v>0</v>
      </c>
    </row>
    <row r="18" spans="1:50" x14ac:dyDescent="0.3">
      <c r="A18" s="32">
        <v>8</v>
      </c>
      <c r="B18" s="33"/>
      <c r="C18" s="33"/>
      <c r="D18" s="33"/>
      <c r="E18" s="33" t="s">
        <v>24</v>
      </c>
      <c r="F18" s="71" t="str">
        <f t="shared" si="5"/>
        <v>-</v>
      </c>
      <c r="G18" s="33"/>
      <c r="H18" s="33"/>
      <c r="I18" s="46"/>
      <c r="J18" s="35"/>
      <c r="K18" s="35"/>
      <c r="L18" s="36">
        <f t="shared" si="6"/>
        <v>0</v>
      </c>
      <c r="M18" s="33"/>
      <c r="AN18" s="47">
        <v>8</v>
      </c>
      <c r="AO18" s="42">
        <f t="shared" si="0"/>
        <v>0</v>
      </c>
      <c r="AP18" s="43">
        <f t="shared" si="1"/>
        <v>0</v>
      </c>
      <c r="AQ18" s="42">
        <f t="shared" si="2"/>
        <v>0</v>
      </c>
      <c r="AR18" s="44">
        <f t="shared" si="8"/>
        <v>0</v>
      </c>
      <c r="AT18" s="39">
        <f t="shared" si="3"/>
        <v>0</v>
      </c>
      <c r="AU18" s="39">
        <f t="shared" si="4"/>
        <v>0</v>
      </c>
      <c r="AW18" s="45">
        <f t="shared" si="9"/>
        <v>0</v>
      </c>
      <c r="AX18" s="45">
        <f t="shared" si="10"/>
        <v>0</v>
      </c>
    </row>
    <row r="19" spans="1:50" x14ac:dyDescent="0.3">
      <c r="A19" s="32">
        <v>9</v>
      </c>
      <c r="B19" s="33"/>
      <c r="C19" s="33"/>
      <c r="D19" s="33"/>
      <c r="E19" s="33" t="s">
        <v>24</v>
      </c>
      <c r="F19" s="71" t="str">
        <f t="shared" si="5"/>
        <v>-</v>
      </c>
      <c r="G19" s="33"/>
      <c r="H19" s="33"/>
      <c r="I19" s="46"/>
      <c r="J19" s="35"/>
      <c r="K19" s="35"/>
      <c r="L19" s="36">
        <f t="shared" si="6"/>
        <v>0</v>
      </c>
      <c r="M19" s="33"/>
      <c r="AN19" s="47">
        <v>9</v>
      </c>
      <c r="AO19" s="42">
        <f t="shared" si="0"/>
        <v>0</v>
      </c>
      <c r="AP19" s="43">
        <f t="shared" si="1"/>
        <v>0</v>
      </c>
      <c r="AQ19" s="42">
        <f t="shared" si="2"/>
        <v>0</v>
      </c>
      <c r="AR19" s="44">
        <f t="shared" si="8"/>
        <v>0</v>
      </c>
      <c r="AT19" s="39">
        <f t="shared" si="3"/>
        <v>0</v>
      </c>
      <c r="AU19" s="39">
        <f t="shared" si="4"/>
        <v>0</v>
      </c>
      <c r="AW19" s="45">
        <f t="shared" si="9"/>
        <v>0</v>
      </c>
      <c r="AX19" s="45">
        <f t="shared" si="10"/>
        <v>0</v>
      </c>
    </row>
    <row r="20" spans="1:50" x14ac:dyDescent="0.3">
      <c r="A20" s="32">
        <v>10</v>
      </c>
      <c r="B20" s="33"/>
      <c r="C20" s="33"/>
      <c r="D20" s="33"/>
      <c r="E20" s="33" t="s">
        <v>24</v>
      </c>
      <c r="F20" s="71" t="str">
        <f t="shared" si="5"/>
        <v>-</v>
      </c>
      <c r="G20" s="33"/>
      <c r="H20" s="33"/>
      <c r="I20" s="46"/>
      <c r="J20" s="35"/>
      <c r="K20" s="35"/>
      <c r="L20" s="36">
        <f t="shared" si="6"/>
        <v>0</v>
      </c>
      <c r="M20" s="33"/>
      <c r="AN20" s="47">
        <v>10</v>
      </c>
      <c r="AO20" s="42">
        <f t="shared" si="0"/>
        <v>0</v>
      </c>
      <c r="AP20" s="43">
        <f t="shared" si="1"/>
        <v>0</v>
      </c>
      <c r="AQ20" s="42">
        <f t="shared" si="2"/>
        <v>0</v>
      </c>
      <c r="AR20" s="44">
        <f t="shared" si="8"/>
        <v>0</v>
      </c>
      <c r="AT20" s="39">
        <f t="shared" si="3"/>
        <v>0</v>
      </c>
      <c r="AU20" s="39">
        <f t="shared" si="4"/>
        <v>0</v>
      </c>
      <c r="AW20" s="45">
        <f t="shared" si="9"/>
        <v>0</v>
      </c>
      <c r="AX20" s="45">
        <f t="shared" si="10"/>
        <v>0</v>
      </c>
    </row>
    <row r="21" spans="1:50" x14ac:dyDescent="0.3">
      <c r="A21" s="32">
        <v>11</v>
      </c>
      <c r="B21" s="33"/>
      <c r="C21" s="33"/>
      <c r="D21" s="33"/>
      <c r="E21" s="33" t="s">
        <v>24</v>
      </c>
      <c r="F21" s="71" t="str">
        <f t="shared" si="5"/>
        <v>-</v>
      </c>
      <c r="G21" s="33"/>
      <c r="H21" s="33"/>
      <c r="I21" s="46"/>
      <c r="J21" s="35"/>
      <c r="K21" s="35"/>
      <c r="L21" s="36">
        <f t="shared" si="6"/>
        <v>0</v>
      </c>
      <c r="M21" s="33"/>
      <c r="AN21" s="47">
        <v>11</v>
      </c>
      <c r="AO21" s="42">
        <f t="shared" si="0"/>
        <v>0</v>
      </c>
      <c r="AP21" s="43">
        <f t="shared" si="1"/>
        <v>0</v>
      </c>
      <c r="AQ21" s="42">
        <f t="shared" si="2"/>
        <v>0</v>
      </c>
      <c r="AR21" s="44">
        <f t="shared" si="8"/>
        <v>0</v>
      </c>
      <c r="AT21" s="39">
        <f t="shared" si="3"/>
        <v>0</v>
      </c>
      <c r="AU21" s="39">
        <f t="shared" si="4"/>
        <v>0</v>
      </c>
      <c r="AW21" s="45">
        <f t="shared" si="9"/>
        <v>0</v>
      </c>
      <c r="AX21" s="45">
        <f t="shared" si="10"/>
        <v>0</v>
      </c>
    </row>
    <row r="22" spans="1:50" x14ac:dyDescent="0.3">
      <c r="A22" s="32">
        <v>12</v>
      </c>
      <c r="B22" s="33"/>
      <c r="C22" s="33"/>
      <c r="D22" s="33"/>
      <c r="E22" s="33" t="s">
        <v>24</v>
      </c>
      <c r="F22" s="71" t="str">
        <f t="shared" si="5"/>
        <v>-</v>
      </c>
      <c r="G22" s="33"/>
      <c r="H22" s="33"/>
      <c r="I22" s="46"/>
      <c r="J22" s="35"/>
      <c r="K22" s="35"/>
      <c r="L22" s="36">
        <f t="shared" si="6"/>
        <v>0</v>
      </c>
      <c r="M22" s="33"/>
      <c r="AN22" s="47">
        <v>12</v>
      </c>
      <c r="AO22" s="42">
        <f t="shared" si="0"/>
        <v>0</v>
      </c>
      <c r="AP22" s="43">
        <f t="shared" si="1"/>
        <v>0</v>
      </c>
      <c r="AQ22" s="42">
        <f t="shared" si="2"/>
        <v>0</v>
      </c>
      <c r="AR22" s="44">
        <f t="shared" si="8"/>
        <v>0</v>
      </c>
      <c r="AT22" s="39">
        <f t="shared" si="3"/>
        <v>0</v>
      </c>
      <c r="AU22" s="39">
        <f t="shared" si="4"/>
        <v>0</v>
      </c>
      <c r="AW22" s="45">
        <f t="shared" si="9"/>
        <v>0</v>
      </c>
      <c r="AX22" s="45">
        <f t="shared" si="10"/>
        <v>0</v>
      </c>
    </row>
    <row r="23" spans="1:50" x14ac:dyDescent="0.3">
      <c r="A23" s="32">
        <v>13</v>
      </c>
      <c r="B23" s="33"/>
      <c r="C23" s="33"/>
      <c r="D23" s="33"/>
      <c r="E23" s="33" t="s">
        <v>24</v>
      </c>
      <c r="F23" s="71" t="str">
        <f t="shared" si="5"/>
        <v>-</v>
      </c>
      <c r="G23" s="33"/>
      <c r="H23" s="33"/>
      <c r="I23" s="46"/>
      <c r="J23" s="35"/>
      <c r="K23" s="35"/>
      <c r="L23" s="36">
        <f t="shared" si="6"/>
        <v>0</v>
      </c>
      <c r="M23" s="33"/>
      <c r="AN23" s="47">
        <v>13</v>
      </c>
      <c r="AO23" s="42">
        <f t="shared" si="0"/>
        <v>0</v>
      </c>
      <c r="AP23" s="43">
        <f t="shared" si="1"/>
        <v>0</v>
      </c>
      <c r="AQ23" s="42">
        <f t="shared" si="2"/>
        <v>0</v>
      </c>
      <c r="AR23" s="44">
        <f t="shared" si="8"/>
        <v>0</v>
      </c>
      <c r="AT23" s="39">
        <f t="shared" si="3"/>
        <v>0</v>
      </c>
      <c r="AU23" s="39">
        <f t="shared" si="4"/>
        <v>0</v>
      </c>
      <c r="AW23" s="45">
        <f t="shared" si="9"/>
        <v>0</v>
      </c>
      <c r="AX23" s="45">
        <f t="shared" si="10"/>
        <v>0</v>
      </c>
    </row>
    <row r="24" spans="1:50" x14ac:dyDescent="0.3">
      <c r="A24" s="32">
        <v>14</v>
      </c>
      <c r="B24" s="33"/>
      <c r="C24" s="33"/>
      <c r="D24" s="33"/>
      <c r="E24" s="33" t="s">
        <v>24</v>
      </c>
      <c r="F24" s="71" t="str">
        <f t="shared" si="5"/>
        <v>-</v>
      </c>
      <c r="G24" s="33"/>
      <c r="H24" s="33"/>
      <c r="I24" s="46"/>
      <c r="J24" s="35"/>
      <c r="K24" s="35"/>
      <c r="L24" s="36">
        <f t="shared" si="6"/>
        <v>0</v>
      </c>
      <c r="M24" s="33"/>
      <c r="AN24" s="47">
        <v>14</v>
      </c>
      <c r="AO24" s="42">
        <f t="shared" si="0"/>
        <v>0</v>
      </c>
      <c r="AP24" s="43">
        <f t="shared" si="1"/>
        <v>0</v>
      </c>
      <c r="AQ24" s="42">
        <f t="shared" si="2"/>
        <v>0</v>
      </c>
      <c r="AR24" s="44">
        <f t="shared" si="8"/>
        <v>0</v>
      </c>
      <c r="AT24" s="39">
        <f t="shared" si="3"/>
        <v>0</v>
      </c>
      <c r="AU24" s="39">
        <f t="shared" si="4"/>
        <v>0</v>
      </c>
      <c r="AW24" s="45">
        <f t="shared" si="9"/>
        <v>0</v>
      </c>
      <c r="AX24" s="45">
        <f t="shared" si="10"/>
        <v>0</v>
      </c>
    </row>
    <row r="25" spans="1:50" x14ac:dyDescent="0.3">
      <c r="A25" s="32">
        <v>15</v>
      </c>
      <c r="B25" s="33"/>
      <c r="C25" s="33"/>
      <c r="D25" s="33"/>
      <c r="E25" s="33" t="s">
        <v>24</v>
      </c>
      <c r="F25" s="71" t="str">
        <f t="shared" si="5"/>
        <v>-</v>
      </c>
      <c r="G25" s="33"/>
      <c r="H25" s="33"/>
      <c r="I25" s="46"/>
      <c r="J25" s="35"/>
      <c r="K25" s="35"/>
      <c r="L25" s="36">
        <f t="shared" si="6"/>
        <v>0</v>
      </c>
      <c r="M25" s="33"/>
      <c r="AN25" s="47">
        <v>15</v>
      </c>
      <c r="AO25" s="42">
        <f t="shared" si="0"/>
        <v>0</v>
      </c>
      <c r="AP25" s="43">
        <f t="shared" si="1"/>
        <v>0</v>
      </c>
      <c r="AQ25" s="42">
        <f t="shared" si="2"/>
        <v>0</v>
      </c>
      <c r="AR25" s="44">
        <f t="shared" si="8"/>
        <v>0</v>
      </c>
      <c r="AT25" s="39">
        <f t="shared" si="3"/>
        <v>0</v>
      </c>
      <c r="AU25" s="39">
        <f t="shared" si="4"/>
        <v>0</v>
      </c>
      <c r="AW25" s="45">
        <f t="shared" si="9"/>
        <v>0</v>
      </c>
      <c r="AX25" s="45">
        <f t="shared" si="10"/>
        <v>0</v>
      </c>
    </row>
    <row r="26" spans="1:50" x14ac:dyDescent="0.3">
      <c r="A26" s="32">
        <v>16</v>
      </c>
      <c r="B26" s="33"/>
      <c r="C26" s="33"/>
      <c r="D26" s="33"/>
      <c r="E26" s="33" t="s">
        <v>24</v>
      </c>
      <c r="F26" s="71" t="str">
        <f t="shared" si="5"/>
        <v>-</v>
      </c>
      <c r="G26" s="33"/>
      <c r="H26" s="33"/>
      <c r="I26" s="46"/>
      <c r="J26" s="35"/>
      <c r="K26" s="35"/>
      <c r="L26" s="36">
        <f t="shared" si="6"/>
        <v>0</v>
      </c>
      <c r="M26" s="33"/>
      <c r="AN26" s="47">
        <v>16</v>
      </c>
      <c r="AO26" s="42">
        <f t="shared" si="0"/>
        <v>0</v>
      </c>
      <c r="AP26" s="43">
        <f t="shared" si="1"/>
        <v>0</v>
      </c>
      <c r="AQ26" s="42">
        <f t="shared" si="2"/>
        <v>0</v>
      </c>
      <c r="AR26" s="44">
        <f t="shared" si="8"/>
        <v>0</v>
      </c>
      <c r="AT26" s="39">
        <f t="shared" si="3"/>
        <v>0</v>
      </c>
      <c r="AU26" s="39">
        <f t="shared" si="4"/>
        <v>0</v>
      </c>
      <c r="AW26" s="45">
        <f t="shared" si="9"/>
        <v>0</v>
      </c>
      <c r="AX26" s="45">
        <f t="shared" si="10"/>
        <v>0</v>
      </c>
    </row>
    <row r="27" spans="1:50" x14ac:dyDescent="0.3">
      <c r="A27" s="32">
        <v>17</v>
      </c>
      <c r="B27" s="33"/>
      <c r="C27" s="33"/>
      <c r="D27" s="33"/>
      <c r="E27" s="33" t="s">
        <v>24</v>
      </c>
      <c r="F27" s="71" t="str">
        <f t="shared" si="5"/>
        <v>-</v>
      </c>
      <c r="G27" s="33"/>
      <c r="H27" s="33"/>
      <c r="I27" s="46"/>
      <c r="J27" s="35"/>
      <c r="K27" s="35"/>
      <c r="L27" s="36">
        <f t="shared" si="6"/>
        <v>0</v>
      </c>
      <c r="M27" s="33"/>
      <c r="AN27" s="47">
        <v>17</v>
      </c>
      <c r="AO27" s="42">
        <f t="shared" si="0"/>
        <v>0</v>
      </c>
      <c r="AP27" s="43">
        <f t="shared" si="1"/>
        <v>0</v>
      </c>
      <c r="AQ27" s="42">
        <f t="shared" si="2"/>
        <v>0</v>
      </c>
      <c r="AR27" s="44">
        <f t="shared" si="8"/>
        <v>0</v>
      </c>
      <c r="AT27" s="39">
        <f t="shared" si="3"/>
        <v>0</v>
      </c>
      <c r="AU27" s="39">
        <f t="shared" si="4"/>
        <v>0</v>
      </c>
      <c r="AW27" s="45">
        <f t="shared" si="9"/>
        <v>0</v>
      </c>
      <c r="AX27" s="45">
        <f t="shared" si="10"/>
        <v>0</v>
      </c>
    </row>
    <row r="28" spans="1:50" x14ac:dyDescent="0.3">
      <c r="A28" s="32">
        <v>18</v>
      </c>
      <c r="B28" s="33"/>
      <c r="C28" s="33"/>
      <c r="D28" s="33"/>
      <c r="E28" s="33" t="s">
        <v>24</v>
      </c>
      <c r="F28" s="71" t="str">
        <f t="shared" si="5"/>
        <v>-</v>
      </c>
      <c r="G28" s="33"/>
      <c r="H28" s="33"/>
      <c r="I28" s="46"/>
      <c r="J28" s="35"/>
      <c r="K28" s="35"/>
      <c r="L28" s="36">
        <f t="shared" si="6"/>
        <v>0</v>
      </c>
      <c r="M28" s="33"/>
      <c r="AN28" s="47">
        <v>18</v>
      </c>
      <c r="AO28" s="42">
        <f t="shared" si="0"/>
        <v>0</v>
      </c>
      <c r="AP28" s="43">
        <f t="shared" si="1"/>
        <v>0</v>
      </c>
      <c r="AQ28" s="42">
        <f t="shared" si="2"/>
        <v>0</v>
      </c>
      <c r="AR28" s="44">
        <f t="shared" si="8"/>
        <v>0</v>
      </c>
      <c r="AT28" s="39">
        <f t="shared" si="3"/>
        <v>0</v>
      </c>
      <c r="AU28" s="39">
        <f t="shared" si="4"/>
        <v>0</v>
      </c>
      <c r="AW28" s="45">
        <f t="shared" si="9"/>
        <v>0</v>
      </c>
      <c r="AX28" s="45">
        <f t="shared" si="10"/>
        <v>0</v>
      </c>
    </row>
    <row r="29" spans="1:50" x14ac:dyDescent="0.3">
      <c r="A29" s="32">
        <v>19</v>
      </c>
      <c r="B29" s="33"/>
      <c r="C29" s="33"/>
      <c r="D29" s="33"/>
      <c r="E29" s="33" t="s">
        <v>24</v>
      </c>
      <c r="F29" s="71" t="str">
        <f t="shared" si="5"/>
        <v>-</v>
      </c>
      <c r="G29" s="33"/>
      <c r="H29" s="33"/>
      <c r="I29" s="46"/>
      <c r="J29" s="35"/>
      <c r="K29" s="35"/>
      <c r="L29" s="36">
        <f t="shared" si="6"/>
        <v>0</v>
      </c>
      <c r="M29" s="33"/>
      <c r="AN29" s="47">
        <v>19</v>
      </c>
      <c r="AO29" s="42">
        <f t="shared" si="0"/>
        <v>0</v>
      </c>
      <c r="AP29" s="43">
        <f t="shared" si="1"/>
        <v>0</v>
      </c>
      <c r="AQ29" s="42">
        <f t="shared" si="2"/>
        <v>0</v>
      </c>
      <c r="AR29" s="44">
        <f t="shared" si="8"/>
        <v>0</v>
      </c>
      <c r="AT29" s="39">
        <f t="shared" si="3"/>
        <v>0</v>
      </c>
      <c r="AU29" s="39">
        <f t="shared" si="4"/>
        <v>0</v>
      </c>
      <c r="AW29" s="45">
        <f t="shared" si="9"/>
        <v>0</v>
      </c>
      <c r="AX29" s="45">
        <f t="shared" si="10"/>
        <v>0</v>
      </c>
    </row>
    <row r="30" spans="1:50" x14ac:dyDescent="0.3">
      <c r="A30" s="32">
        <v>20</v>
      </c>
      <c r="B30" s="33"/>
      <c r="C30" s="33"/>
      <c r="D30" s="33"/>
      <c r="E30" s="33" t="s">
        <v>24</v>
      </c>
      <c r="F30" s="71" t="str">
        <f t="shared" si="5"/>
        <v>-</v>
      </c>
      <c r="G30" s="33"/>
      <c r="H30" s="33"/>
      <c r="I30" s="46"/>
      <c r="J30" s="35"/>
      <c r="K30" s="35"/>
      <c r="L30" s="36">
        <f t="shared" si="6"/>
        <v>0</v>
      </c>
      <c r="M30" s="33"/>
      <c r="AN30" s="47">
        <v>20</v>
      </c>
      <c r="AO30" s="42">
        <f t="shared" si="0"/>
        <v>0</v>
      </c>
      <c r="AP30" s="43">
        <f t="shared" si="1"/>
        <v>0</v>
      </c>
      <c r="AQ30" s="42">
        <f t="shared" si="2"/>
        <v>0</v>
      </c>
      <c r="AR30" s="44">
        <f t="shared" si="8"/>
        <v>0</v>
      </c>
      <c r="AT30" s="39">
        <f t="shared" si="3"/>
        <v>0</v>
      </c>
      <c r="AU30" s="39">
        <f t="shared" si="4"/>
        <v>0</v>
      </c>
      <c r="AW30" s="45">
        <f t="shared" si="9"/>
        <v>0</v>
      </c>
      <c r="AX30" s="45">
        <f t="shared" si="10"/>
        <v>0</v>
      </c>
    </row>
    <row r="31" spans="1:50" x14ac:dyDescent="0.3">
      <c r="A31" s="32">
        <v>21</v>
      </c>
      <c r="B31" s="33"/>
      <c r="C31" s="33"/>
      <c r="D31" s="33"/>
      <c r="E31" s="33" t="s">
        <v>24</v>
      </c>
      <c r="F31" s="71" t="str">
        <f t="shared" si="5"/>
        <v>-</v>
      </c>
      <c r="G31" s="33"/>
      <c r="H31" s="33"/>
      <c r="I31" s="46"/>
      <c r="J31" s="35"/>
      <c r="K31" s="35"/>
      <c r="L31" s="36">
        <f t="shared" si="6"/>
        <v>0</v>
      </c>
      <c r="M31" s="33"/>
      <c r="AN31" s="47">
        <v>21</v>
      </c>
      <c r="AO31" s="42">
        <f t="shared" si="0"/>
        <v>0</v>
      </c>
      <c r="AP31" s="43">
        <f t="shared" si="1"/>
        <v>0</v>
      </c>
      <c r="AQ31" s="42">
        <f t="shared" si="2"/>
        <v>0</v>
      </c>
      <c r="AR31" s="44">
        <f t="shared" si="8"/>
        <v>0</v>
      </c>
      <c r="AT31" s="39">
        <f t="shared" si="3"/>
        <v>0</v>
      </c>
      <c r="AU31" s="39">
        <f t="shared" si="4"/>
        <v>0</v>
      </c>
      <c r="AW31" s="45">
        <f t="shared" si="9"/>
        <v>0</v>
      </c>
      <c r="AX31" s="45">
        <f t="shared" si="10"/>
        <v>0</v>
      </c>
    </row>
    <row r="32" spans="1:50" x14ac:dyDescent="0.3">
      <c r="A32" s="32">
        <v>22</v>
      </c>
      <c r="B32" s="33"/>
      <c r="C32" s="33"/>
      <c r="D32" s="33"/>
      <c r="E32" s="33" t="s">
        <v>24</v>
      </c>
      <c r="F32" s="71" t="str">
        <f t="shared" si="5"/>
        <v>-</v>
      </c>
      <c r="G32" s="33"/>
      <c r="H32" s="33"/>
      <c r="I32" s="46"/>
      <c r="J32" s="35"/>
      <c r="K32" s="35"/>
      <c r="L32" s="36">
        <f t="shared" si="6"/>
        <v>0</v>
      </c>
      <c r="M32" s="33"/>
      <c r="AN32" s="47">
        <v>22</v>
      </c>
      <c r="AO32" s="42">
        <f t="shared" si="0"/>
        <v>0</v>
      </c>
      <c r="AP32" s="43">
        <f t="shared" si="1"/>
        <v>0</v>
      </c>
      <c r="AQ32" s="42">
        <f t="shared" si="2"/>
        <v>0</v>
      </c>
      <c r="AR32" s="44">
        <f t="shared" si="8"/>
        <v>0</v>
      </c>
      <c r="AT32" s="39">
        <f t="shared" si="3"/>
        <v>0</v>
      </c>
      <c r="AU32" s="39">
        <f t="shared" si="4"/>
        <v>0</v>
      </c>
      <c r="AW32" s="45">
        <f t="shared" si="9"/>
        <v>0</v>
      </c>
      <c r="AX32" s="45">
        <f t="shared" si="10"/>
        <v>0</v>
      </c>
    </row>
    <row r="33" spans="1:50" x14ac:dyDescent="0.3">
      <c r="A33" s="32">
        <v>23</v>
      </c>
      <c r="B33" s="33"/>
      <c r="C33" s="33"/>
      <c r="D33" s="33"/>
      <c r="E33" s="33" t="s">
        <v>24</v>
      </c>
      <c r="F33" s="71" t="str">
        <f t="shared" si="5"/>
        <v>-</v>
      </c>
      <c r="G33" s="33"/>
      <c r="H33" s="33"/>
      <c r="I33" s="46"/>
      <c r="J33" s="35"/>
      <c r="K33" s="35"/>
      <c r="L33" s="36">
        <f t="shared" si="6"/>
        <v>0</v>
      </c>
      <c r="M33" s="33"/>
      <c r="AN33" s="47">
        <v>23</v>
      </c>
      <c r="AO33" s="42">
        <f t="shared" si="0"/>
        <v>0</v>
      </c>
      <c r="AP33" s="43">
        <f t="shared" si="1"/>
        <v>0</v>
      </c>
      <c r="AQ33" s="42">
        <f t="shared" si="2"/>
        <v>0</v>
      </c>
      <c r="AR33" s="44">
        <f t="shared" si="8"/>
        <v>0</v>
      </c>
      <c r="AT33" s="39">
        <f t="shared" si="3"/>
        <v>0</v>
      </c>
      <c r="AU33" s="39">
        <f t="shared" si="4"/>
        <v>0</v>
      </c>
      <c r="AW33" s="45">
        <f t="shared" si="9"/>
        <v>0</v>
      </c>
      <c r="AX33" s="45">
        <f t="shared" si="10"/>
        <v>0</v>
      </c>
    </row>
    <row r="34" spans="1:50" x14ac:dyDescent="0.3">
      <c r="A34" s="32">
        <v>24</v>
      </c>
      <c r="B34" s="33"/>
      <c r="C34" s="33"/>
      <c r="D34" s="33"/>
      <c r="E34" s="33" t="s">
        <v>24</v>
      </c>
      <c r="F34" s="71" t="str">
        <f t="shared" si="5"/>
        <v>-</v>
      </c>
      <c r="G34" s="33"/>
      <c r="H34" s="33"/>
      <c r="I34" s="46"/>
      <c r="J34" s="35"/>
      <c r="K34" s="35"/>
      <c r="L34" s="36">
        <f t="shared" si="6"/>
        <v>0</v>
      </c>
      <c r="M34" s="33"/>
      <c r="AN34" s="47">
        <v>24</v>
      </c>
      <c r="AO34" s="42">
        <f t="shared" si="0"/>
        <v>0</v>
      </c>
      <c r="AP34" s="43">
        <f t="shared" si="1"/>
        <v>0</v>
      </c>
      <c r="AQ34" s="42">
        <f t="shared" si="2"/>
        <v>0</v>
      </c>
      <c r="AR34" s="44">
        <f t="shared" si="8"/>
        <v>0</v>
      </c>
      <c r="AT34" s="39">
        <f t="shared" si="3"/>
        <v>0</v>
      </c>
      <c r="AU34" s="39">
        <f t="shared" si="4"/>
        <v>0</v>
      </c>
      <c r="AW34" s="45">
        <f t="shared" si="9"/>
        <v>0</v>
      </c>
      <c r="AX34" s="45">
        <f t="shared" si="10"/>
        <v>0</v>
      </c>
    </row>
    <row r="35" spans="1:50" x14ac:dyDescent="0.3">
      <c r="A35" s="32">
        <v>25</v>
      </c>
      <c r="B35" s="33"/>
      <c r="C35" s="33"/>
      <c r="D35" s="33"/>
      <c r="E35" s="33" t="s">
        <v>24</v>
      </c>
      <c r="F35" s="71" t="str">
        <f t="shared" si="5"/>
        <v>-</v>
      </c>
      <c r="G35" s="33"/>
      <c r="H35" s="33"/>
      <c r="I35" s="46"/>
      <c r="J35" s="35"/>
      <c r="K35" s="35"/>
      <c r="L35" s="36">
        <f t="shared" si="6"/>
        <v>0</v>
      </c>
      <c r="M35" s="33"/>
      <c r="AN35" s="47">
        <v>25</v>
      </c>
      <c r="AO35" s="42">
        <f t="shared" si="0"/>
        <v>0</v>
      </c>
      <c r="AP35" s="43">
        <f t="shared" si="1"/>
        <v>0</v>
      </c>
      <c r="AQ35" s="42">
        <f t="shared" si="2"/>
        <v>0</v>
      </c>
      <c r="AR35" s="44">
        <f t="shared" si="8"/>
        <v>0</v>
      </c>
      <c r="AT35" s="39">
        <f t="shared" si="3"/>
        <v>0</v>
      </c>
      <c r="AU35" s="39">
        <f t="shared" si="4"/>
        <v>0</v>
      </c>
      <c r="AW35" s="45">
        <f t="shared" si="9"/>
        <v>0</v>
      </c>
      <c r="AX35" s="45">
        <f t="shared" si="10"/>
        <v>0</v>
      </c>
    </row>
    <row r="36" spans="1:50" x14ac:dyDescent="0.3">
      <c r="A36" s="32">
        <v>26</v>
      </c>
      <c r="B36" s="33"/>
      <c r="C36" s="33"/>
      <c r="D36" s="33"/>
      <c r="E36" s="33" t="s">
        <v>24</v>
      </c>
      <c r="F36" s="71" t="str">
        <f t="shared" si="5"/>
        <v>-</v>
      </c>
      <c r="G36" s="33"/>
      <c r="H36" s="33"/>
      <c r="I36" s="46"/>
      <c r="J36" s="35"/>
      <c r="K36" s="35"/>
      <c r="L36" s="36">
        <f t="shared" si="6"/>
        <v>0</v>
      </c>
      <c r="M36" s="33"/>
      <c r="AN36" s="47">
        <v>26</v>
      </c>
      <c r="AO36" s="42">
        <f t="shared" si="0"/>
        <v>0</v>
      </c>
      <c r="AP36" s="43">
        <f t="shared" si="1"/>
        <v>0</v>
      </c>
      <c r="AQ36" s="42">
        <f t="shared" si="2"/>
        <v>0</v>
      </c>
      <c r="AR36" s="44">
        <f t="shared" si="8"/>
        <v>0</v>
      </c>
      <c r="AT36" s="39">
        <f t="shared" si="3"/>
        <v>0</v>
      </c>
      <c r="AU36" s="39">
        <f t="shared" si="4"/>
        <v>0</v>
      </c>
      <c r="AW36" s="45">
        <f t="shared" si="9"/>
        <v>0</v>
      </c>
      <c r="AX36" s="45">
        <f t="shared" si="10"/>
        <v>0</v>
      </c>
    </row>
    <row r="37" spans="1:50" x14ac:dyDescent="0.3">
      <c r="A37" s="32">
        <v>27</v>
      </c>
      <c r="B37" s="33"/>
      <c r="C37" s="33"/>
      <c r="D37" s="33"/>
      <c r="E37" s="33" t="s">
        <v>24</v>
      </c>
      <c r="F37" s="71" t="str">
        <f t="shared" si="5"/>
        <v>-</v>
      </c>
      <c r="G37" s="33"/>
      <c r="H37" s="33"/>
      <c r="I37" s="46"/>
      <c r="J37" s="35"/>
      <c r="K37" s="35"/>
      <c r="L37" s="36">
        <f t="shared" si="6"/>
        <v>0</v>
      </c>
      <c r="M37" s="33"/>
      <c r="AN37" s="47">
        <v>27</v>
      </c>
      <c r="AO37" s="42">
        <f t="shared" si="0"/>
        <v>0</v>
      </c>
      <c r="AP37" s="43">
        <f t="shared" si="1"/>
        <v>0</v>
      </c>
      <c r="AQ37" s="42">
        <f t="shared" si="2"/>
        <v>0</v>
      </c>
      <c r="AR37" s="44">
        <f t="shared" si="8"/>
        <v>0</v>
      </c>
      <c r="AT37" s="39">
        <f t="shared" si="3"/>
        <v>0</v>
      </c>
      <c r="AU37" s="39">
        <f t="shared" si="4"/>
        <v>0</v>
      </c>
      <c r="AW37" s="45">
        <f t="shared" si="9"/>
        <v>0</v>
      </c>
      <c r="AX37" s="45">
        <f t="shared" si="10"/>
        <v>0</v>
      </c>
    </row>
    <row r="38" spans="1:50" x14ac:dyDescent="0.3">
      <c r="A38" s="32">
        <v>28</v>
      </c>
      <c r="B38" s="33"/>
      <c r="C38" s="33"/>
      <c r="D38" s="33"/>
      <c r="E38" s="33" t="s">
        <v>24</v>
      </c>
      <c r="F38" s="71" t="str">
        <f t="shared" si="5"/>
        <v>-</v>
      </c>
      <c r="G38" s="33"/>
      <c r="H38" s="33"/>
      <c r="I38" s="46"/>
      <c r="J38" s="35"/>
      <c r="K38" s="35"/>
      <c r="L38" s="36">
        <f t="shared" si="6"/>
        <v>0</v>
      </c>
      <c r="M38" s="33"/>
      <c r="AN38" s="47">
        <v>28</v>
      </c>
      <c r="AO38" s="42">
        <f t="shared" si="0"/>
        <v>0</v>
      </c>
      <c r="AP38" s="43">
        <f t="shared" si="1"/>
        <v>0</v>
      </c>
      <c r="AQ38" s="42">
        <f t="shared" si="2"/>
        <v>0</v>
      </c>
      <c r="AR38" s="44">
        <f t="shared" si="8"/>
        <v>0</v>
      </c>
      <c r="AT38" s="39">
        <f t="shared" si="3"/>
        <v>0</v>
      </c>
      <c r="AU38" s="39">
        <f t="shared" si="4"/>
        <v>0</v>
      </c>
      <c r="AW38" s="45">
        <f t="shared" si="9"/>
        <v>0</v>
      </c>
      <c r="AX38" s="45">
        <f t="shared" si="10"/>
        <v>0</v>
      </c>
    </row>
    <row r="39" spans="1:50" x14ac:dyDescent="0.3">
      <c r="A39" s="32">
        <v>29</v>
      </c>
      <c r="B39" s="33"/>
      <c r="C39" s="33"/>
      <c r="D39" s="33"/>
      <c r="E39" s="33" t="s">
        <v>24</v>
      </c>
      <c r="F39" s="71" t="str">
        <f t="shared" si="5"/>
        <v>-</v>
      </c>
      <c r="G39" s="33"/>
      <c r="H39" s="33"/>
      <c r="I39" s="46"/>
      <c r="J39" s="35"/>
      <c r="K39" s="35"/>
      <c r="L39" s="36">
        <f t="shared" si="6"/>
        <v>0</v>
      </c>
      <c r="M39" s="33"/>
      <c r="AN39" s="47">
        <v>29</v>
      </c>
      <c r="AO39" s="42">
        <f t="shared" si="0"/>
        <v>0</v>
      </c>
      <c r="AP39" s="43">
        <f t="shared" si="1"/>
        <v>0</v>
      </c>
      <c r="AQ39" s="42">
        <f t="shared" si="2"/>
        <v>0</v>
      </c>
      <c r="AR39" s="44">
        <f t="shared" si="8"/>
        <v>0</v>
      </c>
      <c r="AT39" s="39">
        <f t="shared" si="3"/>
        <v>0</v>
      </c>
      <c r="AU39" s="39">
        <f t="shared" si="4"/>
        <v>0</v>
      </c>
      <c r="AW39" s="45">
        <f t="shared" si="9"/>
        <v>0</v>
      </c>
      <c r="AX39" s="45">
        <f t="shared" si="10"/>
        <v>0</v>
      </c>
    </row>
    <row r="40" spans="1:50" x14ac:dyDescent="0.3">
      <c r="A40" s="32">
        <v>30</v>
      </c>
      <c r="B40" s="33"/>
      <c r="C40" s="33"/>
      <c r="D40" s="33"/>
      <c r="E40" s="33" t="s">
        <v>24</v>
      </c>
      <c r="F40" s="71" t="str">
        <f t="shared" si="5"/>
        <v>-</v>
      </c>
      <c r="G40" s="33"/>
      <c r="H40" s="33"/>
      <c r="I40" s="46"/>
      <c r="J40" s="35"/>
      <c r="K40" s="35"/>
      <c r="L40" s="36">
        <f t="shared" si="6"/>
        <v>0</v>
      </c>
      <c r="M40" s="33"/>
      <c r="AN40" s="47">
        <v>30</v>
      </c>
      <c r="AO40" s="42">
        <f t="shared" si="0"/>
        <v>0</v>
      </c>
      <c r="AP40" s="43">
        <f t="shared" si="1"/>
        <v>0</v>
      </c>
      <c r="AQ40" s="42">
        <f t="shared" si="2"/>
        <v>0</v>
      </c>
      <c r="AR40" s="44">
        <f t="shared" si="8"/>
        <v>0</v>
      </c>
      <c r="AT40" s="39">
        <f t="shared" si="3"/>
        <v>0</v>
      </c>
      <c r="AU40" s="39">
        <f t="shared" si="4"/>
        <v>0</v>
      </c>
      <c r="AW40" s="45">
        <f t="shared" si="9"/>
        <v>0</v>
      </c>
      <c r="AX40" s="45">
        <f t="shared" si="10"/>
        <v>0</v>
      </c>
    </row>
    <row r="41" spans="1:50" x14ac:dyDescent="0.3">
      <c r="A41" s="32">
        <v>31</v>
      </c>
      <c r="B41" s="33"/>
      <c r="C41" s="33"/>
      <c r="D41" s="33"/>
      <c r="E41" s="33" t="s">
        <v>24</v>
      </c>
      <c r="F41" s="71" t="str">
        <f t="shared" si="5"/>
        <v>-</v>
      </c>
      <c r="G41" s="33"/>
      <c r="H41" s="33"/>
      <c r="I41" s="46"/>
      <c r="J41" s="35"/>
      <c r="K41" s="35"/>
      <c r="L41" s="36">
        <f t="shared" si="6"/>
        <v>0</v>
      </c>
      <c r="M41" s="33"/>
      <c r="AN41" s="47">
        <v>31</v>
      </c>
      <c r="AO41" s="42">
        <f t="shared" si="0"/>
        <v>0</v>
      </c>
      <c r="AP41" s="43">
        <f t="shared" si="1"/>
        <v>0</v>
      </c>
      <c r="AQ41" s="42">
        <f t="shared" si="2"/>
        <v>0</v>
      </c>
      <c r="AR41" s="44">
        <f t="shared" si="8"/>
        <v>0</v>
      </c>
      <c r="AT41" s="39">
        <f t="shared" si="3"/>
        <v>0</v>
      </c>
      <c r="AU41" s="39">
        <f t="shared" si="4"/>
        <v>0</v>
      </c>
      <c r="AW41" s="45">
        <f t="shared" si="9"/>
        <v>0</v>
      </c>
      <c r="AX41" s="45">
        <f t="shared" si="10"/>
        <v>0</v>
      </c>
    </row>
    <row r="42" spans="1:50" x14ac:dyDescent="0.3">
      <c r="A42" s="32">
        <v>32</v>
      </c>
      <c r="B42" s="33"/>
      <c r="C42" s="33"/>
      <c r="D42" s="33"/>
      <c r="E42" s="33" t="s">
        <v>24</v>
      </c>
      <c r="F42" s="71" t="str">
        <f t="shared" si="5"/>
        <v>-</v>
      </c>
      <c r="G42" s="33"/>
      <c r="H42" s="33"/>
      <c r="I42" s="46"/>
      <c r="J42" s="35"/>
      <c r="K42" s="35"/>
      <c r="L42" s="36">
        <f t="shared" si="6"/>
        <v>0</v>
      </c>
      <c r="M42" s="33"/>
      <c r="AN42" s="47">
        <v>32</v>
      </c>
      <c r="AO42" s="42">
        <f t="shared" si="0"/>
        <v>0</v>
      </c>
      <c r="AP42" s="43">
        <f t="shared" si="1"/>
        <v>0</v>
      </c>
      <c r="AQ42" s="42">
        <f t="shared" si="2"/>
        <v>0</v>
      </c>
      <c r="AR42" s="44">
        <f t="shared" si="8"/>
        <v>0</v>
      </c>
      <c r="AT42" s="39">
        <f t="shared" si="3"/>
        <v>0</v>
      </c>
      <c r="AU42" s="39">
        <f t="shared" si="4"/>
        <v>0</v>
      </c>
      <c r="AW42" s="45">
        <f t="shared" si="9"/>
        <v>0</v>
      </c>
      <c r="AX42" s="45">
        <f t="shared" si="10"/>
        <v>0</v>
      </c>
    </row>
    <row r="43" spans="1:50" x14ac:dyDescent="0.3">
      <c r="A43" s="32">
        <v>33</v>
      </c>
      <c r="B43" s="33"/>
      <c r="C43" s="33"/>
      <c r="D43" s="33"/>
      <c r="E43" s="33" t="s">
        <v>24</v>
      </c>
      <c r="F43" s="71" t="str">
        <f t="shared" ref="F43:F74" si="11">IFERROR((VLOOKUP(E43,$AE$11:$AG$14,3,0)),"-")</f>
        <v>-</v>
      </c>
      <c r="G43" s="33"/>
      <c r="H43" s="33"/>
      <c r="I43" s="46"/>
      <c r="J43" s="35"/>
      <c r="K43" s="35"/>
      <c r="L43" s="36">
        <f t="shared" ref="L43:L74" si="12">IF($H$4="-",0,IF($H$4="VAREJO",AW43,IF($H$4="ATACADO",AX43,0)))</f>
        <v>0</v>
      </c>
      <c r="M43" s="33"/>
      <c r="AN43" s="47">
        <v>33</v>
      </c>
      <c r="AO43" s="42">
        <f t="shared" ref="AO43:AO74" si="13">I43+(I43*J43)+(I43*K43)</f>
        <v>0</v>
      </c>
      <c r="AP43" s="43">
        <f t="shared" ref="AP43:AP74" si="14">IFERROR(VLOOKUP(E43,$AE$11:$AK$14,4,0),0)</f>
        <v>0</v>
      </c>
      <c r="AQ43" s="42">
        <f t="shared" ref="AQ43:AQ74" si="15">(I43+(I43*J43)+(I43*K43))*AP43</f>
        <v>0</v>
      </c>
      <c r="AR43" s="44">
        <f t="shared" si="8"/>
        <v>0</v>
      </c>
      <c r="AT43" s="39">
        <f t="shared" ref="AT43:AT74" si="16">IFERROR((VLOOKUP(E43,$AE$11:$AJ$14,5,0)),0)</f>
        <v>0</v>
      </c>
      <c r="AU43" s="39">
        <f t="shared" ref="AU43:AU74" si="17">IFERROR((VLOOKUP(E43,$AE$11:$AJ$14,6,0)),0)</f>
        <v>0</v>
      </c>
      <c r="AW43" s="45">
        <f t="shared" si="9"/>
        <v>0</v>
      </c>
      <c r="AX43" s="45">
        <f t="shared" si="10"/>
        <v>0</v>
      </c>
    </row>
    <row r="44" spans="1:50" x14ac:dyDescent="0.3">
      <c r="A44" s="32">
        <v>34</v>
      </c>
      <c r="B44" s="33"/>
      <c r="C44" s="33"/>
      <c r="D44" s="33"/>
      <c r="E44" s="33" t="s">
        <v>24</v>
      </c>
      <c r="F44" s="71" t="str">
        <f t="shared" si="11"/>
        <v>-</v>
      </c>
      <c r="G44" s="33"/>
      <c r="H44" s="33"/>
      <c r="I44" s="46"/>
      <c r="J44" s="35"/>
      <c r="K44" s="35"/>
      <c r="L44" s="36">
        <f t="shared" si="12"/>
        <v>0</v>
      </c>
      <c r="M44" s="33"/>
      <c r="AN44" s="47">
        <v>34</v>
      </c>
      <c r="AO44" s="42">
        <f t="shared" si="13"/>
        <v>0</v>
      </c>
      <c r="AP44" s="43">
        <f t="shared" si="14"/>
        <v>0</v>
      </c>
      <c r="AQ44" s="42">
        <f t="shared" si="15"/>
        <v>0</v>
      </c>
      <c r="AR44" s="44">
        <f t="shared" si="8"/>
        <v>0</v>
      </c>
      <c r="AT44" s="39">
        <f t="shared" si="16"/>
        <v>0</v>
      </c>
      <c r="AU44" s="39">
        <f t="shared" si="17"/>
        <v>0</v>
      </c>
      <c r="AW44" s="45">
        <f t="shared" si="9"/>
        <v>0</v>
      </c>
      <c r="AX44" s="45">
        <f t="shared" si="10"/>
        <v>0</v>
      </c>
    </row>
    <row r="45" spans="1:50" x14ac:dyDescent="0.3">
      <c r="A45" s="32">
        <v>35</v>
      </c>
      <c r="B45" s="33"/>
      <c r="C45" s="33"/>
      <c r="D45" s="33"/>
      <c r="E45" s="33" t="s">
        <v>24</v>
      </c>
      <c r="F45" s="71" t="str">
        <f t="shared" si="11"/>
        <v>-</v>
      </c>
      <c r="G45" s="33"/>
      <c r="H45" s="33"/>
      <c r="I45" s="46"/>
      <c r="J45" s="35"/>
      <c r="K45" s="35"/>
      <c r="L45" s="36">
        <f t="shared" si="12"/>
        <v>0</v>
      </c>
      <c r="M45" s="33"/>
      <c r="AN45" s="47">
        <v>35</v>
      </c>
      <c r="AO45" s="42">
        <f t="shared" si="13"/>
        <v>0</v>
      </c>
      <c r="AP45" s="43">
        <f t="shared" si="14"/>
        <v>0</v>
      </c>
      <c r="AQ45" s="42">
        <f t="shared" si="15"/>
        <v>0</v>
      </c>
      <c r="AR45" s="44">
        <f t="shared" si="8"/>
        <v>0</v>
      </c>
      <c r="AT45" s="39">
        <f t="shared" si="16"/>
        <v>0</v>
      </c>
      <c r="AU45" s="39">
        <f t="shared" si="17"/>
        <v>0</v>
      </c>
      <c r="AW45" s="45">
        <f t="shared" si="9"/>
        <v>0</v>
      </c>
      <c r="AX45" s="45">
        <f t="shared" si="10"/>
        <v>0</v>
      </c>
    </row>
    <row r="46" spans="1:50" x14ac:dyDescent="0.3">
      <c r="A46" s="32">
        <v>36</v>
      </c>
      <c r="B46" s="33"/>
      <c r="C46" s="33"/>
      <c r="D46" s="33"/>
      <c r="E46" s="33" t="s">
        <v>24</v>
      </c>
      <c r="F46" s="71" t="str">
        <f t="shared" si="11"/>
        <v>-</v>
      </c>
      <c r="G46" s="33"/>
      <c r="H46" s="33"/>
      <c r="I46" s="46"/>
      <c r="J46" s="35"/>
      <c r="K46" s="35"/>
      <c r="L46" s="36">
        <f t="shared" si="12"/>
        <v>0</v>
      </c>
      <c r="M46" s="33"/>
      <c r="AN46" s="47">
        <v>36</v>
      </c>
      <c r="AO46" s="42">
        <f t="shared" si="13"/>
        <v>0</v>
      </c>
      <c r="AP46" s="43">
        <f t="shared" si="14"/>
        <v>0</v>
      </c>
      <c r="AQ46" s="42">
        <f t="shared" si="15"/>
        <v>0</v>
      </c>
      <c r="AR46" s="44">
        <f t="shared" si="8"/>
        <v>0</v>
      </c>
      <c r="AT46" s="39">
        <f t="shared" si="16"/>
        <v>0</v>
      </c>
      <c r="AU46" s="39">
        <f t="shared" si="17"/>
        <v>0</v>
      </c>
      <c r="AW46" s="45">
        <f t="shared" si="9"/>
        <v>0</v>
      </c>
      <c r="AX46" s="45">
        <f t="shared" si="10"/>
        <v>0</v>
      </c>
    </row>
    <row r="47" spans="1:50" x14ac:dyDescent="0.3">
      <c r="A47" s="32">
        <v>37</v>
      </c>
      <c r="B47" s="33"/>
      <c r="C47" s="33"/>
      <c r="D47" s="33"/>
      <c r="E47" s="33" t="s">
        <v>24</v>
      </c>
      <c r="F47" s="71" t="str">
        <f t="shared" si="11"/>
        <v>-</v>
      </c>
      <c r="G47" s="33"/>
      <c r="H47" s="33"/>
      <c r="I47" s="46"/>
      <c r="J47" s="35"/>
      <c r="K47" s="35"/>
      <c r="L47" s="36">
        <f t="shared" si="12"/>
        <v>0</v>
      </c>
      <c r="M47" s="33"/>
      <c r="AN47" s="47">
        <v>37</v>
      </c>
      <c r="AO47" s="42">
        <f t="shared" si="13"/>
        <v>0</v>
      </c>
      <c r="AP47" s="43">
        <f t="shared" si="14"/>
        <v>0</v>
      </c>
      <c r="AQ47" s="42">
        <f t="shared" si="15"/>
        <v>0</v>
      </c>
      <c r="AR47" s="44">
        <f t="shared" si="8"/>
        <v>0</v>
      </c>
      <c r="AT47" s="39">
        <f t="shared" si="16"/>
        <v>0</v>
      </c>
      <c r="AU47" s="39">
        <f t="shared" si="17"/>
        <v>0</v>
      </c>
      <c r="AW47" s="45">
        <f t="shared" si="9"/>
        <v>0</v>
      </c>
      <c r="AX47" s="45">
        <f t="shared" si="10"/>
        <v>0</v>
      </c>
    </row>
    <row r="48" spans="1:50" x14ac:dyDescent="0.3">
      <c r="A48" s="32">
        <v>38</v>
      </c>
      <c r="B48" s="33"/>
      <c r="C48" s="33"/>
      <c r="D48" s="33"/>
      <c r="E48" s="33" t="s">
        <v>24</v>
      </c>
      <c r="F48" s="71" t="str">
        <f t="shared" si="11"/>
        <v>-</v>
      </c>
      <c r="G48" s="33"/>
      <c r="H48" s="33"/>
      <c r="I48" s="46"/>
      <c r="J48" s="35"/>
      <c r="K48" s="35"/>
      <c r="L48" s="36">
        <f t="shared" si="12"/>
        <v>0</v>
      </c>
      <c r="M48" s="33"/>
      <c r="AN48" s="47">
        <v>38</v>
      </c>
      <c r="AO48" s="42">
        <f t="shared" si="13"/>
        <v>0</v>
      </c>
      <c r="AP48" s="43">
        <f t="shared" si="14"/>
        <v>0</v>
      </c>
      <c r="AQ48" s="42">
        <f t="shared" si="15"/>
        <v>0</v>
      </c>
      <c r="AR48" s="44">
        <f t="shared" si="8"/>
        <v>0</v>
      </c>
      <c r="AT48" s="39">
        <f t="shared" si="16"/>
        <v>0</v>
      </c>
      <c r="AU48" s="39">
        <f t="shared" si="17"/>
        <v>0</v>
      </c>
      <c r="AW48" s="45">
        <f t="shared" si="9"/>
        <v>0</v>
      </c>
      <c r="AX48" s="45">
        <f t="shared" si="10"/>
        <v>0</v>
      </c>
    </row>
    <row r="49" spans="1:50" x14ac:dyDescent="0.3">
      <c r="A49" s="32">
        <v>39</v>
      </c>
      <c r="B49" s="33"/>
      <c r="C49" s="33"/>
      <c r="D49" s="33"/>
      <c r="E49" s="33" t="s">
        <v>24</v>
      </c>
      <c r="F49" s="71" t="str">
        <f t="shared" si="11"/>
        <v>-</v>
      </c>
      <c r="G49" s="33"/>
      <c r="H49" s="33"/>
      <c r="I49" s="46"/>
      <c r="J49" s="35"/>
      <c r="K49" s="35"/>
      <c r="L49" s="36">
        <f t="shared" si="12"/>
        <v>0</v>
      </c>
      <c r="M49" s="33"/>
      <c r="AN49" s="47">
        <v>39</v>
      </c>
      <c r="AO49" s="42">
        <f t="shared" si="13"/>
        <v>0</v>
      </c>
      <c r="AP49" s="43">
        <f t="shared" si="14"/>
        <v>0</v>
      </c>
      <c r="AQ49" s="42">
        <f t="shared" si="15"/>
        <v>0</v>
      </c>
      <c r="AR49" s="44">
        <f t="shared" si="8"/>
        <v>0</v>
      </c>
      <c r="AT49" s="39">
        <f t="shared" si="16"/>
        <v>0</v>
      </c>
      <c r="AU49" s="39">
        <f t="shared" si="17"/>
        <v>0</v>
      </c>
      <c r="AW49" s="45">
        <f t="shared" si="9"/>
        <v>0</v>
      </c>
      <c r="AX49" s="45">
        <f t="shared" si="10"/>
        <v>0</v>
      </c>
    </row>
    <row r="50" spans="1:50" x14ac:dyDescent="0.3">
      <c r="A50" s="32">
        <v>40</v>
      </c>
      <c r="B50" s="33"/>
      <c r="C50" s="33"/>
      <c r="D50" s="33"/>
      <c r="E50" s="33" t="s">
        <v>24</v>
      </c>
      <c r="F50" s="71" t="str">
        <f t="shared" si="11"/>
        <v>-</v>
      </c>
      <c r="G50" s="33"/>
      <c r="H50" s="33"/>
      <c r="I50" s="46"/>
      <c r="J50" s="35"/>
      <c r="K50" s="35"/>
      <c r="L50" s="36">
        <f t="shared" si="12"/>
        <v>0</v>
      </c>
      <c r="M50" s="33"/>
      <c r="AN50" s="47">
        <v>40</v>
      </c>
      <c r="AO50" s="42">
        <f t="shared" si="13"/>
        <v>0</v>
      </c>
      <c r="AP50" s="43">
        <f t="shared" si="14"/>
        <v>0</v>
      </c>
      <c r="AQ50" s="42">
        <f t="shared" si="15"/>
        <v>0</v>
      </c>
      <c r="AR50" s="44">
        <f t="shared" si="8"/>
        <v>0</v>
      </c>
      <c r="AT50" s="39">
        <f t="shared" si="16"/>
        <v>0</v>
      </c>
      <c r="AU50" s="39">
        <f t="shared" si="17"/>
        <v>0</v>
      </c>
      <c r="AW50" s="45">
        <f t="shared" si="9"/>
        <v>0</v>
      </c>
      <c r="AX50" s="45">
        <f t="shared" si="10"/>
        <v>0</v>
      </c>
    </row>
    <row r="51" spans="1:50" x14ac:dyDescent="0.3">
      <c r="A51" s="32">
        <v>41</v>
      </c>
      <c r="B51" s="33"/>
      <c r="C51" s="33"/>
      <c r="D51" s="33"/>
      <c r="E51" s="33" t="s">
        <v>24</v>
      </c>
      <c r="F51" s="71" t="str">
        <f t="shared" si="11"/>
        <v>-</v>
      </c>
      <c r="G51" s="33"/>
      <c r="H51" s="33"/>
      <c r="I51" s="46"/>
      <c r="J51" s="35"/>
      <c r="K51" s="35"/>
      <c r="L51" s="36">
        <f t="shared" si="12"/>
        <v>0</v>
      </c>
      <c r="M51" s="33"/>
      <c r="AN51" s="47">
        <v>41</v>
      </c>
      <c r="AO51" s="42">
        <f t="shared" si="13"/>
        <v>0</v>
      </c>
      <c r="AP51" s="43">
        <f t="shared" si="14"/>
        <v>0</v>
      </c>
      <c r="AQ51" s="42">
        <f t="shared" si="15"/>
        <v>0</v>
      </c>
      <c r="AR51" s="44">
        <f t="shared" si="8"/>
        <v>0</v>
      </c>
      <c r="AT51" s="39">
        <f t="shared" si="16"/>
        <v>0</v>
      </c>
      <c r="AU51" s="39">
        <f t="shared" si="17"/>
        <v>0</v>
      </c>
      <c r="AW51" s="45">
        <f t="shared" si="9"/>
        <v>0</v>
      </c>
      <c r="AX51" s="45">
        <f t="shared" si="10"/>
        <v>0</v>
      </c>
    </row>
    <row r="52" spans="1:50" x14ac:dyDescent="0.3">
      <c r="A52" s="32">
        <v>42</v>
      </c>
      <c r="B52" s="33"/>
      <c r="C52" s="33"/>
      <c r="D52" s="33"/>
      <c r="E52" s="33" t="s">
        <v>24</v>
      </c>
      <c r="F52" s="71" t="str">
        <f t="shared" si="11"/>
        <v>-</v>
      </c>
      <c r="G52" s="33"/>
      <c r="H52" s="33"/>
      <c r="I52" s="46"/>
      <c r="J52" s="35"/>
      <c r="K52" s="35"/>
      <c r="L52" s="36">
        <f t="shared" si="12"/>
        <v>0</v>
      </c>
      <c r="M52" s="33"/>
      <c r="AN52" s="47">
        <v>42</v>
      </c>
      <c r="AO52" s="42">
        <f t="shared" si="13"/>
        <v>0</v>
      </c>
      <c r="AP52" s="43">
        <f t="shared" si="14"/>
        <v>0</v>
      </c>
      <c r="AQ52" s="42">
        <f t="shared" si="15"/>
        <v>0</v>
      </c>
      <c r="AR52" s="44">
        <f t="shared" si="8"/>
        <v>0</v>
      </c>
      <c r="AT52" s="39">
        <f t="shared" si="16"/>
        <v>0</v>
      </c>
      <c r="AU52" s="39">
        <f t="shared" si="17"/>
        <v>0</v>
      </c>
      <c r="AW52" s="45">
        <f t="shared" si="9"/>
        <v>0</v>
      </c>
      <c r="AX52" s="45">
        <f t="shared" si="10"/>
        <v>0</v>
      </c>
    </row>
    <row r="53" spans="1:50" x14ac:dyDescent="0.3">
      <c r="A53" s="32">
        <v>43</v>
      </c>
      <c r="B53" s="33"/>
      <c r="C53" s="33"/>
      <c r="D53" s="33"/>
      <c r="E53" s="33" t="s">
        <v>24</v>
      </c>
      <c r="F53" s="71" t="str">
        <f t="shared" si="11"/>
        <v>-</v>
      </c>
      <c r="G53" s="33"/>
      <c r="H53" s="33"/>
      <c r="I53" s="46"/>
      <c r="J53" s="35"/>
      <c r="K53" s="35"/>
      <c r="L53" s="36">
        <f t="shared" si="12"/>
        <v>0</v>
      </c>
      <c r="M53" s="33"/>
      <c r="AN53" s="47">
        <v>43</v>
      </c>
      <c r="AO53" s="42">
        <f t="shared" si="13"/>
        <v>0</v>
      </c>
      <c r="AP53" s="43">
        <f t="shared" si="14"/>
        <v>0</v>
      </c>
      <c r="AQ53" s="42">
        <f t="shared" si="15"/>
        <v>0</v>
      </c>
      <c r="AR53" s="44">
        <f t="shared" si="8"/>
        <v>0</v>
      </c>
      <c r="AT53" s="39">
        <f t="shared" si="16"/>
        <v>0</v>
      </c>
      <c r="AU53" s="39">
        <f t="shared" si="17"/>
        <v>0</v>
      </c>
      <c r="AW53" s="45">
        <f t="shared" si="9"/>
        <v>0</v>
      </c>
      <c r="AX53" s="45">
        <f t="shared" si="10"/>
        <v>0</v>
      </c>
    </row>
    <row r="54" spans="1:50" x14ac:dyDescent="0.3">
      <c r="A54" s="32">
        <v>44</v>
      </c>
      <c r="B54" s="33"/>
      <c r="C54" s="33"/>
      <c r="D54" s="33"/>
      <c r="E54" s="33" t="s">
        <v>24</v>
      </c>
      <c r="F54" s="71" t="str">
        <f t="shared" si="11"/>
        <v>-</v>
      </c>
      <c r="G54" s="33"/>
      <c r="H54" s="33"/>
      <c r="I54" s="46"/>
      <c r="J54" s="35"/>
      <c r="K54" s="35"/>
      <c r="L54" s="36">
        <f t="shared" si="12"/>
        <v>0</v>
      </c>
      <c r="M54" s="33"/>
      <c r="AN54" s="47">
        <v>44</v>
      </c>
      <c r="AO54" s="42">
        <f t="shared" si="13"/>
        <v>0</v>
      </c>
      <c r="AP54" s="43">
        <f t="shared" si="14"/>
        <v>0</v>
      </c>
      <c r="AQ54" s="42">
        <f t="shared" si="15"/>
        <v>0</v>
      </c>
      <c r="AR54" s="44">
        <f t="shared" si="8"/>
        <v>0</v>
      </c>
      <c r="AT54" s="39">
        <f t="shared" si="16"/>
        <v>0</v>
      </c>
      <c r="AU54" s="39">
        <f t="shared" si="17"/>
        <v>0</v>
      </c>
      <c r="AW54" s="45">
        <f t="shared" si="9"/>
        <v>0</v>
      </c>
      <c r="AX54" s="45">
        <f t="shared" si="10"/>
        <v>0</v>
      </c>
    </row>
    <row r="55" spans="1:50" x14ac:dyDescent="0.3">
      <c r="A55" s="32">
        <v>45</v>
      </c>
      <c r="B55" s="33"/>
      <c r="C55" s="33"/>
      <c r="D55" s="33"/>
      <c r="E55" s="33" t="s">
        <v>24</v>
      </c>
      <c r="F55" s="71" t="str">
        <f t="shared" si="11"/>
        <v>-</v>
      </c>
      <c r="G55" s="33"/>
      <c r="H55" s="33"/>
      <c r="I55" s="46"/>
      <c r="J55" s="35"/>
      <c r="K55" s="35"/>
      <c r="L55" s="36">
        <f t="shared" si="12"/>
        <v>0</v>
      </c>
      <c r="M55" s="33"/>
      <c r="AN55" s="47">
        <v>45</v>
      </c>
      <c r="AO55" s="42">
        <f t="shared" si="13"/>
        <v>0</v>
      </c>
      <c r="AP55" s="43">
        <f t="shared" si="14"/>
        <v>0</v>
      </c>
      <c r="AQ55" s="42">
        <f t="shared" si="15"/>
        <v>0</v>
      </c>
      <c r="AR55" s="44">
        <f t="shared" si="8"/>
        <v>0</v>
      </c>
      <c r="AT55" s="39">
        <f t="shared" si="16"/>
        <v>0</v>
      </c>
      <c r="AU55" s="39">
        <f t="shared" si="17"/>
        <v>0</v>
      </c>
      <c r="AW55" s="45">
        <f t="shared" si="9"/>
        <v>0</v>
      </c>
      <c r="AX55" s="45">
        <f t="shared" si="10"/>
        <v>0</v>
      </c>
    </row>
    <row r="56" spans="1:50" x14ac:dyDescent="0.3">
      <c r="A56" s="32">
        <v>46</v>
      </c>
      <c r="B56" s="33"/>
      <c r="C56" s="33"/>
      <c r="D56" s="33"/>
      <c r="E56" s="33" t="s">
        <v>24</v>
      </c>
      <c r="F56" s="71" t="str">
        <f t="shared" si="11"/>
        <v>-</v>
      </c>
      <c r="G56" s="33"/>
      <c r="H56" s="33"/>
      <c r="I56" s="46"/>
      <c r="J56" s="35"/>
      <c r="K56" s="35"/>
      <c r="L56" s="36">
        <f t="shared" si="12"/>
        <v>0</v>
      </c>
      <c r="M56" s="33"/>
      <c r="AN56" s="47">
        <v>46</v>
      </c>
      <c r="AO56" s="42">
        <f t="shared" si="13"/>
        <v>0</v>
      </c>
      <c r="AP56" s="43">
        <f t="shared" si="14"/>
        <v>0</v>
      </c>
      <c r="AQ56" s="42">
        <f t="shared" si="15"/>
        <v>0</v>
      </c>
      <c r="AR56" s="44">
        <f t="shared" si="8"/>
        <v>0</v>
      </c>
      <c r="AT56" s="39">
        <f t="shared" si="16"/>
        <v>0</v>
      </c>
      <c r="AU56" s="39">
        <f t="shared" si="17"/>
        <v>0</v>
      </c>
      <c r="AW56" s="45">
        <f t="shared" si="9"/>
        <v>0</v>
      </c>
      <c r="AX56" s="45">
        <f t="shared" si="10"/>
        <v>0</v>
      </c>
    </row>
    <row r="57" spans="1:50" x14ac:dyDescent="0.3">
      <c r="A57" s="32">
        <v>47</v>
      </c>
      <c r="B57" s="33"/>
      <c r="C57" s="33"/>
      <c r="D57" s="33"/>
      <c r="E57" s="33" t="s">
        <v>24</v>
      </c>
      <c r="F57" s="71" t="str">
        <f t="shared" si="11"/>
        <v>-</v>
      </c>
      <c r="G57" s="33"/>
      <c r="H57" s="33"/>
      <c r="I57" s="46"/>
      <c r="J57" s="35"/>
      <c r="K57" s="35"/>
      <c r="L57" s="36">
        <f t="shared" si="12"/>
        <v>0</v>
      </c>
      <c r="M57" s="33"/>
      <c r="AN57" s="47">
        <v>47</v>
      </c>
      <c r="AO57" s="42">
        <f t="shared" si="13"/>
        <v>0</v>
      </c>
      <c r="AP57" s="43">
        <f t="shared" si="14"/>
        <v>0</v>
      </c>
      <c r="AQ57" s="42">
        <f t="shared" si="15"/>
        <v>0</v>
      </c>
      <c r="AR57" s="44">
        <f t="shared" si="8"/>
        <v>0</v>
      </c>
      <c r="AT57" s="39">
        <f t="shared" si="16"/>
        <v>0</v>
      </c>
      <c r="AU57" s="39">
        <f t="shared" si="17"/>
        <v>0</v>
      </c>
      <c r="AW57" s="45">
        <f t="shared" si="9"/>
        <v>0</v>
      </c>
      <c r="AX57" s="45">
        <f t="shared" si="10"/>
        <v>0</v>
      </c>
    </row>
    <row r="58" spans="1:50" x14ac:dyDescent="0.3">
      <c r="A58" s="32">
        <v>48</v>
      </c>
      <c r="B58" s="33"/>
      <c r="C58" s="33"/>
      <c r="D58" s="33"/>
      <c r="E58" s="33" t="s">
        <v>24</v>
      </c>
      <c r="F58" s="71" t="str">
        <f t="shared" si="11"/>
        <v>-</v>
      </c>
      <c r="G58" s="33"/>
      <c r="H58" s="33"/>
      <c r="I58" s="46"/>
      <c r="J58" s="35"/>
      <c r="K58" s="35"/>
      <c r="L58" s="36">
        <f t="shared" si="12"/>
        <v>0</v>
      </c>
      <c r="M58" s="33"/>
      <c r="AN58" s="47">
        <v>48</v>
      </c>
      <c r="AO58" s="42">
        <f t="shared" si="13"/>
        <v>0</v>
      </c>
      <c r="AP58" s="43">
        <f t="shared" si="14"/>
        <v>0</v>
      </c>
      <c r="AQ58" s="42">
        <f t="shared" si="15"/>
        <v>0</v>
      </c>
      <c r="AR58" s="44">
        <f t="shared" si="8"/>
        <v>0</v>
      </c>
      <c r="AT58" s="39">
        <f t="shared" si="16"/>
        <v>0</v>
      </c>
      <c r="AU58" s="39">
        <f t="shared" si="17"/>
        <v>0</v>
      </c>
      <c r="AW58" s="45">
        <f t="shared" si="9"/>
        <v>0</v>
      </c>
      <c r="AX58" s="45">
        <f t="shared" si="10"/>
        <v>0</v>
      </c>
    </row>
    <row r="59" spans="1:50" x14ac:dyDescent="0.3">
      <c r="A59" s="32">
        <v>49</v>
      </c>
      <c r="B59" s="33"/>
      <c r="C59" s="33"/>
      <c r="D59" s="33"/>
      <c r="E59" s="33" t="s">
        <v>24</v>
      </c>
      <c r="F59" s="71" t="str">
        <f t="shared" si="11"/>
        <v>-</v>
      </c>
      <c r="G59" s="33"/>
      <c r="H59" s="33"/>
      <c r="I59" s="46"/>
      <c r="J59" s="35"/>
      <c r="K59" s="35"/>
      <c r="L59" s="36">
        <f t="shared" si="12"/>
        <v>0</v>
      </c>
      <c r="M59" s="33"/>
      <c r="AN59" s="47">
        <v>49</v>
      </c>
      <c r="AO59" s="42">
        <f t="shared" si="13"/>
        <v>0</v>
      </c>
      <c r="AP59" s="43">
        <f t="shared" si="14"/>
        <v>0</v>
      </c>
      <c r="AQ59" s="42">
        <f t="shared" si="15"/>
        <v>0</v>
      </c>
      <c r="AR59" s="44">
        <f t="shared" si="8"/>
        <v>0</v>
      </c>
      <c r="AT59" s="39">
        <f t="shared" si="16"/>
        <v>0</v>
      </c>
      <c r="AU59" s="39">
        <f t="shared" si="17"/>
        <v>0</v>
      </c>
      <c r="AW59" s="45">
        <f t="shared" si="9"/>
        <v>0</v>
      </c>
      <c r="AX59" s="45">
        <f t="shared" si="10"/>
        <v>0</v>
      </c>
    </row>
    <row r="60" spans="1:50" x14ac:dyDescent="0.3">
      <c r="A60" s="32">
        <v>50</v>
      </c>
      <c r="B60" s="33"/>
      <c r="C60" s="33"/>
      <c r="D60" s="33"/>
      <c r="E60" s="33" t="s">
        <v>24</v>
      </c>
      <c r="F60" s="71" t="str">
        <f t="shared" si="11"/>
        <v>-</v>
      </c>
      <c r="G60" s="33"/>
      <c r="H60" s="33"/>
      <c r="I60" s="46"/>
      <c r="J60" s="35"/>
      <c r="K60" s="35"/>
      <c r="L60" s="36">
        <f t="shared" si="12"/>
        <v>0</v>
      </c>
      <c r="M60" s="33"/>
      <c r="AN60" s="47">
        <v>50</v>
      </c>
      <c r="AO60" s="42">
        <f t="shared" si="13"/>
        <v>0</v>
      </c>
      <c r="AP60" s="43">
        <f t="shared" si="14"/>
        <v>0</v>
      </c>
      <c r="AQ60" s="42">
        <f t="shared" si="15"/>
        <v>0</v>
      </c>
      <c r="AR60" s="44">
        <f t="shared" si="8"/>
        <v>0</v>
      </c>
      <c r="AT60" s="39">
        <f t="shared" si="16"/>
        <v>0</v>
      </c>
      <c r="AU60" s="39">
        <f t="shared" si="17"/>
        <v>0</v>
      </c>
      <c r="AW60" s="45">
        <f t="shared" si="9"/>
        <v>0</v>
      </c>
      <c r="AX60" s="45">
        <f t="shared" si="10"/>
        <v>0</v>
      </c>
    </row>
    <row r="61" spans="1:50" x14ac:dyDescent="0.3">
      <c r="A61" s="32">
        <v>51</v>
      </c>
      <c r="B61" s="33"/>
      <c r="C61" s="33"/>
      <c r="D61" s="33"/>
      <c r="E61" s="33" t="s">
        <v>24</v>
      </c>
      <c r="F61" s="71" t="str">
        <f t="shared" si="11"/>
        <v>-</v>
      </c>
      <c r="G61" s="33"/>
      <c r="H61" s="33"/>
      <c r="I61" s="46"/>
      <c r="J61" s="35"/>
      <c r="K61" s="35"/>
      <c r="L61" s="36">
        <f t="shared" si="12"/>
        <v>0</v>
      </c>
      <c r="M61" s="33"/>
      <c r="AN61" s="47">
        <v>51</v>
      </c>
      <c r="AO61" s="42">
        <f t="shared" si="13"/>
        <v>0</v>
      </c>
      <c r="AP61" s="43">
        <f t="shared" si="14"/>
        <v>0</v>
      </c>
      <c r="AQ61" s="42">
        <f t="shared" si="15"/>
        <v>0</v>
      </c>
      <c r="AR61" s="44">
        <f t="shared" si="8"/>
        <v>0</v>
      </c>
      <c r="AT61" s="39">
        <f t="shared" si="16"/>
        <v>0</v>
      </c>
      <c r="AU61" s="39">
        <f t="shared" si="17"/>
        <v>0</v>
      </c>
      <c r="AW61" s="45">
        <f t="shared" si="9"/>
        <v>0</v>
      </c>
      <c r="AX61" s="45">
        <f t="shared" si="10"/>
        <v>0</v>
      </c>
    </row>
    <row r="62" spans="1:50" x14ac:dyDescent="0.3">
      <c r="A62" s="32">
        <v>52</v>
      </c>
      <c r="B62" s="33"/>
      <c r="C62" s="33"/>
      <c r="D62" s="33"/>
      <c r="E62" s="33" t="s">
        <v>24</v>
      </c>
      <c r="F62" s="71" t="str">
        <f t="shared" si="11"/>
        <v>-</v>
      </c>
      <c r="G62" s="33"/>
      <c r="H62" s="33"/>
      <c r="I62" s="46"/>
      <c r="J62" s="35"/>
      <c r="K62" s="35"/>
      <c r="L62" s="36">
        <f t="shared" si="12"/>
        <v>0</v>
      </c>
      <c r="M62" s="33"/>
      <c r="AN62" s="47">
        <v>52</v>
      </c>
      <c r="AO62" s="42">
        <f t="shared" si="13"/>
        <v>0</v>
      </c>
      <c r="AP62" s="43">
        <f t="shared" si="14"/>
        <v>0</v>
      </c>
      <c r="AQ62" s="42">
        <f t="shared" si="15"/>
        <v>0</v>
      </c>
      <c r="AR62" s="44">
        <f t="shared" si="8"/>
        <v>0</v>
      </c>
      <c r="AT62" s="39">
        <f t="shared" si="16"/>
        <v>0</v>
      </c>
      <c r="AU62" s="39">
        <f t="shared" si="17"/>
        <v>0</v>
      </c>
      <c r="AW62" s="45">
        <f t="shared" si="9"/>
        <v>0</v>
      </c>
      <c r="AX62" s="45">
        <f t="shared" si="10"/>
        <v>0</v>
      </c>
    </row>
    <row r="63" spans="1:50" x14ac:dyDescent="0.3">
      <c r="A63" s="32">
        <v>53</v>
      </c>
      <c r="B63" s="33"/>
      <c r="C63" s="33"/>
      <c r="D63" s="33"/>
      <c r="E63" s="33" t="s">
        <v>24</v>
      </c>
      <c r="F63" s="71" t="str">
        <f t="shared" si="11"/>
        <v>-</v>
      </c>
      <c r="G63" s="33"/>
      <c r="H63" s="33"/>
      <c r="I63" s="46"/>
      <c r="J63" s="35"/>
      <c r="K63" s="35"/>
      <c r="L63" s="36">
        <f t="shared" si="12"/>
        <v>0</v>
      </c>
      <c r="M63" s="33"/>
      <c r="AN63" s="47">
        <v>53</v>
      </c>
      <c r="AO63" s="42">
        <f t="shared" si="13"/>
        <v>0</v>
      </c>
      <c r="AP63" s="43">
        <f t="shared" si="14"/>
        <v>0</v>
      </c>
      <c r="AQ63" s="42">
        <f t="shared" si="15"/>
        <v>0</v>
      </c>
      <c r="AR63" s="44">
        <f t="shared" si="8"/>
        <v>0</v>
      </c>
      <c r="AT63" s="39">
        <f t="shared" si="16"/>
        <v>0</v>
      </c>
      <c r="AU63" s="39">
        <f t="shared" si="17"/>
        <v>0</v>
      </c>
      <c r="AW63" s="45">
        <f t="shared" si="9"/>
        <v>0</v>
      </c>
      <c r="AX63" s="45">
        <f t="shared" si="10"/>
        <v>0</v>
      </c>
    </row>
    <row r="64" spans="1:50" x14ac:dyDescent="0.3">
      <c r="A64" s="32">
        <v>54</v>
      </c>
      <c r="B64" s="33"/>
      <c r="C64" s="33"/>
      <c r="D64" s="33"/>
      <c r="E64" s="33" t="s">
        <v>24</v>
      </c>
      <c r="F64" s="71" t="str">
        <f t="shared" si="11"/>
        <v>-</v>
      </c>
      <c r="G64" s="33"/>
      <c r="H64" s="33"/>
      <c r="I64" s="46"/>
      <c r="J64" s="35"/>
      <c r="K64" s="35"/>
      <c r="L64" s="36">
        <f t="shared" si="12"/>
        <v>0</v>
      </c>
      <c r="M64" s="33"/>
      <c r="AN64" s="47">
        <v>54</v>
      </c>
      <c r="AO64" s="42">
        <f t="shared" si="13"/>
        <v>0</v>
      </c>
      <c r="AP64" s="43">
        <f t="shared" si="14"/>
        <v>0</v>
      </c>
      <c r="AQ64" s="42">
        <f t="shared" si="15"/>
        <v>0</v>
      </c>
      <c r="AR64" s="44">
        <f t="shared" si="8"/>
        <v>0</v>
      </c>
      <c r="AT64" s="39">
        <f t="shared" si="16"/>
        <v>0</v>
      </c>
      <c r="AU64" s="39">
        <f t="shared" si="17"/>
        <v>0</v>
      </c>
      <c r="AW64" s="45">
        <f t="shared" si="9"/>
        <v>0</v>
      </c>
      <c r="AX64" s="45">
        <f t="shared" si="10"/>
        <v>0</v>
      </c>
    </row>
    <row r="65" spans="1:50" x14ac:dyDescent="0.3">
      <c r="A65" s="32">
        <v>55</v>
      </c>
      <c r="B65" s="33"/>
      <c r="C65" s="33"/>
      <c r="D65" s="33"/>
      <c r="E65" s="33" t="s">
        <v>24</v>
      </c>
      <c r="F65" s="71" t="str">
        <f t="shared" si="11"/>
        <v>-</v>
      </c>
      <c r="G65" s="33"/>
      <c r="H65" s="33"/>
      <c r="I65" s="46"/>
      <c r="J65" s="35"/>
      <c r="K65" s="35"/>
      <c r="L65" s="36">
        <f t="shared" si="12"/>
        <v>0</v>
      </c>
      <c r="M65" s="33"/>
      <c r="AN65" s="47">
        <v>55</v>
      </c>
      <c r="AO65" s="42">
        <f t="shared" si="13"/>
        <v>0</v>
      </c>
      <c r="AP65" s="43">
        <f t="shared" si="14"/>
        <v>0</v>
      </c>
      <c r="AQ65" s="42">
        <f t="shared" si="15"/>
        <v>0</v>
      </c>
      <c r="AR65" s="44">
        <f t="shared" si="8"/>
        <v>0</v>
      </c>
      <c r="AT65" s="39">
        <f t="shared" si="16"/>
        <v>0</v>
      </c>
      <c r="AU65" s="39">
        <f t="shared" si="17"/>
        <v>0</v>
      </c>
      <c r="AW65" s="45">
        <f t="shared" si="9"/>
        <v>0</v>
      </c>
      <c r="AX65" s="45">
        <f t="shared" si="10"/>
        <v>0</v>
      </c>
    </row>
    <row r="66" spans="1:50" x14ac:dyDescent="0.3">
      <c r="A66" s="32">
        <v>56</v>
      </c>
      <c r="B66" s="33"/>
      <c r="C66" s="33"/>
      <c r="D66" s="33"/>
      <c r="E66" s="33" t="s">
        <v>24</v>
      </c>
      <c r="F66" s="71" t="str">
        <f t="shared" si="11"/>
        <v>-</v>
      </c>
      <c r="G66" s="33"/>
      <c r="H66" s="33"/>
      <c r="I66" s="46"/>
      <c r="J66" s="35"/>
      <c r="K66" s="35"/>
      <c r="L66" s="36">
        <f t="shared" si="12"/>
        <v>0</v>
      </c>
      <c r="M66" s="33"/>
      <c r="AN66" s="47">
        <v>56</v>
      </c>
      <c r="AO66" s="42">
        <f t="shared" si="13"/>
        <v>0</v>
      </c>
      <c r="AP66" s="43">
        <f t="shared" si="14"/>
        <v>0</v>
      </c>
      <c r="AQ66" s="42">
        <f t="shared" si="15"/>
        <v>0</v>
      </c>
      <c r="AR66" s="44">
        <f t="shared" si="8"/>
        <v>0</v>
      </c>
      <c r="AT66" s="39">
        <f t="shared" si="16"/>
        <v>0</v>
      </c>
      <c r="AU66" s="39">
        <f t="shared" si="17"/>
        <v>0</v>
      </c>
      <c r="AW66" s="45">
        <f t="shared" si="9"/>
        <v>0</v>
      </c>
      <c r="AX66" s="45">
        <f t="shared" si="10"/>
        <v>0</v>
      </c>
    </row>
    <row r="67" spans="1:50" x14ac:dyDescent="0.3">
      <c r="A67" s="32">
        <v>57</v>
      </c>
      <c r="B67" s="33"/>
      <c r="C67" s="33"/>
      <c r="D67" s="33"/>
      <c r="E67" s="33" t="s">
        <v>24</v>
      </c>
      <c r="F67" s="71" t="str">
        <f t="shared" si="11"/>
        <v>-</v>
      </c>
      <c r="G67" s="33"/>
      <c r="H67" s="33"/>
      <c r="I67" s="46"/>
      <c r="J67" s="35"/>
      <c r="K67" s="35"/>
      <c r="L67" s="36">
        <f t="shared" si="12"/>
        <v>0</v>
      </c>
      <c r="M67" s="33"/>
      <c r="AN67" s="47">
        <v>57</v>
      </c>
      <c r="AO67" s="42">
        <f t="shared" si="13"/>
        <v>0</v>
      </c>
      <c r="AP67" s="43">
        <f t="shared" si="14"/>
        <v>0</v>
      </c>
      <c r="AQ67" s="42">
        <f t="shared" si="15"/>
        <v>0</v>
      </c>
      <c r="AR67" s="44">
        <f t="shared" si="8"/>
        <v>0</v>
      </c>
      <c r="AT67" s="39">
        <f t="shared" si="16"/>
        <v>0</v>
      </c>
      <c r="AU67" s="39">
        <f t="shared" si="17"/>
        <v>0</v>
      </c>
      <c r="AW67" s="45">
        <f t="shared" si="9"/>
        <v>0</v>
      </c>
      <c r="AX67" s="45">
        <f t="shared" si="10"/>
        <v>0</v>
      </c>
    </row>
    <row r="68" spans="1:50" x14ac:dyDescent="0.3">
      <c r="A68" s="32">
        <v>58</v>
      </c>
      <c r="B68" s="33"/>
      <c r="C68" s="33"/>
      <c r="D68" s="33"/>
      <c r="E68" s="33" t="s">
        <v>24</v>
      </c>
      <c r="F68" s="71" t="str">
        <f t="shared" si="11"/>
        <v>-</v>
      </c>
      <c r="G68" s="33"/>
      <c r="H68" s="33"/>
      <c r="I68" s="46"/>
      <c r="J68" s="35"/>
      <c r="K68" s="35"/>
      <c r="L68" s="36">
        <f t="shared" si="12"/>
        <v>0</v>
      </c>
      <c r="M68" s="33"/>
      <c r="AN68" s="47">
        <v>58</v>
      </c>
      <c r="AO68" s="42">
        <f t="shared" si="13"/>
        <v>0</v>
      </c>
      <c r="AP68" s="43">
        <f t="shared" si="14"/>
        <v>0</v>
      </c>
      <c r="AQ68" s="42">
        <f t="shared" si="15"/>
        <v>0</v>
      </c>
      <c r="AR68" s="44">
        <f t="shared" si="8"/>
        <v>0</v>
      </c>
      <c r="AT68" s="39">
        <f t="shared" si="16"/>
        <v>0</v>
      </c>
      <c r="AU68" s="39">
        <f t="shared" si="17"/>
        <v>0</v>
      </c>
      <c r="AW68" s="45">
        <f t="shared" si="9"/>
        <v>0</v>
      </c>
      <c r="AX68" s="45">
        <f t="shared" si="10"/>
        <v>0</v>
      </c>
    </row>
    <row r="69" spans="1:50" x14ac:dyDescent="0.3">
      <c r="A69" s="32">
        <v>59</v>
      </c>
      <c r="B69" s="33"/>
      <c r="C69" s="33"/>
      <c r="D69" s="33"/>
      <c r="E69" s="33" t="s">
        <v>24</v>
      </c>
      <c r="F69" s="71" t="str">
        <f t="shared" si="11"/>
        <v>-</v>
      </c>
      <c r="G69" s="33"/>
      <c r="H69" s="33"/>
      <c r="I69" s="46"/>
      <c r="J69" s="35"/>
      <c r="K69" s="35"/>
      <c r="L69" s="36">
        <f t="shared" si="12"/>
        <v>0</v>
      </c>
      <c r="M69" s="33"/>
      <c r="AN69" s="47">
        <v>59</v>
      </c>
      <c r="AO69" s="42">
        <f t="shared" si="13"/>
        <v>0</v>
      </c>
      <c r="AP69" s="43">
        <f t="shared" si="14"/>
        <v>0</v>
      </c>
      <c r="AQ69" s="42">
        <f t="shared" si="15"/>
        <v>0</v>
      </c>
      <c r="AR69" s="44">
        <f t="shared" si="8"/>
        <v>0</v>
      </c>
      <c r="AT69" s="39">
        <f t="shared" si="16"/>
        <v>0</v>
      </c>
      <c r="AU69" s="39">
        <f t="shared" si="17"/>
        <v>0</v>
      </c>
      <c r="AW69" s="45">
        <f t="shared" si="9"/>
        <v>0</v>
      </c>
      <c r="AX69" s="45">
        <f t="shared" si="10"/>
        <v>0</v>
      </c>
    </row>
    <row r="70" spans="1:50" x14ac:dyDescent="0.3">
      <c r="A70" s="32">
        <v>60</v>
      </c>
      <c r="B70" s="33"/>
      <c r="C70" s="33"/>
      <c r="D70" s="33"/>
      <c r="E70" s="33" t="s">
        <v>24</v>
      </c>
      <c r="F70" s="71" t="str">
        <f t="shared" si="11"/>
        <v>-</v>
      </c>
      <c r="G70" s="33"/>
      <c r="H70" s="33"/>
      <c r="I70" s="46"/>
      <c r="J70" s="35"/>
      <c r="K70" s="35"/>
      <c r="L70" s="36">
        <f t="shared" si="12"/>
        <v>0</v>
      </c>
      <c r="M70" s="33"/>
      <c r="AN70" s="47">
        <v>60</v>
      </c>
      <c r="AO70" s="42">
        <f t="shared" si="13"/>
        <v>0</v>
      </c>
      <c r="AP70" s="43">
        <f t="shared" si="14"/>
        <v>0</v>
      </c>
      <c r="AQ70" s="42">
        <f t="shared" si="15"/>
        <v>0</v>
      </c>
      <c r="AR70" s="44">
        <f t="shared" si="8"/>
        <v>0</v>
      </c>
      <c r="AT70" s="39">
        <f t="shared" si="16"/>
        <v>0</v>
      </c>
      <c r="AU70" s="39">
        <f t="shared" si="17"/>
        <v>0</v>
      </c>
      <c r="AW70" s="45">
        <f t="shared" si="9"/>
        <v>0</v>
      </c>
      <c r="AX70" s="45">
        <f t="shared" si="10"/>
        <v>0</v>
      </c>
    </row>
    <row r="71" spans="1:50" x14ac:dyDescent="0.3">
      <c r="A71" s="32">
        <v>61</v>
      </c>
      <c r="B71" s="33"/>
      <c r="C71" s="33"/>
      <c r="D71" s="33"/>
      <c r="E71" s="33" t="s">
        <v>24</v>
      </c>
      <c r="F71" s="71" t="str">
        <f t="shared" si="11"/>
        <v>-</v>
      </c>
      <c r="G71" s="33"/>
      <c r="H71" s="33"/>
      <c r="I71" s="46"/>
      <c r="J71" s="35"/>
      <c r="K71" s="35"/>
      <c r="L71" s="36">
        <f t="shared" si="12"/>
        <v>0</v>
      </c>
      <c r="M71" s="33"/>
      <c r="AN71" s="47">
        <v>61</v>
      </c>
      <c r="AO71" s="42">
        <f t="shared" si="13"/>
        <v>0</v>
      </c>
      <c r="AP71" s="43">
        <f t="shared" si="14"/>
        <v>0</v>
      </c>
      <c r="AQ71" s="42">
        <f t="shared" si="15"/>
        <v>0</v>
      </c>
      <c r="AR71" s="44">
        <f t="shared" si="8"/>
        <v>0</v>
      </c>
      <c r="AT71" s="39">
        <f t="shared" si="16"/>
        <v>0</v>
      </c>
      <c r="AU71" s="39">
        <f t="shared" si="17"/>
        <v>0</v>
      </c>
      <c r="AW71" s="45">
        <f t="shared" si="9"/>
        <v>0</v>
      </c>
      <c r="AX71" s="45">
        <f t="shared" si="10"/>
        <v>0</v>
      </c>
    </row>
    <row r="72" spans="1:50" x14ac:dyDescent="0.3">
      <c r="A72" s="32">
        <v>62</v>
      </c>
      <c r="B72" s="33"/>
      <c r="C72" s="33"/>
      <c r="D72" s="33"/>
      <c r="E72" s="33" t="s">
        <v>24</v>
      </c>
      <c r="F72" s="71" t="str">
        <f t="shared" si="11"/>
        <v>-</v>
      </c>
      <c r="G72" s="33"/>
      <c r="H72" s="33"/>
      <c r="I72" s="46"/>
      <c r="J72" s="35"/>
      <c r="K72" s="35"/>
      <c r="L72" s="36">
        <f t="shared" si="12"/>
        <v>0</v>
      </c>
      <c r="M72" s="33"/>
      <c r="AN72" s="47">
        <v>62</v>
      </c>
      <c r="AO72" s="42">
        <f t="shared" si="13"/>
        <v>0</v>
      </c>
      <c r="AP72" s="43">
        <f t="shared" si="14"/>
        <v>0</v>
      </c>
      <c r="AQ72" s="42">
        <f t="shared" si="15"/>
        <v>0</v>
      </c>
      <c r="AR72" s="44">
        <f t="shared" si="8"/>
        <v>0</v>
      </c>
      <c r="AT72" s="39">
        <f t="shared" si="16"/>
        <v>0</v>
      </c>
      <c r="AU72" s="39">
        <f t="shared" si="17"/>
        <v>0</v>
      </c>
      <c r="AW72" s="45">
        <f t="shared" si="9"/>
        <v>0</v>
      </c>
      <c r="AX72" s="45">
        <f t="shared" si="10"/>
        <v>0</v>
      </c>
    </row>
    <row r="73" spans="1:50" x14ac:dyDescent="0.3">
      <c r="A73" s="32">
        <v>63</v>
      </c>
      <c r="B73" s="33"/>
      <c r="C73" s="33"/>
      <c r="D73" s="33"/>
      <c r="E73" s="33" t="s">
        <v>24</v>
      </c>
      <c r="F73" s="71" t="str">
        <f t="shared" si="11"/>
        <v>-</v>
      </c>
      <c r="G73" s="33"/>
      <c r="H73" s="33"/>
      <c r="I73" s="46"/>
      <c r="J73" s="35"/>
      <c r="K73" s="35"/>
      <c r="L73" s="36">
        <f t="shared" si="12"/>
        <v>0</v>
      </c>
      <c r="M73" s="33"/>
      <c r="AN73" s="47">
        <v>63</v>
      </c>
      <c r="AO73" s="42">
        <f t="shared" si="13"/>
        <v>0</v>
      </c>
      <c r="AP73" s="43">
        <f t="shared" si="14"/>
        <v>0</v>
      </c>
      <c r="AQ73" s="42">
        <f t="shared" si="15"/>
        <v>0</v>
      </c>
      <c r="AR73" s="44">
        <f t="shared" si="8"/>
        <v>0</v>
      </c>
      <c r="AT73" s="39">
        <f t="shared" si="16"/>
        <v>0</v>
      </c>
      <c r="AU73" s="39">
        <f t="shared" si="17"/>
        <v>0</v>
      </c>
      <c r="AW73" s="45">
        <f t="shared" si="9"/>
        <v>0</v>
      </c>
      <c r="AX73" s="45">
        <f t="shared" si="10"/>
        <v>0</v>
      </c>
    </row>
    <row r="74" spans="1:50" x14ac:dyDescent="0.3">
      <c r="A74" s="32">
        <v>64</v>
      </c>
      <c r="B74" s="33"/>
      <c r="C74" s="33"/>
      <c r="D74" s="33"/>
      <c r="E74" s="33" t="s">
        <v>24</v>
      </c>
      <c r="F74" s="71" t="str">
        <f t="shared" si="11"/>
        <v>-</v>
      </c>
      <c r="G74" s="33"/>
      <c r="H74" s="33"/>
      <c r="I74" s="46"/>
      <c r="J74" s="35"/>
      <c r="K74" s="35"/>
      <c r="L74" s="36">
        <f t="shared" si="12"/>
        <v>0</v>
      </c>
      <c r="M74" s="33"/>
      <c r="AN74" s="47">
        <v>64</v>
      </c>
      <c r="AO74" s="42">
        <f t="shared" si="13"/>
        <v>0</v>
      </c>
      <c r="AP74" s="43">
        <f t="shared" si="14"/>
        <v>0</v>
      </c>
      <c r="AQ74" s="42">
        <f t="shared" si="15"/>
        <v>0</v>
      </c>
      <c r="AR74" s="44">
        <f t="shared" si="8"/>
        <v>0</v>
      </c>
      <c r="AT74" s="39">
        <f t="shared" si="16"/>
        <v>0</v>
      </c>
      <c r="AU74" s="39">
        <f t="shared" si="17"/>
        <v>0</v>
      </c>
      <c r="AW74" s="45">
        <f t="shared" si="9"/>
        <v>0</v>
      </c>
      <c r="AX74" s="45">
        <f t="shared" si="10"/>
        <v>0</v>
      </c>
    </row>
    <row r="75" spans="1:50" x14ac:dyDescent="0.3">
      <c r="A75" s="32">
        <v>65</v>
      </c>
      <c r="B75" s="33"/>
      <c r="C75" s="33"/>
      <c r="D75" s="33"/>
      <c r="E75" s="33" t="s">
        <v>24</v>
      </c>
      <c r="F75" s="71" t="str">
        <f t="shared" ref="F75:F106" si="18">IFERROR((VLOOKUP(E75,$AE$11:$AG$14,3,0)),"-")</f>
        <v>-</v>
      </c>
      <c r="G75" s="33"/>
      <c r="H75" s="33"/>
      <c r="I75" s="46"/>
      <c r="J75" s="35"/>
      <c r="K75" s="35"/>
      <c r="L75" s="36">
        <f t="shared" ref="L75:L110" si="19">IF($H$4="-",0,IF($H$4="VAREJO",AW75,IF($H$4="ATACADO",AX75,0)))</f>
        <v>0</v>
      </c>
      <c r="M75" s="33"/>
      <c r="AN75" s="47">
        <v>65</v>
      </c>
      <c r="AO75" s="42">
        <f t="shared" ref="AO75:AO110" si="20">I75+(I75*J75)+(I75*K75)</f>
        <v>0</v>
      </c>
      <c r="AP75" s="43">
        <f t="shared" ref="AP75:AP110" si="21">IFERROR(VLOOKUP(E75,$AE$11:$AK$14,4,0),0)</f>
        <v>0</v>
      </c>
      <c r="AQ75" s="42">
        <f t="shared" ref="AQ75:AQ106" si="22">(I75+(I75*J75)+(I75*K75))*AP75</f>
        <v>0</v>
      </c>
      <c r="AR75" s="44">
        <f t="shared" si="8"/>
        <v>0</v>
      </c>
      <c r="AT75" s="39">
        <f t="shared" ref="AT75:AT110" si="23">IFERROR((VLOOKUP(E75,$AE$11:$AJ$14,5,0)),0)</f>
        <v>0</v>
      </c>
      <c r="AU75" s="39">
        <f t="shared" ref="AU75:AU110" si="24">IFERROR((VLOOKUP(E75,$AE$11:$AJ$14,6,0)),0)</f>
        <v>0</v>
      </c>
      <c r="AW75" s="45">
        <f t="shared" si="9"/>
        <v>0</v>
      </c>
      <c r="AX75" s="45">
        <f t="shared" si="10"/>
        <v>0</v>
      </c>
    </row>
    <row r="76" spans="1:50" x14ac:dyDescent="0.3">
      <c r="A76" s="32">
        <v>66</v>
      </c>
      <c r="B76" s="33"/>
      <c r="C76" s="33"/>
      <c r="D76" s="33"/>
      <c r="E76" s="33" t="s">
        <v>24</v>
      </c>
      <c r="F76" s="71" t="str">
        <f t="shared" si="18"/>
        <v>-</v>
      </c>
      <c r="G76" s="33"/>
      <c r="H76" s="33"/>
      <c r="I76" s="46"/>
      <c r="J76" s="35"/>
      <c r="K76" s="35"/>
      <c r="L76" s="36">
        <f t="shared" si="19"/>
        <v>0</v>
      </c>
      <c r="M76" s="33"/>
      <c r="AN76" s="47">
        <v>66</v>
      </c>
      <c r="AO76" s="42">
        <f t="shared" si="20"/>
        <v>0</v>
      </c>
      <c r="AP76" s="43">
        <f t="shared" si="21"/>
        <v>0</v>
      </c>
      <c r="AQ76" s="42">
        <f t="shared" si="22"/>
        <v>0</v>
      </c>
      <c r="AR76" s="44">
        <f t="shared" ref="AR76:AR110" si="25">AO76+AQ76</f>
        <v>0</v>
      </c>
      <c r="AT76" s="39">
        <f t="shared" si="23"/>
        <v>0</v>
      </c>
      <c r="AU76" s="39">
        <f t="shared" si="24"/>
        <v>0</v>
      </c>
      <c r="AW76" s="45">
        <f t="shared" ref="AW76:AW110" si="26">AR76*AT76</f>
        <v>0</v>
      </c>
      <c r="AX76" s="45">
        <f t="shared" ref="AX76:AX110" si="27">AR76*AU76</f>
        <v>0</v>
      </c>
    </row>
    <row r="77" spans="1:50" x14ac:dyDescent="0.3">
      <c r="A77" s="32">
        <v>67</v>
      </c>
      <c r="B77" s="33"/>
      <c r="C77" s="33"/>
      <c r="D77" s="33"/>
      <c r="E77" s="33" t="s">
        <v>24</v>
      </c>
      <c r="F77" s="71" t="str">
        <f t="shared" si="18"/>
        <v>-</v>
      </c>
      <c r="G77" s="33"/>
      <c r="H77" s="33"/>
      <c r="I77" s="46"/>
      <c r="J77" s="35"/>
      <c r="K77" s="35"/>
      <c r="L77" s="36">
        <f t="shared" si="19"/>
        <v>0</v>
      </c>
      <c r="M77" s="33"/>
      <c r="AN77" s="47">
        <v>67</v>
      </c>
      <c r="AO77" s="42">
        <f t="shared" si="20"/>
        <v>0</v>
      </c>
      <c r="AP77" s="43">
        <f t="shared" si="21"/>
        <v>0</v>
      </c>
      <c r="AQ77" s="42">
        <f t="shared" si="22"/>
        <v>0</v>
      </c>
      <c r="AR77" s="44">
        <f t="shared" si="25"/>
        <v>0</v>
      </c>
      <c r="AT77" s="39">
        <f t="shared" si="23"/>
        <v>0</v>
      </c>
      <c r="AU77" s="39">
        <f t="shared" si="24"/>
        <v>0</v>
      </c>
      <c r="AW77" s="45">
        <f t="shared" si="26"/>
        <v>0</v>
      </c>
      <c r="AX77" s="45">
        <f t="shared" si="27"/>
        <v>0</v>
      </c>
    </row>
    <row r="78" spans="1:50" x14ac:dyDescent="0.3">
      <c r="A78" s="32">
        <v>68</v>
      </c>
      <c r="B78" s="33"/>
      <c r="C78" s="33"/>
      <c r="D78" s="33"/>
      <c r="E78" s="33" t="s">
        <v>24</v>
      </c>
      <c r="F78" s="71" t="str">
        <f t="shared" si="18"/>
        <v>-</v>
      </c>
      <c r="G78" s="33"/>
      <c r="H78" s="33"/>
      <c r="I78" s="46"/>
      <c r="J78" s="35"/>
      <c r="K78" s="35"/>
      <c r="L78" s="36">
        <f t="shared" si="19"/>
        <v>0</v>
      </c>
      <c r="M78" s="33"/>
      <c r="AN78" s="47">
        <v>68</v>
      </c>
      <c r="AO78" s="42">
        <f t="shared" si="20"/>
        <v>0</v>
      </c>
      <c r="AP78" s="43">
        <f t="shared" si="21"/>
        <v>0</v>
      </c>
      <c r="AQ78" s="42">
        <f t="shared" si="22"/>
        <v>0</v>
      </c>
      <c r="AR78" s="44">
        <f t="shared" si="25"/>
        <v>0</v>
      </c>
      <c r="AT78" s="39">
        <f t="shared" si="23"/>
        <v>0</v>
      </c>
      <c r="AU78" s="39">
        <f t="shared" si="24"/>
        <v>0</v>
      </c>
      <c r="AW78" s="45">
        <f t="shared" si="26"/>
        <v>0</v>
      </c>
      <c r="AX78" s="45">
        <f t="shared" si="27"/>
        <v>0</v>
      </c>
    </row>
    <row r="79" spans="1:50" x14ac:dyDescent="0.3">
      <c r="A79" s="32">
        <v>69</v>
      </c>
      <c r="B79" s="33"/>
      <c r="C79" s="33"/>
      <c r="D79" s="33"/>
      <c r="E79" s="33" t="s">
        <v>24</v>
      </c>
      <c r="F79" s="71" t="str">
        <f t="shared" si="18"/>
        <v>-</v>
      </c>
      <c r="G79" s="33"/>
      <c r="H79" s="33"/>
      <c r="I79" s="46"/>
      <c r="J79" s="35"/>
      <c r="K79" s="35"/>
      <c r="L79" s="36">
        <f t="shared" si="19"/>
        <v>0</v>
      </c>
      <c r="M79" s="33"/>
      <c r="AN79" s="47">
        <v>69</v>
      </c>
      <c r="AO79" s="42">
        <f t="shared" si="20"/>
        <v>0</v>
      </c>
      <c r="AP79" s="43">
        <f t="shared" si="21"/>
        <v>0</v>
      </c>
      <c r="AQ79" s="42">
        <f t="shared" si="22"/>
        <v>0</v>
      </c>
      <c r="AR79" s="44">
        <f t="shared" si="25"/>
        <v>0</v>
      </c>
      <c r="AT79" s="39">
        <f t="shared" si="23"/>
        <v>0</v>
      </c>
      <c r="AU79" s="39">
        <f t="shared" si="24"/>
        <v>0</v>
      </c>
      <c r="AW79" s="45">
        <f t="shared" si="26"/>
        <v>0</v>
      </c>
      <c r="AX79" s="45">
        <f t="shared" si="27"/>
        <v>0</v>
      </c>
    </row>
    <row r="80" spans="1:50" x14ac:dyDescent="0.3">
      <c r="A80" s="32">
        <v>70</v>
      </c>
      <c r="B80" s="33"/>
      <c r="C80" s="33"/>
      <c r="D80" s="33"/>
      <c r="E80" s="33" t="s">
        <v>24</v>
      </c>
      <c r="F80" s="71" t="str">
        <f t="shared" si="18"/>
        <v>-</v>
      </c>
      <c r="G80" s="33"/>
      <c r="H80" s="33"/>
      <c r="I80" s="46"/>
      <c r="J80" s="35"/>
      <c r="K80" s="35"/>
      <c r="L80" s="36">
        <f t="shared" si="19"/>
        <v>0</v>
      </c>
      <c r="M80" s="33"/>
      <c r="AN80" s="47">
        <v>70</v>
      </c>
      <c r="AO80" s="42">
        <f t="shared" si="20"/>
        <v>0</v>
      </c>
      <c r="AP80" s="43">
        <f t="shared" si="21"/>
        <v>0</v>
      </c>
      <c r="AQ80" s="42">
        <f t="shared" si="22"/>
        <v>0</v>
      </c>
      <c r="AR80" s="44">
        <f t="shared" si="25"/>
        <v>0</v>
      </c>
      <c r="AT80" s="39">
        <f t="shared" si="23"/>
        <v>0</v>
      </c>
      <c r="AU80" s="39">
        <f t="shared" si="24"/>
        <v>0</v>
      </c>
      <c r="AW80" s="45">
        <f t="shared" si="26"/>
        <v>0</v>
      </c>
      <c r="AX80" s="45">
        <f t="shared" si="27"/>
        <v>0</v>
      </c>
    </row>
    <row r="81" spans="1:50" x14ac:dyDescent="0.3">
      <c r="A81" s="32">
        <v>71</v>
      </c>
      <c r="B81" s="33"/>
      <c r="C81" s="33"/>
      <c r="D81" s="33"/>
      <c r="E81" s="33" t="s">
        <v>24</v>
      </c>
      <c r="F81" s="71" t="str">
        <f t="shared" si="18"/>
        <v>-</v>
      </c>
      <c r="G81" s="33"/>
      <c r="H81" s="33"/>
      <c r="I81" s="46"/>
      <c r="J81" s="35"/>
      <c r="K81" s="35"/>
      <c r="L81" s="36">
        <f t="shared" si="19"/>
        <v>0</v>
      </c>
      <c r="M81" s="33"/>
      <c r="AN81" s="47">
        <v>71</v>
      </c>
      <c r="AO81" s="42">
        <f t="shared" si="20"/>
        <v>0</v>
      </c>
      <c r="AP81" s="43">
        <f t="shared" si="21"/>
        <v>0</v>
      </c>
      <c r="AQ81" s="42">
        <f t="shared" si="22"/>
        <v>0</v>
      </c>
      <c r="AR81" s="44">
        <f t="shared" si="25"/>
        <v>0</v>
      </c>
      <c r="AT81" s="39">
        <f t="shared" si="23"/>
        <v>0</v>
      </c>
      <c r="AU81" s="39">
        <f t="shared" si="24"/>
        <v>0</v>
      </c>
      <c r="AW81" s="45">
        <f t="shared" si="26"/>
        <v>0</v>
      </c>
      <c r="AX81" s="45">
        <f t="shared" si="27"/>
        <v>0</v>
      </c>
    </row>
    <row r="82" spans="1:50" x14ac:dyDescent="0.3">
      <c r="A82" s="32">
        <v>72</v>
      </c>
      <c r="B82" s="33"/>
      <c r="C82" s="33"/>
      <c r="D82" s="33"/>
      <c r="E82" s="33" t="s">
        <v>24</v>
      </c>
      <c r="F82" s="71" t="str">
        <f t="shared" si="18"/>
        <v>-</v>
      </c>
      <c r="G82" s="33"/>
      <c r="H82" s="33"/>
      <c r="I82" s="46"/>
      <c r="J82" s="35"/>
      <c r="K82" s="35"/>
      <c r="L82" s="36">
        <f t="shared" si="19"/>
        <v>0</v>
      </c>
      <c r="M82" s="33"/>
      <c r="AN82" s="47">
        <v>72</v>
      </c>
      <c r="AO82" s="42">
        <f t="shared" si="20"/>
        <v>0</v>
      </c>
      <c r="AP82" s="43">
        <f t="shared" si="21"/>
        <v>0</v>
      </c>
      <c r="AQ82" s="42">
        <f t="shared" si="22"/>
        <v>0</v>
      </c>
      <c r="AR82" s="44">
        <f t="shared" si="25"/>
        <v>0</v>
      </c>
      <c r="AT82" s="39">
        <f t="shared" si="23"/>
        <v>0</v>
      </c>
      <c r="AU82" s="39">
        <f t="shared" si="24"/>
        <v>0</v>
      </c>
      <c r="AW82" s="45">
        <f t="shared" si="26"/>
        <v>0</v>
      </c>
      <c r="AX82" s="45">
        <f t="shared" si="27"/>
        <v>0</v>
      </c>
    </row>
    <row r="83" spans="1:50" x14ac:dyDescent="0.3">
      <c r="A83" s="32">
        <v>73</v>
      </c>
      <c r="B83" s="33"/>
      <c r="C83" s="33"/>
      <c r="D83" s="33"/>
      <c r="E83" s="33" t="s">
        <v>24</v>
      </c>
      <c r="F83" s="71" t="str">
        <f t="shared" si="18"/>
        <v>-</v>
      </c>
      <c r="G83" s="33"/>
      <c r="H83" s="33"/>
      <c r="I83" s="46"/>
      <c r="J83" s="35"/>
      <c r="K83" s="35"/>
      <c r="L83" s="36">
        <f t="shared" si="19"/>
        <v>0</v>
      </c>
      <c r="M83" s="33"/>
      <c r="AN83" s="47">
        <v>73</v>
      </c>
      <c r="AO83" s="42">
        <f t="shared" si="20"/>
        <v>0</v>
      </c>
      <c r="AP83" s="43">
        <f t="shared" si="21"/>
        <v>0</v>
      </c>
      <c r="AQ83" s="42">
        <f t="shared" si="22"/>
        <v>0</v>
      </c>
      <c r="AR83" s="44">
        <f t="shared" si="25"/>
        <v>0</v>
      </c>
      <c r="AT83" s="39">
        <f t="shared" si="23"/>
        <v>0</v>
      </c>
      <c r="AU83" s="39">
        <f t="shared" si="24"/>
        <v>0</v>
      </c>
      <c r="AW83" s="45">
        <f t="shared" si="26"/>
        <v>0</v>
      </c>
      <c r="AX83" s="45">
        <f t="shared" si="27"/>
        <v>0</v>
      </c>
    </row>
    <row r="84" spans="1:50" x14ac:dyDescent="0.3">
      <c r="A84" s="32">
        <v>74</v>
      </c>
      <c r="B84" s="33"/>
      <c r="C84" s="33"/>
      <c r="D84" s="33"/>
      <c r="E84" s="33" t="s">
        <v>24</v>
      </c>
      <c r="F84" s="71" t="str">
        <f t="shared" si="18"/>
        <v>-</v>
      </c>
      <c r="G84" s="33"/>
      <c r="H84" s="33"/>
      <c r="I84" s="46"/>
      <c r="J84" s="35"/>
      <c r="K84" s="35"/>
      <c r="L84" s="36">
        <f t="shared" si="19"/>
        <v>0</v>
      </c>
      <c r="M84" s="33"/>
      <c r="AN84" s="47">
        <v>74</v>
      </c>
      <c r="AO84" s="42">
        <f t="shared" si="20"/>
        <v>0</v>
      </c>
      <c r="AP84" s="43">
        <f t="shared" si="21"/>
        <v>0</v>
      </c>
      <c r="AQ84" s="42">
        <f t="shared" si="22"/>
        <v>0</v>
      </c>
      <c r="AR84" s="44">
        <f t="shared" si="25"/>
        <v>0</v>
      </c>
      <c r="AT84" s="39">
        <f t="shared" si="23"/>
        <v>0</v>
      </c>
      <c r="AU84" s="39">
        <f t="shared" si="24"/>
        <v>0</v>
      </c>
      <c r="AW84" s="45">
        <f t="shared" si="26"/>
        <v>0</v>
      </c>
      <c r="AX84" s="45">
        <f t="shared" si="27"/>
        <v>0</v>
      </c>
    </row>
    <row r="85" spans="1:50" x14ac:dyDescent="0.3">
      <c r="A85" s="32">
        <v>75</v>
      </c>
      <c r="B85" s="33"/>
      <c r="C85" s="33"/>
      <c r="D85" s="33"/>
      <c r="E85" s="33" t="s">
        <v>24</v>
      </c>
      <c r="F85" s="71" t="str">
        <f t="shared" si="18"/>
        <v>-</v>
      </c>
      <c r="G85" s="33"/>
      <c r="H85" s="33"/>
      <c r="I85" s="46"/>
      <c r="J85" s="35"/>
      <c r="K85" s="35"/>
      <c r="L85" s="36">
        <f t="shared" si="19"/>
        <v>0</v>
      </c>
      <c r="M85" s="33"/>
      <c r="AN85" s="47">
        <v>75</v>
      </c>
      <c r="AO85" s="42">
        <f t="shared" si="20"/>
        <v>0</v>
      </c>
      <c r="AP85" s="43">
        <f t="shared" si="21"/>
        <v>0</v>
      </c>
      <c r="AQ85" s="42">
        <f t="shared" si="22"/>
        <v>0</v>
      </c>
      <c r="AR85" s="44">
        <f t="shared" si="25"/>
        <v>0</v>
      </c>
      <c r="AT85" s="39">
        <f t="shared" si="23"/>
        <v>0</v>
      </c>
      <c r="AU85" s="39">
        <f t="shared" si="24"/>
        <v>0</v>
      </c>
      <c r="AW85" s="45">
        <f t="shared" si="26"/>
        <v>0</v>
      </c>
      <c r="AX85" s="45">
        <f t="shared" si="27"/>
        <v>0</v>
      </c>
    </row>
    <row r="86" spans="1:50" x14ac:dyDescent="0.3">
      <c r="A86" s="32">
        <v>76</v>
      </c>
      <c r="B86" s="33"/>
      <c r="C86" s="33"/>
      <c r="D86" s="33"/>
      <c r="E86" s="33" t="s">
        <v>24</v>
      </c>
      <c r="F86" s="71" t="str">
        <f t="shared" si="18"/>
        <v>-</v>
      </c>
      <c r="G86" s="33"/>
      <c r="H86" s="33"/>
      <c r="I86" s="46"/>
      <c r="J86" s="35"/>
      <c r="K86" s="35"/>
      <c r="L86" s="36">
        <f t="shared" si="19"/>
        <v>0</v>
      </c>
      <c r="M86" s="33"/>
      <c r="AN86" s="47">
        <v>76</v>
      </c>
      <c r="AO86" s="42">
        <f t="shared" si="20"/>
        <v>0</v>
      </c>
      <c r="AP86" s="43">
        <f t="shared" si="21"/>
        <v>0</v>
      </c>
      <c r="AQ86" s="42">
        <f t="shared" si="22"/>
        <v>0</v>
      </c>
      <c r="AR86" s="44">
        <f t="shared" si="25"/>
        <v>0</v>
      </c>
      <c r="AT86" s="39">
        <f t="shared" si="23"/>
        <v>0</v>
      </c>
      <c r="AU86" s="39">
        <f t="shared" si="24"/>
        <v>0</v>
      </c>
      <c r="AW86" s="45">
        <f t="shared" si="26"/>
        <v>0</v>
      </c>
      <c r="AX86" s="45">
        <f t="shared" si="27"/>
        <v>0</v>
      </c>
    </row>
    <row r="87" spans="1:50" x14ac:dyDescent="0.3">
      <c r="A87" s="32">
        <v>77</v>
      </c>
      <c r="B87" s="33"/>
      <c r="C87" s="33"/>
      <c r="D87" s="33"/>
      <c r="E87" s="33" t="s">
        <v>24</v>
      </c>
      <c r="F87" s="71" t="str">
        <f t="shared" si="18"/>
        <v>-</v>
      </c>
      <c r="G87" s="33"/>
      <c r="H87" s="33"/>
      <c r="I87" s="46"/>
      <c r="J87" s="35"/>
      <c r="K87" s="35"/>
      <c r="L87" s="36">
        <f t="shared" si="19"/>
        <v>0</v>
      </c>
      <c r="M87" s="33"/>
      <c r="AN87" s="47">
        <v>77</v>
      </c>
      <c r="AO87" s="42">
        <f t="shared" si="20"/>
        <v>0</v>
      </c>
      <c r="AP87" s="43">
        <f t="shared" si="21"/>
        <v>0</v>
      </c>
      <c r="AQ87" s="42">
        <f t="shared" si="22"/>
        <v>0</v>
      </c>
      <c r="AR87" s="44">
        <f t="shared" si="25"/>
        <v>0</v>
      </c>
      <c r="AT87" s="39">
        <f t="shared" si="23"/>
        <v>0</v>
      </c>
      <c r="AU87" s="39">
        <f t="shared" si="24"/>
        <v>0</v>
      </c>
      <c r="AW87" s="45">
        <f t="shared" si="26"/>
        <v>0</v>
      </c>
      <c r="AX87" s="45">
        <f t="shared" si="27"/>
        <v>0</v>
      </c>
    </row>
    <row r="88" spans="1:50" x14ac:dyDescent="0.3">
      <c r="A88" s="32">
        <v>78</v>
      </c>
      <c r="B88" s="33"/>
      <c r="C88" s="33"/>
      <c r="D88" s="33"/>
      <c r="E88" s="33" t="s">
        <v>24</v>
      </c>
      <c r="F88" s="71" t="str">
        <f t="shared" si="18"/>
        <v>-</v>
      </c>
      <c r="G88" s="33"/>
      <c r="H88" s="33"/>
      <c r="I88" s="46"/>
      <c r="J88" s="35"/>
      <c r="K88" s="35"/>
      <c r="L88" s="36">
        <f t="shared" si="19"/>
        <v>0</v>
      </c>
      <c r="M88" s="33"/>
      <c r="AN88" s="47">
        <v>78</v>
      </c>
      <c r="AO88" s="42">
        <f t="shared" si="20"/>
        <v>0</v>
      </c>
      <c r="AP88" s="43">
        <f t="shared" si="21"/>
        <v>0</v>
      </c>
      <c r="AQ88" s="42">
        <f t="shared" si="22"/>
        <v>0</v>
      </c>
      <c r="AR88" s="44">
        <f t="shared" si="25"/>
        <v>0</v>
      </c>
      <c r="AT88" s="39">
        <f t="shared" si="23"/>
        <v>0</v>
      </c>
      <c r="AU88" s="39">
        <f t="shared" si="24"/>
        <v>0</v>
      </c>
      <c r="AW88" s="45">
        <f t="shared" si="26"/>
        <v>0</v>
      </c>
      <c r="AX88" s="45">
        <f t="shared" si="27"/>
        <v>0</v>
      </c>
    </row>
    <row r="89" spans="1:50" x14ac:dyDescent="0.3">
      <c r="A89" s="32">
        <v>79</v>
      </c>
      <c r="B89" s="33"/>
      <c r="C89" s="33"/>
      <c r="D89" s="33"/>
      <c r="E89" s="33" t="s">
        <v>24</v>
      </c>
      <c r="F89" s="71" t="str">
        <f t="shared" si="18"/>
        <v>-</v>
      </c>
      <c r="G89" s="33"/>
      <c r="H89" s="33"/>
      <c r="I89" s="46"/>
      <c r="J89" s="35"/>
      <c r="K89" s="35"/>
      <c r="L89" s="36">
        <f t="shared" si="19"/>
        <v>0</v>
      </c>
      <c r="M89" s="33"/>
      <c r="AN89" s="47">
        <v>79</v>
      </c>
      <c r="AO89" s="42">
        <f t="shared" si="20"/>
        <v>0</v>
      </c>
      <c r="AP89" s="43">
        <f t="shared" si="21"/>
        <v>0</v>
      </c>
      <c r="AQ89" s="42">
        <f t="shared" si="22"/>
        <v>0</v>
      </c>
      <c r="AR89" s="44">
        <f t="shared" si="25"/>
        <v>0</v>
      </c>
      <c r="AT89" s="39">
        <f t="shared" si="23"/>
        <v>0</v>
      </c>
      <c r="AU89" s="39">
        <f t="shared" si="24"/>
        <v>0</v>
      </c>
      <c r="AW89" s="45">
        <f t="shared" si="26"/>
        <v>0</v>
      </c>
      <c r="AX89" s="45">
        <f t="shared" si="27"/>
        <v>0</v>
      </c>
    </row>
    <row r="90" spans="1:50" x14ac:dyDescent="0.3">
      <c r="A90" s="32">
        <v>80</v>
      </c>
      <c r="B90" s="33"/>
      <c r="C90" s="33"/>
      <c r="D90" s="33"/>
      <c r="E90" s="33" t="s">
        <v>24</v>
      </c>
      <c r="F90" s="71" t="str">
        <f t="shared" si="18"/>
        <v>-</v>
      </c>
      <c r="G90" s="33"/>
      <c r="H90" s="33"/>
      <c r="I90" s="46"/>
      <c r="J90" s="35"/>
      <c r="K90" s="35"/>
      <c r="L90" s="36">
        <f t="shared" si="19"/>
        <v>0</v>
      </c>
      <c r="M90" s="33"/>
      <c r="AN90" s="47">
        <v>80</v>
      </c>
      <c r="AO90" s="42">
        <f t="shared" si="20"/>
        <v>0</v>
      </c>
      <c r="AP90" s="43">
        <f t="shared" si="21"/>
        <v>0</v>
      </c>
      <c r="AQ90" s="42">
        <f t="shared" si="22"/>
        <v>0</v>
      </c>
      <c r="AR90" s="44">
        <f t="shared" si="25"/>
        <v>0</v>
      </c>
      <c r="AT90" s="39">
        <f t="shared" si="23"/>
        <v>0</v>
      </c>
      <c r="AU90" s="39">
        <f t="shared" si="24"/>
        <v>0</v>
      </c>
      <c r="AW90" s="45">
        <f t="shared" si="26"/>
        <v>0</v>
      </c>
      <c r="AX90" s="45">
        <f t="shared" si="27"/>
        <v>0</v>
      </c>
    </row>
    <row r="91" spans="1:50" x14ac:dyDescent="0.3">
      <c r="A91" s="32">
        <v>81</v>
      </c>
      <c r="B91" s="33"/>
      <c r="C91" s="33"/>
      <c r="D91" s="33"/>
      <c r="E91" s="33" t="s">
        <v>24</v>
      </c>
      <c r="F91" s="71" t="str">
        <f t="shared" si="18"/>
        <v>-</v>
      </c>
      <c r="G91" s="33"/>
      <c r="H91" s="33"/>
      <c r="I91" s="46"/>
      <c r="J91" s="35"/>
      <c r="K91" s="35"/>
      <c r="L91" s="36">
        <f t="shared" si="19"/>
        <v>0</v>
      </c>
      <c r="M91" s="33"/>
      <c r="AN91" s="47">
        <v>81</v>
      </c>
      <c r="AO91" s="42">
        <f t="shared" si="20"/>
        <v>0</v>
      </c>
      <c r="AP91" s="43">
        <f t="shared" si="21"/>
        <v>0</v>
      </c>
      <c r="AQ91" s="42">
        <f t="shared" si="22"/>
        <v>0</v>
      </c>
      <c r="AR91" s="44">
        <f t="shared" si="25"/>
        <v>0</v>
      </c>
      <c r="AT91" s="39">
        <f t="shared" si="23"/>
        <v>0</v>
      </c>
      <c r="AU91" s="39">
        <f t="shared" si="24"/>
        <v>0</v>
      </c>
      <c r="AW91" s="45">
        <f t="shared" si="26"/>
        <v>0</v>
      </c>
      <c r="AX91" s="45">
        <f t="shared" si="27"/>
        <v>0</v>
      </c>
    </row>
    <row r="92" spans="1:50" x14ac:dyDescent="0.3">
      <c r="A92" s="32">
        <v>82</v>
      </c>
      <c r="B92" s="33"/>
      <c r="C92" s="33"/>
      <c r="D92" s="33"/>
      <c r="E92" s="33" t="s">
        <v>24</v>
      </c>
      <c r="F92" s="71" t="str">
        <f t="shared" si="18"/>
        <v>-</v>
      </c>
      <c r="G92" s="33"/>
      <c r="H92" s="33"/>
      <c r="I92" s="46"/>
      <c r="J92" s="35"/>
      <c r="K92" s="35"/>
      <c r="L92" s="36">
        <f t="shared" si="19"/>
        <v>0</v>
      </c>
      <c r="M92" s="33"/>
      <c r="AN92" s="47">
        <v>82</v>
      </c>
      <c r="AO92" s="42">
        <f t="shared" si="20"/>
        <v>0</v>
      </c>
      <c r="AP92" s="43">
        <f t="shared" si="21"/>
        <v>0</v>
      </c>
      <c r="AQ92" s="42">
        <f t="shared" si="22"/>
        <v>0</v>
      </c>
      <c r="AR92" s="44">
        <f t="shared" si="25"/>
        <v>0</v>
      </c>
      <c r="AT92" s="39">
        <f t="shared" si="23"/>
        <v>0</v>
      </c>
      <c r="AU92" s="39">
        <f t="shared" si="24"/>
        <v>0</v>
      </c>
      <c r="AW92" s="45">
        <f t="shared" si="26"/>
        <v>0</v>
      </c>
      <c r="AX92" s="45">
        <f t="shared" si="27"/>
        <v>0</v>
      </c>
    </row>
    <row r="93" spans="1:50" x14ac:dyDescent="0.3">
      <c r="A93" s="32">
        <v>83</v>
      </c>
      <c r="B93" s="33"/>
      <c r="C93" s="33"/>
      <c r="D93" s="33"/>
      <c r="E93" s="33" t="s">
        <v>24</v>
      </c>
      <c r="F93" s="71" t="str">
        <f t="shared" si="18"/>
        <v>-</v>
      </c>
      <c r="G93" s="33"/>
      <c r="H93" s="33"/>
      <c r="I93" s="46"/>
      <c r="J93" s="35"/>
      <c r="K93" s="35"/>
      <c r="L93" s="36">
        <f t="shared" si="19"/>
        <v>0</v>
      </c>
      <c r="M93" s="33"/>
      <c r="AN93" s="47">
        <v>83</v>
      </c>
      <c r="AO93" s="42">
        <f t="shared" si="20"/>
        <v>0</v>
      </c>
      <c r="AP93" s="43">
        <f t="shared" si="21"/>
        <v>0</v>
      </c>
      <c r="AQ93" s="42">
        <f t="shared" si="22"/>
        <v>0</v>
      </c>
      <c r="AR93" s="44">
        <f t="shared" si="25"/>
        <v>0</v>
      </c>
      <c r="AT93" s="39">
        <f t="shared" si="23"/>
        <v>0</v>
      </c>
      <c r="AU93" s="39">
        <f t="shared" si="24"/>
        <v>0</v>
      </c>
      <c r="AW93" s="45">
        <f t="shared" si="26"/>
        <v>0</v>
      </c>
      <c r="AX93" s="45">
        <f t="shared" si="27"/>
        <v>0</v>
      </c>
    </row>
    <row r="94" spans="1:50" x14ac:dyDescent="0.3">
      <c r="A94" s="32">
        <v>84</v>
      </c>
      <c r="B94" s="33"/>
      <c r="C94" s="33"/>
      <c r="D94" s="33"/>
      <c r="E94" s="33" t="s">
        <v>24</v>
      </c>
      <c r="F94" s="71" t="str">
        <f t="shared" si="18"/>
        <v>-</v>
      </c>
      <c r="G94" s="33"/>
      <c r="H94" s="33"/>
      <c r="I94" s="46"/>
      <c r="J94" s="35"/>
      <c r="K94" s="35"/>
      <c r="L94" s="36">
        <f t="shared" si="19"/>
        <v>0</v>
      </c>
      <c r="M94" s="33"/>
      <c r="AN94" s="47">
        <v>84</v>
      </c>
      <c r="AO94" s="42">
        <f t="shared" si="20"/>
        <v>0</v>
      </c>
      <c r="AP94" s="43">
        <f t="shared" si="21"/>
        <v>0</v>
      </c>
      <c r="AQ94" s="42">
        <f t="shared" si="22"/>
        <v>0</v>
      </c>
      <c r="AR94" s="44">
        <f t="shared" si="25"/>
        <v>0</v>
      </c>
      <c r="AT94" s="39">
        <f t="shared" si="23"/>
        <v>0</v>
      </c>
      <c r="AU94" s="39">
        <f t="shared" si="24"/>
        <v>0</v>
      </c>
      <c r="AW94" s="45">
        <f t="shared" si="26"/>
        <v>0</v>
      </c>
      <c r="AX94" s="45">
        <f t="shared" si="27"/>
        <v>0</v>
      </c>
    </row>
    <row r="95" spans="1:50" x14ac:dyDescent="0.3">
      <c r="A95" s="32">
        <v>85</v>
      </c>
      <c r="B95" s="33"/>
      <c r="C95" s="33"/>
      <c r="D95" s="33"/>
      <c r="E95" s="33" t="s">
        <v>24</v>
      </c>
      <c r="F95" s="71" t="str">
        <f t="shared" si="18"/>
        <v>-</v>
      </c>
      <c r="G95" s="33"/>
      <c r="H95" s="33"/>
      <c r="I95" s="46"/>
      <c r="J95" s="35"/>
      <c r="K95" s="35"/>
      <c r="L95" s="36">
        <f t="shared" si="19"/>
        <v>0</v>
      </c>
      <c r="M95" s="33"/>
      <c r="AN95" s="47">
        <v>85</v>
      </c>
      <c r="AO95" s="42">
        <f t="shared" si="20"/>
        <v>0</v>
      </c>
      <c r="AP95" s="43">
        <f t="shared" si="21"/>
        <v>0</v>
      </c>
      <c r="AQ95" s="42">
        <f t="shared" si="22"/>
        <v>0</v>
      </c>
      <c r="AR95" s="44">
        <f t="shared" si="25"/>
        <v>0</v>
      </c>
      <c r="AT95" s="39">
        <f t="shared" si="23"/>
        <v>0</v>
      </c>
      <c r="AU95" s="39">
        <f t="shared" si="24"/>
        <v>0</v>
      </c>
      <c r="AW95" s="45">
        <f t="shared" si="26"/>
        <v>0</v>
      </c>
      <c r="AX95" s="45">
        <f t="shared" si="27"/>
        <v>0</v>
      </c>
    </row>
    <row r="96" spans="1:50" x14ac:dyDescent="0.3">
      <c r="A96" s="32">
        <v>86</v>
      </c>
      <c r="B96" s="33"/>
      <c r="C96" s="33"/>
      <c r="D96" s="33"/>
      <c r="E96" s="33" t="s">
        <v>24</v>
      </c>
      <c r="F96" s="71" t="str">
        <f t="shared" si="18"/>
        <v>-</v>
      </c>
      <c r="G96" s="33"/>
      <c r="H96" s="33"/>
      <c r="I96" s="46"/>
      <c r="J96" s="35"/>
      <c r="K96" s="35"/>
      <c r="L96" s="36">
        <f t="shared" si="19"/>
        <v>0</v>
      </c>
      <c r="M96" s="33"/>
      <c r="AN96" s="47">
        <v>86</v>
      </c>
      <c r="AO96" s="42">
        <f t="shared" si="20"/>
        <v>0</v>
      </c>
      <c r="AP96" s="43">
        <f t="shared" si="21"/>
        <v>0</v>
      </c>
      <c r="AQ96" s="42">
        <f t="shared" si="22"/>
        <v>0</v>
      </c>
      <c r="AR96" s="44">
        <f t="shared" si="25"/>
        <v>0</v>
      </c>
      <c r="AT96" s="39">
        <f t="shared" si="23"/>
        <v>0</v>
      </c>
      <c r="AU96" s="39">
        <f t="shared" si="24"/>
        <v>0</v>
      </c>
      <c r="AW96" s="45">
        <f t="shared" si="26"/>
        <v>0</v>
      </c>
      <c r="AX96" s="45">
        <f t="shared" si="27"/>
        <v>0</v>
      </c>
    </row>
    <row r="97" spans="1:50" x14ac:dyDescent="0.3">
      <c r="A97" s="32">
        <v>87</v>
      </c>
      <c r="B97" s="33"/>
      <c r="C97" s="33"/>
      <c r="D97" s="33"/>
      <c r="E97" s="33" t="s">
        <v>24</v>
      </c>
      <c r="F97" s="71" t="str">
        <f t="shared" si="18"/>
        <v>-</v>
      </c>
      <c r="G97" s="33"/>
      <c r="H97" s="33"/>
      <c r="I97" s="46"/>
      <c r="J97" s="35"/>
      <c r="K97" s="35"/>
      <c r="L97" s="36">
        <f t="shared" si="19"/>
        <v>0</v>
      </c>
      <c r="M97" s="33"/>
      <c r="AN97" s="47">
        <v>87</v>
      </c>
      <c r="AO97" s="42">
        <f t="shared" si="20"/>
        <v>0</v>
      </c>
      <c r="AP97" s="43">
        <f t="shared" si="21"/>
        <v>0</v>
      </c>
      <c r="AQ97" s="42">
        <f t="shared" si="22"/>
        <v>0</v>
      </c>
      <c r="AR97" s="44">
        <f t="shared" si="25"/>
        <v>0</v>
      </c>
      <c r="AT97" s="39">
        <f t="shared" si="23"/>
        <v>0</v>
      </c>
      <c r="AU97" s="39">
        <f t="shared" si="24"/>
        <v>0</v>
      </c>
      <c r="AW97" s="45">
        <f t="shared" si="26"/>
        <v>0</v>
      </c>
      <c r="AX97" s="45">
        <f t="shared" si="27"/>
        <v>0</v>
      </c>
    </row>
    <row r="98" spans="1:50" x14ac:dyDescent="0.3">
      <c r="A98" s="32">
        <v>88</v>
      </c>
      <c r="B98" s="33"/>
      <c r="C98" s="33"/>
      <c r="D98" s="33"/>
      <c r="E98" s="33" t="s">
        <v>24</v>
      </c>
      <c r="F98" s="71" t="str">
        <f t="shared" si="18"/>
        <v>-</v>
      </c>
      <c r="G98" s="33"/>
      <c r="H98" s="33"/>
      <c r="I98" s="46"/>
      <c r="J98" s="35"/>
      <c r="K98" s="35"/>
      <c r="L98" s="36">
        <f t="shared" si="19"/>
        <v>0</v>
      </c>
      <c r="M98" s="33"/>
      <c r="AN98" s="47">
        <v>88</v>
      </c>
      <c r="AO98" s="42">
        <f t="shared" si="20"/>
        <v>0</v>
      </c>
      <c r="AP98" s="43">
        <f t="shared" si="21"/>
        <v>0</v>
      </c>
      <c r="AQ98" s="42">
        <f t="shared" si="22"/>
        <v>0</v>
      </c>
      <c r="AR98" s="44">
        <f t="shared" si="25"/>
        <v>0</v>
      </c>
      <c r="AT98" s="39">
        <f t="shared" si="23"/>
        <v>0</v>
      </c>
      <c r="AU98" s="39">
        <f t="shared" si="24"/>
        <v>0</v>
      </c>
      <c r="AW98" s="45">
        <f t="shared" si="26"/>
        <v>0</v>
      </c>
      <c r="AX98" s="45">
        <f t="shared" si="27"/>
        <v>0</v>
      </c>
    </row>
    <row r="99" spans="1:50" x14ac:dyDescent="0.3">
      <c r="A99" s="32">
        <v>89</v>
      </c>
      <c r="B99" s="33"/>
      <c r="C99" s="33"/>
      <c r="D99" s="33"/>
      <c r="E99" s="33" t="s">
        <v>24</v>
      </c>
      <c r="F99" s="71" t="str">
        <f t="shared" si="18"/>
        <v>-</v>
      </c>
      <c r="G99" s="33"/>
      <c r="H99" s="33"/>
      <c r="I99" s="46"/>
      <c r="J99" s="35"/>
      <c r="K99" s="35"/>
      <c r="L99" s="36">
        <f t="shared" si="19"/>
        <v>0</v>
      </c>
      <c r="M99" s="33"/>
      <c r="AN99" s="47">
        <v>89</v>
      </c>
      <c r="AO99" s="42">
        <f t="shared" si="20"/>
        <v>0</v>
      </c>
      <c r="AP99" s="43">
        <f t="shared" si="21"/>
        <v>0</v>
      </c>
      <c r="AQ99" s="42">
        <f t="shared" si="22"/>
        <v>0</v>
      </c>
      <c r="AR99" s="44">
        <f t="shared" si="25"/>
        <v>0</v>
      </c>
      <c r="AT99" s="39">
        <f t="shared" si="23"/>
        <v>0</v>
      </c>
      <c r="AU99" s="39">
        <f t="shared" si="24"/>
        <v>0</v>
      </c>
      <c r="AW99" s="45">
        <f t="shared" si="26"/>
        <v>0</v>
      </c>
      <c r="AX99" s="45">
        <f t="shared" si="27"/>
        <v>0</v>
      </c>
    </row>
    <row r="100" spans="1:50" x14ac:dyDescent="0.3">
      <c r="A100" s="32">
        <v>90</v>
      </c>
      <c r="B100" s="33"/>
      <c r="C100" s="33"/>
      <c r="D100" s="33"/>
      <c r="E100" s="33" t="s">
        <v>24</v>
      </c>
      <c r="F100" s="71" t="str">
        <f t="shared" si="18"/>
        <v>-</v>
      </c>
      <c r="G100" s="33"/>
      <c r="H100" s="33"/>
      <c r="I100" s="46"/>
      <c r="J100" s="35"/>
      <c r="K100" s="35"/>
      <c r="L100" s="36">
        <f t="shared" si="19"/>
        <v>0</v>
      </c>
      <c r="M100" s="33"/>
      <c r="AN100" s="47">
        <v>90</v>
      </c>
      <c r="AO100" s="42">
        <f t="shared" si="20"/>
        <v>0</v>
      </c>
      <c r="AP100" s="43">
        <f t="shared" si="21"/>
        <v>0</v>
      </c>
      <c r="AQ100" s="42">
        <f t="shared" si="22"/>
        <v>0</v>
      </c>
      <c r="AR100" s="44">
        <f t="shared" si="25"/>
        <v>0</v>
      </c>
      <c r="AT100" s="39">
        <f t="shared" si="23"/>
        <v>0</v>
      </c>
      <c r="AU100" s="39">
        <f t="shared" si="24"/>
        <v>0</v>
      </c>
      <c r="AW100" s="45">
        <f t="shared" si="26"/>
        <v>0</v>
      </c>
      <c r="AX100" s="45">
        <f t="shared" si="27"/>
        <v>0</v>
      </c>
    </row>
    <row r="101" spans="1:50" x14ac:dyDescent="0.3">
      <c r="A101" s="32">
        <v>91</v>
      </c>
      <c r="B101" s="33"/>
      <c r="C101" s="33"/>
      <c r="D101" s="33"/>
      <c r="E101" s="33" t="s">
        <v>24</v>
      </c>
      <c r="F101" s="71" t="str">
        <f t="shared" si="18"/>
        <v>-</v>
      </c>
      <c r="G101" s="33"/>
      <c r="H101" s="33"/>
      <c r="I101" s="46"/>
      <c r="J101" s="35"/>
      <c r="K101" s="35"/>
      <c r="L101" s="36">
        <f t="shared" si="19"/>
        <v>0</v>
      </c>
      <c r="M101" s="33"/>
      <c r="AN101" s="47">
        <v>91</v>
      </c>
      <c r="AO101" s="42">
        <f t="shared" si="20"/>
        <v>0</v>
      </c>
      <c r="AP101" s="43">
        <f t="shared" si="21"/>
        <v>0</v>
      </c>
      <c r="AQ101" s="42">
        <f t="shared" si="22"/>
        <v>0</v>
      </c>
      <c r="AR101" s="44">
        <f t="shared" si="25"/>
        <v>0</v>
      </c>
      <c r="AT101" s="39">
        <f t="shared" si="23"/>
        <v>0</v>
      </c>
      <c r="AU101" s="39">
        <f t="shared" si="24"/>
        <v>0</v>
      </c>
      <c r="AW101" s="45">
        <f t="shared" si="26"/>
        <v>0</v>
      </c>
      <c r="AX101" s="45">
        <f t="shared" si="27"/>
        <v>0</v>
      </c>
    </row>
    <row r="102" spans="1:50" x14ac:dyDescent="0.3">
      <c r="A102" s="32">
        <v>92</v>
      </c>
      <c r="B102" s="33"/>
      <c r="C102" s="33"/>
      <c r="D102" s="33"/>
      <c r="E102" s="33" t="s">
        <v>24</v>
      </c>
      <c r="F102" s="71" t="str">
        <f t="shared" si="18"/>
        <v>-</v>
      </c>
      <c r="G102" s="33"/>
      <c r="H102" s="33"/>
      <c r="I102" s="46"/>
      <c r="J102" s="35"/>
      <c r="K102" s="35"/>
      <c r="L102" s="36">
        <f t="shared" si="19"/>
        <v>0</v>
      </c>
      <c r="M102" s="33"/>
      <c r="AN102" s="47">
        <v>92</v>
      </c>
      <c r="AO102" s="42">
        <f t="shared" si="20"/>
        <v>0</v>
      </c>
      <c r="AP102" s="43">
        <f t="shared" si="21"/>
        <v>0</v>
      </c>
      <c r="AQ102" s="42">
        <f t="shared" si="22"/>
        <v>0</v>
      </c>
      <c r="AR102" s="44">
        <f t="shared" si="25"/>
        <v>0</v>
      </c>
      <c r="AT102" s="39">
        <f t="shared" si="23"/>
        <v>0</v>
      </c>
      <c r="AU102" s="39">
        <f t="shared" si="24"/>
        <v>0</v>
      </c>
      <c r="AW102" s="45">
        <f t="shared" si="26"/>
        <v>0</v>
      </c>
      <c r="AX102" s="45">
        <f t="shared" si="27"/>
        <v>0</v>
      </c>
    </row>
    <row r="103" spans="1:50" x14ac:dyDescent="0.3">
      <c r="A103" s="32">
        <v>93</v>
      </c>
      <c r="B103" s="33"/>
      <c r="C103" s="33"/>
      <c r="D103" s="33"/>
      <c r="E103" s="33" t="s">
        <v>24</v>
      </c>
      <c r="F103" s="71" t="str">
        <f t="shared" si="18"/>
        <v>-</v>
      </c>
      <c r="G103" s="33"/>
      <c r="H103" s="33"/>
      <c r="I103" s="46"/>
      <c r="J103" s="35"/>
      <c r="K103" s="35"/>
      <c r="L103" s="36">
        <f t="shared" si="19"/>
        <v>0</v>
      </c>
      <c r="M103" s="33"/>
      <c r="AN103" s="47">
        <v>93</v>
      </c>
      <c r="AO103" s="42">
        <f t="shared" si="20"/>
        <v>0</v>
      </c>
      <c r="AP103" s="43">
        <f t="shared" si="21"/>
        <v>0</v>
      </c>
      <c r="AQ103" s="42">
        <f t="shared" si="22"/>
        <v>0</v>
      </c>
      <c r="AR103" s="44">
        <f t="shared" si="25"/>
        <v>0</v>
      </c>
      <c r="AT103" s="39">
        <f t="shared" si="23"/>
        <v>0</v>
      </c>
      <c r="AU103" s="39">
        <f t="shared" si="24"/>
        <v>0</v>
      </c>
      <c r="AW103" s="45">
        <f t="shared" si="26"/>
        <v>0</v>
      </c>
      <c r="AX103" s="45">
        <f t="shared" si="27"/>
        <v>0</v>
      </c>
    </row>
    <row r="104" spans="1:50" x14ac:dyDescent="0.3">
      <c r="A104" s="32">
        <v>94</v>
      </c>
      <c r="B104" s="33"/>
      <c r="C104" s="33"/>
      <c r="D104" s="33"/>
      <c r="E104" s="33" t="s">
        <v>24</v>
      </c>
      <c r="F104" s="71" t="str">
        <f t="shared" si="18"/>
        <v>-</v>
      </c>
      <c r="G104" s="33"/>
      <c r="H104" s="33"/>
      <c r="I104" s="46"/>
      <c r="J104" s="35"/>
      <c r="K104" s="35"/>
      <c r="L104" s="36">
        <f t="shared" si="19"/>
        <v>0</v>
      </c>
      <c r="M104" s="33"/>
      <c r="AN104" s="47">
        <v>94</v>
      </c>
      <c r="AO104" s="42">
        <f t="shared" si="20"/>
        <v>0</v>
      </c>
      <c r="AP104" s="43">
        <f t="shared" si="21"/>
        <v>0</v>
      </c>
      <c r="AQ104" s="42">
        <f t="shared" si="22"/>
        <v>0</v>
      </c>
      <c r="AR104" s="44">
        <f t="shared" si="25"/>
        <v>0</v>
      </c>
      <c r="AT104" s="39">
        <f t="shared" si="23"/>
        <v>0</v>
      </c>
      <c r="AU104" s="39">
        <f t="shared" si="24"/>
        <v>0</v>
      </c>
      <c r="AW104" s="45">
        <f t="shared" si="26"/>
        <v>0</v>
      </c>
      <c r="AX104" s="45">
        <f t="shared" si="27"/>
        <v>0</v>
      </c>
    </row>
    <row r="105" spans="1:50" x14ac:dyDescent="0.3">
      <c r="A105" s="32">
        <v>95</v>
      </c>
      <c r="B105" s="33"/>
      <c r="C105" s="33"/>
      <c r="D105" s="33"/>
      <c r="E105" s="33" t="s">
        <v>24</v>
      </c>
      <c r="F105" s="71" t="str">
        <f t="shared" si="18"/>
        <v>-</v>
      </c>
      <c r="G105" s="33"/>
      <c r="H105" s="33"/>
      <c r="I105" s="46"/>
      <c r="J105" s="35"/>
      <c r="K105" s="35"/>
      <c r="L105" s="36">
        <f t="shared" si="19"/>
        <v>0</v>
      </c>
      <c r="M105" s="33"/>
      <c r="AN105" s="47">
        <v>95</v>
      </c>
      <c r="AO105" s="42">
        <f t="shared" si="20"/>
        <v>0</v>
      </c>
      <c r="AP105" s="43">
        <f t="shared" si="21"/>
        <v>0</v>
      </c>
      <c r="AQ105" s="42">
        <f t="shared" si="22"/>
        <v>0</v>
      </c>
      <c r="AR105" s="44">
        <f t="shared" si="25"/>
        <v>0</v>
      </c>
      <c r="AT105" s="39">
        <f t="shared" si="23"/>
        <v>0</v>
      </c>
      <c r="AU105" s="39">
        <f t="shared" si="24"/>
        <v>0</v>
      </c>
      <c r="AW105" s="45">
        <f t="shared" si="26"/>
        <v>0</v>
      </c>
      <c r="AX105" s="45">
        <f t="shared" si="27"/>
        <v>0</v>
      </c>
    </row>
    <row r="106" spans="1:50" x14ac:dyDescent="0.3">
      <c r="A106" s="32">
        <v>96</v>
      </c>
      <c r="B106" s="33"/>
      <c r="C106" s="33"/>
      <c r="D106" s="33"/>
      <c r="E106" s="33" t="s">
        <v>24</v>
      </c>
      <c r="F106" s="71" t="str">
        <f t="shared" si="18"/>
        <v>-</v>
      </c>
      <c r="G106" s="33"/>
      <c r="H106" s="33"/>
      <c r="I106" s="46"/>
      <c r="J106" s="35"/>
      <c r="K106" s="35"/>
      <c r="L106" s="36">
        <f t="shared" si="19"/>
        <v>0</v>
      </c>
      <c r="M106" s="33"/>
      <c r="AN106" s="47">
        <v>96</v>
      </c>
      <c r="AO106" s="42">
        <f t="shared" si="20"/>
        <v>0</v>
      </c>
      <c r="AP106" s="43">
        <f t="shared" si="21"/>
        <v>0</v>
      </c>
      <c r="AQ106" s="42">
        <f t="shared" si="22"/>
        <v>0</v>
      </c>
      <c r="AR106" s="44">
        <f t="shared" si="25"/>
        <v>0</v>
      </c>
      <c r="AT106" s="39">
        <f t="shared" si="23"/>
        <v>0</v>
      </c>
      <c r="AU106" s="39">
        <f t="shared" si="24"/>
        <v>0</v>
      </c>
      <c r="AW106" s="45">
        <f t="shared" si="26"/>
        <v>0</v>
      </c>
      <c r="AX106" s="45">
        <f t="shared" si="27"/>
        <v>0</v>
      </c>
    </row>
    <row r="107" spans="1:50" x14ac:dyDescent="0.3">
      <c r="A107" s="32">
        <v>97</v>
      </c>
      <c r="B107" s="33"/>
      <c r="C107" s="33"/>
      <c r="D107" s="33"/>
      <c r="E107" s="33" t="s">
        <v>24</v>
      </c>
      <c r="F107" s="71" t="str">
        <f t="shared" ref="F107:F170" si="28">IFERROR((VLOOKUP(E107,$AE$11:$AG$14,3,0)),"-")</f>
        <v>-</v>
      </c>
      <c r="G107" s="33"/>
      <c r="H107" s="33"/>
      <c r="I107" s="46"/>
      <c r="J107" s="35"/>
      <c r="K107" s="35"/>
      <c r="L107" s="36">
        <f t="shared" si="19"/>
        <v>0</v>
      </c>
      <c r="M107" s="33"/>
      <c r="AN107" s="47">
        <v>97</v>
      </c>
      <c r="AO107" s="42">
        <f t="shared" si="20"/>
        <v>0</v>
      </c>
      <c r="AP107" s="43">
        <f t="shared" si="21"/>
        <v>0</v>
      </c>
      <c r="AQ107" s="42">
        <f t="shared" ref="AQ107:AQ110" si="29">(I107+(I107*J107)+(I107*K107))*AP107</f>
        <v>0</v>
      </c>
      <c r="AR107" s="44">
        <f t="shared" si="25"/>
        <v>0</v>
      </c>
      <c r="AT107" s="39">
        <f t="shared" si="23"/>
        <v>0</v>
      </c>
      <c r="AU107" s="39">
        <f t="shared" si="24"/>
        <v>0</v>
      </c>
      <c r="AW107" s="45">
        <f t="shared" si="26"/>
        <v>0</v>
      </c>
      <c r="AX107" s="45">
        <f t="shared" si="27"/>
        <v>0</v>
      </c>
    </row>
    <row r="108" spans="1:50" x14ac:dyDescent="0.3">
      <c r="A108" s="32">
        <v>98</v>
      </c>
      <c r="B108" s="33"/>
      <c r="C108" s="33"/>
      <c r="D108" s="33"/>
      <c r="E108" s="33" t="s">
        <v>24</v>
      </c>
      <c r="F108" s="71" t="str">
        <f t="shared" si="28"/>
        <v>-</v>
      </c>
      <c r="G108" s="33"/>
      <c r="H108" s="33"/>
      <c r="I108" s="46"/>
      <c r="J108" s="35"/>
      <c r="K108" s="35"/>
      <c r="L108" s="36">
        <f t="shared" si="19"/>
        <v>0</v>
      </c>
      <c r="M108" s="33"/>
      <c r="AN108" s="47">
        <v>98</v>
      </c>
      <c r="AO108" s="42">
        <f t="shared" si="20"/>
        <v>0</v>
      </c>
      <c r="AP108" s="43">
        <f t="shared" si="21"/>
        <v>0</v>
      </c>
      <c r="AQ108" s="42">
        <f t="shared" si="29"/>
        <v>0</v>
      </c>
      <c r="AR108" s="44">
        <f t="shared" si="25"/>
        <v>0</v>
      </c>
      <c r="AT108" s="39">
        <f t="shared" si="23"/>
        <v>0</v>
      </c>
      <c r="AU108" s="39">
        <f t="shared" si="24"/>
        <v>0</v>
      </c>
      <c r="AW108" s="45">
        <f t="shared" si="26"/>
        <v>0</v>
      </c>
      <c r="AX108" s="45">
        <f t="shared" si="27"/>
        <v>0</v>
      </c>
    </row>
    <row r="109" spans="1:50" x14ac:dyDescent="0.3">
      <c r="A109" s="32">
        <v>99</v>
      </c>
      <c r="B109" s="33"/>
      <c r="C109" s="33"/>
      <c r="D109" s="33"/>
      <c r="E109" s="33" t="s">
        <v>24</v>
      </c>
      <c r="F109" s="71" t="str">
        <f t="shared" si="28"/>
        <v>-</v>
      </c>
      <c r="G109" s="33"/>
      <c r="H109" s="33"/>
      <c r="I109" s="46"/>
      <c r="J109" s="35"/>
      <c r="K109" s="35"/>
      <c r="L109" s="36">
        <f t="shared" si="19"/>
        <v>0</v>
      </c>
      <c r="M109" s="33"/>
      <c r="AN109" s="47">
        <v>99</v>
      </c>
      <c r="AO109" s="42">
        <f t="shared" si="20"/>
        <v>0</v>
      </c>
      <c r="AP109" s="43">
        <f t="shared" si="21"/>
        <v>0</v>
      </c>
      <c r="AQ109" s="42">
        <f t="shared" si="29"/>
        <v>0</v>
      </c>
      <c r="AR109" s="44">
        <f t="shared" si="25"/>
        <v>0</v>
      </c>
      <c r="AT109" s="39">
        <f t="shared" si="23"/>
        <v>0</v>
      </c>
      <c r="AU109" s="39">
        <f t="shared" si="24"/>
        <v>0</v>
      </c>
      <c r="AW109" s="45">
        <f t="shared" si="26"/>
        <v>0</v>
      </c>
      <c r="AX109" s="45">
        <f t="shared" si="27"/>
        <v>0</v>
      </c>
    </row>
    <row r="110" spans="1:50" x14ac:dyDescent="0.3">
      <c r="A110" s="32">
        <v>100</v>
      </c>
      <c r="B110" s="33"/>
      <c r="C110" s="33"/>
      <c r="D110" s="33"/>
      <c r="E110" s="33" t="s">
        <v>24</v>
      </c>
      <c r="F110" s="71" t="str">
        <f t="shared" si="28"/>
        <v>-</v>
      </c>
      <c r="G110" s="33"/>
      <c r="H110" s="33"/>
      <c r="I110" s="46"/>
      <c r="J110" s="35"/>
      <c r="K110" s="35"/>
      <c r="L110" s="36">
        <f t="shared" si="19"/>
        <v>0</v>
      </c>
      <c r="M110" s="33"/>
      <c r="AN110" s="47">
        <v>100</v>
      </c>
      <c r="AO110" s="42">
        <f t="shared" si="20"/>
        <v>0</v>
      </c>
      <c r="AP110" s="43">
        <f t="shared" si="21"/>
        <v>0</v>
      </c>
      <c r="AQ110" s="42">
        <f t="shared" si="29"/>
        <v>0</v>
      </c>
      <c r="AR110" s="44">
        <f t="shared" si="25"/>
        <v>0</v>
      </c>
      <c r="AT110" s="39">
        <f t="shared" si="23"/>
        <v>0</v>
      </c>
      <c r="AU110" s="39">
        <f t="shared" si="24"/>
        <v>0</v>
      </c>
      <c r="AW110" s="45">
        <f t="shared" si="26"/>
        <v>0</v>
      </c>
      <c r="AX110" s="45">
        <f t="shared" si="27"/>
        <v>0</v>
      </c>
    </row>
    <row r="111" spans="1:50" x14ac:dyDescent="0.3">
      <c r="A111" s="32">
        <v>101</v>
      </c>
      <c r="B111" s="33"/>
      <c r="C111" s="33"/>
      <c r="D111" s="33"/>
      <c r="E111" s="33" t="s">
        <v>24</v>
      </c>
      <c r="F111" s="71" t="str">
        <f t="shared" si="28"/>
        <v>-</v>
      </c>
      <c r="G111" s="33"/>
      <c r="H111" s="33"/>
      <c r="I111" s="46"/>
      <c r="J111" s="35"/>
      <c r="K111" s="35"/>
      <c r="L111" s="36">
        <f t="shared" ref="L111:L174" si="30">IF($H$4="-",0,IF($H$4="VAREJO",AW111,IF($H$4="ATACADO",AX111,0)))</f>
        <v>0</v>
      </c>
      <c r="M111" s="33"/>
      <c r="AN111" s="47">
        <v>101</v>
      </c>
      <c r="AO111" s="42">
        <f t="shared" ref="AO111:AO142" si="31">I111+(I111*J111)+(I111*K111)</f>
        <v>0</v>
      </c>
      <c r="AP111" s="43">
        <f t="shared" ref="AP111:AP142" si="32">IFERROR(VLOOKUP(E111,$AE$11:$AK$14,4,0),0)</f>
        <v>0</v>
      </c>
      <c r="AQ111" s="42">
        <f t="shared" ref="AQ111:AQ142" si="33">(I111+(I111*J111)+(I111*K111))*AP111</f>
        <v>0</v>
      </c>
      <c r="AR111" s="44">
        <f t="shared" ref="AR111:AR142" si="34">AO111+AQ111</f>
        <v>0</v>
      </c>
      <c r="AT111" s="39">
        <f t="shared" ref="AT111:AT142" si="35">IFERROR((VLOOKUP(E111,$AE$11:$AJ$14,5,0)),0)</f>
        <v>0</v>
      </c>
      <c r="AU111" s="39">
        <f t="shared" ref="AU111:AU142" si="36">IFERROR((VLOOKUP(E111,$AE$11:$AJ$14,6,0)),0)</f>
        <v>0</v>
      </c>
      <c r="AW111" s="45">
        <f t="shared" ref="AW111:AW142" si="37">AR111*AT111</f>
        <v>0</v>
      </c>
      <c r="AX111" s="45">
        <f t="shared" ref="AX111:AX142" si="38">AR111*AU111</f>
        <v>0</v>
      </c>
    </row>
    <row r="112" spans="1:50" x14ac:dyDescent="0.3">
      <c r="A112" s="32">
        <v>102</v>
      </c>
      <c r="B112" s="33"/>
      <c r="C112" s="33"/>
      <c r="D112" s="33"/>
      <c r="E112" s="33" t="s">
        <v>24</v>
      </c>
      <c r="F112" s="71" t="str">
        <f t="shared" si="28"/>
        <v>-</v>
      </c>
      <c r="G112" s="33"/>
      <c r="H112" s="33"/>
      <c r="I112" s="46"/>
      <c r="J112" s="35"/>
      <c r="K112" s="35"/>
      <c r="L112" s="36">
        <f t="shared" si="30"/>
        <v>0</v>
      </c>
      <c r="M112" s="33"/>
      <c r="AN112" s="47">
        <v>102</v>
      </c>
      <c r="AO112" s="42">
        <f t="shared" si="31"/>
        <v>0</v>
      </c>
      <c r="AP112" s="43">
        <f t="shared" si="32"/>
        <v>0</v>
      </c>
      <c r="AQ112" s="42">
        <f t="shared" si="33"/>
        <v>0</v>
      </c>
      <c r="AR112" s="44">
        <f t="shared" si="34"/>
        <v>0</v>
      </c>
      <c r="AT112" s="39">
        <f t="shared" si="35"/>
        <v>0</v>
      </c>
      <c r="AU112" s="39">
        <f t="shared" si="36"/>
        <v>0</v>
      </c>
      <c r="AW112" s="45">
        <f t="shared" si="37"/>
        <v>0</v>
      </c>
      <c r="AX112" s="45">
        <f t="shared" si="38"/>
        <v>0</v>
      </c>
    </row>
    <row r="113" spans="1:50" x14ac:dyDescent="0.3">
      <c r="A113" s="32">
        <v>103</v>
      </c>
      <c r="B113" s="33"/>
      <c r="C113" s="33"/>
      <c r="D113" s="33"/>
      <c r="E113" s="33" t="s">
        <v>24</v>
      </c>
      <c r="F113" s="71" t="str">
        <f t="shared" si="28"/>
        <v>-</v>
      </c>
      <c r="G113" s="33"/>
      <c r="H113" s="33"/>
      <c r="I113" s="46"/>
      <c r="J113" s="35"/>
      <c r="K113" s="35"/>
      <c r="L113" s="36">
        <f t="shared" si="30"/>
        <v>0</v>
      </c>
      <c r="M113" s="33"/>
      <c r="AN113" s="47">
        <v>103</v>
      </c>
      <c r="AO113" s="42">
        <f t="shared" si="31"/>
        <v>0</v>
      </c>
      <c r="AP113" s="43">
        <f t="shared" si="32"/>
        <v>0</v>
      </c>
      <c r="AQ113" s="42">
        <f t="shared" si="33"/>
        <v>0</v>
      </c>
      <c r="AR113" s="44">
        <f t="shared" si="34"/>
        <v>0</v>
      </c>
      <c r="AT113" s="39">
        <f t="shared" si="35"/>
        <v>0</v>
      </c>
      <c r="AU113" s="39">
        <f t="shared" si="36"/>
        <v>0</v>
      </c>
      <c r="AW113" s="45">
        <f t="shared" si="37"/>
        <v>0</v>
      </c>
      <c r="AX113" s="45">
        <f t="shared" si="38"/>
        <v>0</v>
      </c>
    </row>
    <row r="114" spans="1:50" x14ac:dyDescent="0.3">
      <c r="A114" s="32">
        <v>104</v>
      </c>
      <c r="B114" s="33"/>
      <c r="C114" s="33"/>
      <c r="D114" s="33"/>
      <c r="E114" s="33" t="s">
        <v>24</v>
      </c>
      <c r="F114" s="71" t="str">
        <f t="shared" si="28"/>
        <v>-</v>
      </c>
      <c r="G114" s="33"/>
      <c r="H114" s="33"/>
      <c r="I114" s="46"/>
      <c r="J114" s="35"/>
      <c r="K114" s="35"/>
      <c r="L114" s="36">
        <f t="shared" si="30"/>
        <v>0</v>
      </c>
      <c r="M114" s="33"/>
      <c r="AN114" s="47">
        <v>104</v>
      </c>
      <c r="AO114" s="42">
        <f t="shared" si="31"/>
        <v>0</v>
      </c>
      <c r="AP114" s="43">
        <f t="shared" si="32"/>
        <v>0</v>
      </c>
      <c r="AQ114" s="42">
        <f t="shared" si="33"/>
        <v>0</v>
      </c>
      <c r="AR114" s="44">
        <f t="shared" si="34"/>
        <v>0</v>
      </c>
      <c r="AT114" s="39">
        <f t="shared" si="35"/>
        <v>0</v>
      </c>
      <c r="AU114" s="39">
        <f t="shared" si="36"/>
        <v>0</v>
      </c>
      <c r="AW114" s="45">
        <f t="shared" si="37"/>
        <v>0</v>
      </c>
      <c r="AX114" s="45">
        <f t="shared" si="38"/>
        <v>0</v>
      </c>
    </row>
    <row r="115" spans="1:50" x14ac:dyDescent="0.3">
      <c r="A115" s="32">
        <v>105</v>
      </c>
      <c r="B115" s="33"/>
      <c r="C115" s="33"/>
      <c r="D115" s="33"/>
      <c r="E115" s="33" t="s">
        <v>24</v>
      </c>
      <c r="F115" s="71" t="str">
        <f t="shared" si="28"/>
        <v>-</v>
      </c>
      <c r="G115" s="33"/>
      <c r="H115" s="33"/>
      <c r="I115" s="46"/>
      <c r="J115" s="35"/>
      <c r="K115" s="35"/>
      <c r="L115" s="36">
        <f t="shared" si="30"/>
        <v>0</v>
      </c>
      <c r="M115" s="33"/>
      <c r="AN115" s="47">
        <v>105</v>
      </c>
      <c r="AO115" s="42">
        <f t="shared" si="31"/>
        <v>0</v>
      </c>
      <c r="AP115" s="43">
        <f t="shared" si="32"/>
        <v>0</v>
      </c>
      <c r="AQ115" s="42">
        <f t="shared" si="33"/>
        <v>0</v>
      </c>
      <c r="AR115" s="44">
        <f t="shared" si="34"/>
        <v>0</v>
      </c>
      <c r="AT115" s="39">
        <f t="shared" si="35"/>
        <v>0</v>
      </c>
      <c r="AU115" s="39">
        <f t="shared" si="36"/>
        <v>0</v>
      </c>
      <c r="AW115" s="45">
        <f t="shared" si="37"/>
        <v>0</v>
      </c>
      <c r="AX115" s="45">
        <f t="shared" si="38"/>
        <v>0</v>
      </c>
    </row>
    <row r="116" spans="1:50" x14ac:dyDescent="0.3">
      <c r="A116" s="32">
        <v>106</v>
      </c>
      <c r="B116" s="33"/>
      <c r="C116" s="33"/>
      <c r="D116" s="33"/>
      <c r="E116" s="33" t="s">
        <v>24</v>
      </c>
      <c r="F116" s="71" t="str">
        <f t="shared" si="28"/>
        <v>-</v>
      </c>
      <c r="G116" s="33"/>
      <c r="H116" s="33"/>
      <c r="I116" s="46"/>
      <c r="J116" s="35"/>
      <c r="K116" s="35"/>
      <c r="L116" s="36">
        <f t="shared" si="30"/>
        <v>0</v>
      </c>
      <c r="M116" s="33"/>
      <c r="AN116" s="47">
        <v>106</v>
      </c>
      <c r="AO116" s="42">
        <f t="shared" si="31"/>
        <v>0</v>
      </c>
      <c r="AP116" s="43">
        <f t="shared" si="32"/>
        <v>0</v>
      </c>
      <c r="AQ116" s="42">
        <f t="shared" si="33"/>
        <v>0</v>
      </c>
      <c r="AR116" s="44">
        <f t="shared" si="34"/>
        <v>0</v>
      </c>
      <c r="AT116" s="39">
        <f t="shared" si="35"/>
        <v>0</v>
      </c>
      <c r="AU116" s="39">
        <f t="shared" si="36"/>
        <v>0</v>
      </c>
      <c r="AW116" s="45">
        <f t="shared" si="37"/>
        <v>0</v>
      </c>
      <c r="AX116" s="45">
        <f t="shared" si="38"/>
        <v>0</v>
      </c>
    </row>
    <row r="117" spans="1:50" x14ac:dyDescent="0.3">
      <c r="A117" s="32">
        <v>107</v>
      </c>
      <c r="B117" s="33"/>
      <c r="C117" s="33"/>
      <c r="D117" s="33"/>
      <c r="E117" s="33" t="s">
        <v>24</v>
      </c>
      <c r="F117" s="71" t="str">
        <f t="shared" si="28"/>
        <v>-</v>
      </c>
      <c r="G117" s="33"/>
      <c r="H117" s="33"/>
      <c r="I117" s="46"/>
      <c r="J117" s="35"/>
      <c r="K117" s="35"/>
      <c r="L117" s="36">
        <f t="shared" si="30"/>
        <v>0</v>
      </c>
      <c r="M117" s="33"/>
      <c r="AN117" s="47">
        <v>107</v>
      </c>
      <c r="AO117" s="42">
        <f t="shared" si="31"/>
        <v>0</v>
      </c>
      <c r="AP117" s="43">
        <f t="shared" si="32"/>
        <v>0</v>
      </c>
      <c r="AQ117" s="42">
        <f t="shared" si="33"/>
        <v>0</v>
      </c>
      <c r="AR117" s="44">
        <f t="shared" si="34"/>
        <v>0</v>
      </c>
      <c r="AT117" s="39">
        <f t="shared" si="35"/>
        <v>0</v>
      </c>
      <c r="AU117" s="39">
        <f t="shared" si="36"/>
        <v>0</v>
      </c>
      <c r="AW117" s="45">
        <f t="shared" si="37"/>
        <v>0</v>
      </c>
      <c r="AX117" s="45">
        <f t="shared" si="38"/>
        <v>0</v>
      </c>
    </row>
    <row r="118" spans="1:50" x14ac:dyDescent="0.3">
      <c r="A118" s="32">
        <v>108</v>
      </c>
      <c r="B118" s="33"/>
      <c r="C118" s="33"/>
      <c r="D118" s="33"/>
      <c r="E118" s="33" t="s">
        <v>24</v>
      </c>
      <c r="F118" s="71" t="str">
        <f t="shared" si="28"/>
        <v>-</v>
      </c>
      <c r="G118" s="33"/>
      <c r="H118" s="33"/>
      <c r="I118" s="46"/>
      <c r="J118" s="35"/>
      <c r="K118" s="35"/>
      <c r="L118" s="36">
        <f t="shared" si="30"/>
        <v>0</v>
      </c>
      <c r="M118" s="33"/>
      <c r="AN118" s="47">
        <v>108</v>
      </c>
      <c r="AO118" s="42">
        <f t="shared" si="31"/>
        <v>0</v>
      </c>
      <c r="AP118" s="43">
        <f t="shared" si="32"/>
        <v>0</v>
      </c>
      <c r="AQ118" s="42">
        <f t="shared" si="33"/>
        <v>0</v>
      </c>
      <c r="AR118" s="44">
        <f t="shared" si="34"/>
        <v>0</v>
      </c>
      <c r="AT118" s="39">
        <f t="shared" si="35"/>
        <v>0</v>
      </c>
      <c r="AU118" s="39">
        <f t="shared" si="36"/>
        <v>0</v>
      </c>
      <c r="AW118" s="45">
        <f t="shared" si="37"/>
        <v>0</v>
      </c>
      <c r="AX118" s="45">
        <f t="shared" si="38"/>
        <v>0</v>
      </c>
    </row>
    <row r="119" spans="1:50" x14ac:dyDescent="0.3">
      <c r="A119" s="32">
        <v>109</v>
      </c>
      <c r="B119" s="33"/>
      <c r="C119" s="33"/>
      <c r="D119" s="33"/>
      <c r="E119" s="33" t="s">
        <v>24</v>
      </c>
      <c r="F119" s="71" t="str">
        <f t="shared" si="28"/>
        <v>-</v>
      </c>
      <c r="G119" s="33"/>
      <c r="H119" s="33"/>
      <c r="I119" s="46"/>
      <c r="J119" s="35"/>
      <c r="K119" s="35"/>
      <c r="L119" s="36">
        <f t="shared" si="30"/>
        <v>0</v>
      </c>
      <c r="M119" s="33"/>
      <c r="AN119" s="47">
        <v>109</v>
      </c>
      <c r="AO119" s="42">
        <f t="shared" si="31"/>
        <v>0</v>
      </c>
      <c r="AP119" s="43">
        <f t="shared" si="32"/>
        <v>0</v>
      </c>
      <c r="AQ119" s="42">
        <f t="shared" si="33"/>
        <v>0</v>
      </c>
      <c r="AR119" s="44">
        <f t="shared" si="34"/>
        <v>0</v>
      </c>
      <c r="AT119" s="39">
        <f t="shared" si="35"/>
        <v>0</v>
      </c>
      <c r="AU119" s="39">
        <f t="shared" si="36"/>
        <v>0</v>
      </c>
      <c r="AW119" s="45">
        <f t="shared" si="37"/>
        <v>0</v>
      </c>
      <c r="AX119" s="45">
        <f t="shared" si="38"/>
        <v>0</v>
      </c>
    </row>
    <row r="120" spans="1:50" x14ac:dyDescent="0.3">
      <c r="A120" s="32">
        <v>110</v>
      </c>
      <c r="B120" s="33"/>
      <c r="C120" s="33"/>
      <c r="D120" s="33"/>
      <c r="E120" s="33" t="s">
        <v>24</v>
      </c>
      <c r="F120" s="71" t="str">
        <f t="shared" si="28"/>
        <v>-</v>
      </c>
      <c r="G120" s="33"/>
      <c r="H120" s="33"/>
      <c r="I120" s="46"/>
      <c r="J120" s="35"/>
      <c r="K120" s="35"/>
      <c r="L120" s="36">
        <f t="shared" si="30"/>
        <v>0</v>
      </c>
      <c r="M120" s="33"/>
      <c r="AN120" s="47">
        <v>110</v>
      </c>
      <c r="AO120" s="42">
        <f t="shared" si="31"/>
        <v>0</v>
      </c>
      <c r="AP120" s="43">
        <f t="shared" si="32"/>
        <v>0</v>
      </c>
      <c r="AQ120" s="42">
        <f t="shared" si="33"/>
        <v>0</v>
      </c>
      <c r="AR120" s="44">
        <f t="shared" si="34"/>
        <v>0</v>
      </c>
      <c r="AT120" s="39">
        <f t="shared" si="35"/>
        <v>0</v>
      </c>
      <c r="AU120" s="39">
        <f t="shared" si="36"/>
        <v>0</v>
      </c>
      <c r="AW120" s="45">
        <f t="shared" si="37"/>
        <v>0</v>
      </c>
      <c r="AX120" s="45">
        <f t="shared" si="38"/>
        <v>0</v>
      </c>
    </row>
    <row r="121" spans="1:50" x14ac:dyDescent="0.3">
      <c r="A121" s="32">
        <v>111</v>
      </c>
      <c r="B121" s="33"/>
      <c r="C121" s="33"/>
      <c r="D121" s="33"/>
      <c r="E121" s="33" t="s">
        <v>24</v>
      </c>
      <c r="F121" s="71" t="str">
        <f t="shared" si="28"/>
        <v>-</v>
      </c>
      <c r="G121" s="33"/>
      <c r="H121" s="33"/>
      <c r="I121" s="46"/>
      <c r="J121" s="35"/>
      <c r="K121" s="35"/>
      <c r="L121" s="36">
        <f t="shared" si="30"/>
        <v>0</v>
      </c>
      <c r="M121" s="33"/>
      <c r="AN121" s="47">
        <v>111</v>
      </c>
      <c r="AO121" s="42">
        <f t="shared" si="31"/>
        <v>0</v>
      </c>
      <c r="AP121" s="43">
        <f t="shared" si="32"/>
        <v>0</v>
      </c>
      <c r="AQ121" s="42">
        <f t="shared" si="33"/>
        <v>0</v>
      </c>
      <c r="AR121" s="44">
        <f t="shared" si="34"/>
        <v>0</v>
      </c>
      <c r="AT121" s="39">
        <f t="shared" si="35"/>
        <v>0</v>
      </c>
      <c r="AU121" s="39">
        <f t="shared" si="36"/>
        <v>0</v>
      </c>
      <c r="AW121" s="45">
        <f t="shared" si="37"/>
        <v>0</v>
      </c>
      <c r="AX121" s="45">
        <f t="shared" si="38"/>
        <v>0</v>
      </c>
    </row>
    <row r="122" spans="1:50" x14ac:dyDescent="0.3">
      <c r="A122" s="32">
        <v>112</v>
      </c>
      <c r="B122" s="33"/>
      <c r="C122" s="33"/>
      <c r="D122" s="33"/>
      <c r="E122" s="33" t="s">
        <v>24</v>
      </c>
      <c r="F122" s="71" t="str">
        <f t="shared" si="28"/>
        <v>-</v>
      </c>
      <c r="G122" s="33"/>
      <c r="H122" s="33"/>
      <c r="I122" s="46"/>
      <c r="J122" s="35"/>
      <c r="K122" s="35"/>
      <c r="L122" s="36">
        <f t="shared" si="30"/>
        <v>0</v>
      </c>
      <c r="M122" s="33"/>
      <c r="AN122" s="47">
        <v>112</v>
      </c>
      <c r="AO122" s="42">
        <f t="shared" si="31"/>
        <v>0</v>
      </c>
      <c r="AP122" s="43">
        <f t="shared" si="32"/>
        <v>0</v>
      </c>
      <c r="AQ122" s="42">
        <f t="shared" si="33"/>
        <v>0</v>
      </c>
      <c r="AR122" s="44">
        <f t="shared" si="34"/>
        <v>0</v>
      </c>
      <c r="AT122" s="39">
        <f t="shared" si="35"/>
        <v>0</v>
      </c>
      <c r="AU122" s="39">
        <f t="shared" si="36"/>
        <v>0</v>
      </c>
      <c r="AW122" s="45">
        <f t="shared" si="37"/>
        <v>0</v>
      </c>
      <c r="AX122" s="45">
        <f t="shared" si="38"/>
        <v>0</v>
      </c>
    </row>
    <row r="123" spans="1:50" x14ac:dyDescent="0.3">
      <c r="A123" s="32">
        <v>113</v>
      </c>
      <c r="B123" s="33"/>
      <c r="C123" s="33"/>
      <c r="D123" s="33"/>
      <c r="E123" s="33" t="s">
        <v>24</v>
      </c>
      <c r="F123" s="71" t="str">
        <f t="shared" si="28"/>
        <v>-</v>
      </c>
      <c r="G123" s="33"/>
      <c r="H123" s="33"/>
      <c r="I123" s="46"/>
      <c r="J123" s="35"/>
      <c r="K123" s="35"/>
      <c r="L123" s="36">
        <f t="shared" si="30"/>
        <v>0</v>
      </c>
      <c r="M123" s="33"/>
      <c r="AN123" s="47">
        <v>113</v>
      </c>
      <c r="AO123" s="42">
        <f t="shared" si="31"/>
        <v>0</v>
      </c>
      <c r="AP123" s="43">
        <f t="shared" si="32"/>
        <v>0</v>
      </c>
      <c r="AQ123" s="42">
        <f t="shared" si="33"/>
        <v>0</v>
      </c>
      <c r="AR123" s="44">
        <f t="shared" si="34"/>
        <v>0</v>
      </c>
      <c r="AT123" s="39">
        <f t="shared" si="35"/>
        <v>0</v>
      </c>
      <c r="AU123" s="39">
        <f t="shared" si="36"/>
        <v>0</v>
      </c>
      <c r="AW123" s="45">
        <f t="shared" si="37"/>
        <v>0</v>
      </c>
      <c r="AX123" s="45">
        <f t="shared" si="38"/>
        <v>0</v>
      </c>
    </row>
    <row r="124" spans="1:50" x14ac:dyDescent="0.3">
      <c r="A124" s="32">
        <v>114</v>
      </c>
      <c r="B124" s="33"/>
      <c r="C124" s="33"/>
      <c r="D124" s="33"/>
      <c r="E124" s="33" t="s">
        <v>24</v>
      </c>
      <c r="F124" s="71" t="str">
        <f t="shared" si="28"/>
        <v>-</v>
      </c>
      <c r="G124" s="33"/>
      <c r="H124" s="33"/>
      <c r="I124" s="46"/>
      <c r="J124" s="35"/>
      <c r="K124" s="35"/>
      <c r="L124" s="36">
        <f t="shared" si="30"/>
        <v>0</v>
      </c>
      <c r="M124" s="33"/>
      <c r="AN124" s="47">
        <v>114</v>
      </c>
      <c r="AO124" s="42">
        <f t="shared" si="31"/>
        <v>0</v>
      </c>
      <c r="AP124" s="43">
        <f t="shared" si="32"/>
        <v>0</v>
      </c>
      <c r="AQ124" s="42">
        <f t="shared" si="33"/>
        <v>0</v>
      </c>
      <c r="AR124" s="44">
        <f t="shared" si="34"/>
        <v>0</v>
      </c>
      <c r="AT124" s="39">
        <f t="shared" si="35"/>
        <v>0</v>
      </c>
      <c r="AU124" s="39">
        <f t="shared" si="36"/>
        <v>0</v>
      </c>
      <c r="AW124" s="45">
        <f t="shared" si="37"/>
        <v>0</v>
      </c>
      <c r="AX124" s="45">
        <f t="shared" si="38"/>
        <v>0</v>
      </c>
    </row>
    <row r="125" spans="1:50" x14ac:dyDescent="0.3">
      <c r="A125" s="32">
        <v>115</v>
      </c>
      <c r="B125" s="33"/>
      <c r="C125" s="33"/>
      <c r="D125" s="33"/>
      <c r="E125" s="33" t="s">
        <v>24</v>
      </c>
      <c r="F125" s="71" t="str">
        <f t="shared" si="28"/>
        <v>-</v>
      </c>
      <c r="G125" s="33"/>
      <c r="H125" s="33"/>
      <c r="I125" s="46"/>
      <c r="J125" s="35"/>
      <c r="K125" s="35"/>
      <c r="L125" s="36">
        <f t="shared" si="30"/>
        <v>0</v>
      </c>
      <c r="M125" s="33"/>
      <c r="AN125" s="47">
        <v>115</v>
      </c>
      <c r="AO125" s="42">
        <f t="shared" si="31"/>
        <v>0</v>
      </c>
      <c r="AP125" s="43">
        <f t="shared" si="32"/>
        <v>0</v>
      </c>
      <c r="AQ125" s="42">
        <f t="shared" si="33"/>
        <v>0</v>
      </c>
      <c r="AR125" s="44">
        <f t="shared" si="34"/>
        <v>0</v>
      </c>
      <c r="AT125" s="39">
        <f t="shared" si="35"/>
        <v>0</v>
      </c>
      <c r="AU125" s="39">
        <f t="shared" si="36"/>
        <v>0</v>
      </c>
      <c r="AW125" s="45">
        <f t="shared" si="37"/>
        <v>0</v>
      </c>
      <c r="AX125" s="45">
        <f t="shared" si="38"/>
        <v>0</v>
      </c>
    </row>
    <row r="126" spans="1:50" x14ac:dyDescent="0.3">
      <c r="A126" s="32">
        <v>116</v>
      </c>
      <c r="B126" s="33"/>
      <c r="C126" s="33"/>
      <c r="D126" s="33"/>
      <c r="E126" s="33" t="s">
        <v>24</v>
      </c>
      <c r="F126" s="71" t="str">
        <f t="shared" si="28"/>
        <v>-</v>
      </c>
      <c r="G126" s="33"/>
      <c r="H126" s="33"/>
      <c r="I126" s="46"/>
      <c r="J126" s="35"/>
      <c r="K126" s="35"/>
      <c r="L126" s="36">
        <f t="shared" si="30"/>
        <v>0</v>
      </c>
      <c r="M126" s="33"/>
      <c r="AN126" s="47">
        <v>116</v>
      </c>
      <c r="AO126" s="42">
        <f t="shared" si="31"/>
        <v>0</v>
      </c>
      <c r="AP126" s="43">
        <f t="shared" si="32"/>
        <v>0</v>
      </c>
      <c r="AQ126" s="42">
        <f t="shared" si="33"/>
        <v>0</v>
      </c>
      <c r="AR126" s="44">
        <f t="shared" si="34"/>
        <v>0</v>
      </c>
      <c r="AT126" s="39">
        <f t="shared" si="35"/>
        <v>0</v>
      </c>
      <c r="AU126" s="39">
        <f t="shared" si="36"/>
        <v>0</v>
      </c>
      <c r="AW126" s="45">
        <f t="shared" si="37"/>
        <v>0</v>
      </c>
      <c r="AX126" s="45">
        <f t="shared" si="38"/>
        <v>0</v>
      </c>
    </row>
    <row r="127" spans="1:50" x14ac:dyDescent="0.3">
      <c r="A127" s="32">
        <v>117</v>
      </c>
      <c r="B127" s="33"/>
      <c r="C127" s="33"/>
      <c r="D127" s="33"/>
      <c r="E127" s="33" t="s">
        <v>24</v>
      </c>
      <c r="F127" s="71" t="str">
        <f t="shared" si="28"/>
        <v>-</v>
      </c>
      <c r="G127" s="33"/>
      <c r="H127" s="33"/>
      <c r="I127" s="46"/>
      <c r="J127" s="35"/>
      <c r="K127" s="35"/>
      <c r="L127" s="36">
        <f t="shared" si="30"/>
        <v>0</v>
      </c>
      <c r="M127" s="33"/>
      <c r="AN127" s="47">
        <v>117</v>
      </c>
      <c r="AO127" s="42">
        <f t="shared" si="31"/>
        <v>0</v>
      </c>
      <c r="AP127" s="43">
        <f t="shared" si="32"/>
        <v>0</v>
      </c>
      <c r="AQ127" s="42">
        <f t="shared" si="33"/>
        <v>0</v>
      </c>
      <c r="AR127" s="44">
        <f t="shared" si="34"/>
        <v>0</v>
      </c>
      <c r="AT127" s="39">
        <f t="shared" si="35"/>
        <v>0</v>
      </c>
      <c r="AU127" s="39">
        <f t="shared" si="36"/>
        <v>0</v>
      </c>
      <c r="AW127" s="45">
        <f t="shared" si="37"/>
        <v>0</v>
      </c>
      <c r="AX127" s="45">
        <f t="shared" si="38"/>
        <v>0</v>
      </c>
    </row>
    <row r="128" spans="1:50" x14ac:dyDescent="0.3">
      <c r="A128" s="32">
        <v>118</v>
      </c>
      <c r="B128" s="33"/>
      <c r="C128" s="33"/>
      <c r="D128" s="33"/>
      <c r="E128" s="33" t="s">
        <v>24</v>
      </c>
      <c r="F128" s="71" t="str">
        <f t="shared" si="28"/>
        <v>-</v>
      </c>
      <c r="G128" s="33"/>
      <c r="H128" s="33"/>
      <c r="I128" s="46"/>
      <c r="J128" s="35"/>
      <c r="K128" s="35"/>
      <c r="L128" s="36">
        <f t="shared" si="30"/>
        <v>0</v>
      </c>
      <c r="M128" s="33"/>
      <c r="AN128" s="47">
        <v>118</v>
      </c>
      <c r="AO128" s="42">
        <f t="shared" si="31"/>
        <v>0</v>
      </c>
      <c r="AP128" s="43">
        <f t="shared" si="32"/>
        <v>0</v>
      </c>
      <c r="AQ128" s="42">
        <f t="shared" si="33"/>
        <v>0</v>
      </c>
      <c r="AR128" s="44">
        <f t="shared" si="34"/>
        <v>0</v>
      </c>
      <c r="AT128" s="39">
        <f t="shared" si="35"/>
        <v>0</v>
      </c>
      <c r="AU128" s="39">
        <f t="shared" si="36"/>
        <v>0</v>
      </c>
      <c r="AW128" s="45">
        <f t="shared" si="37"/>
        <v>0</v>
      </c>
      <c r="AX128" s="45">
        <f t="shared" si="38"/>
        <v>0</v>
      </c>
    </row>
    <row r="129" spans="1:50" x14ac:dyDescent="0.3">
      <c r="A129" s="32">
        <v>119</v>
      </c>
      <c r="B129" s="33"/>
      <c r="C129" s="33"/>
      <c r="D129" s="33"/>
      <c r="E129" s="33" t="s">
        <v>24</v>
      </c>
      <c r="F129" s="71" t="str">
        <f t="shared" si="28"/>
        <v>-</v>
      </c>
      <c r="G129" s="33"/>
      <c r="H129" s="33"/>
      <c r="I129" s="46"/>
      <c r="J129" s="35"/>
      <c r="K129" s="35"/>
      <c r="L129" s="36">
        <f t="shared" si="30"/>
        <v>0</v>
      </c>
      <c r="M129" s="33"/>
      <c r="AN129" s="47">
        <v>119</v>
      </c>
      <c r="AO129" s="42">
        <f t="shared" si="31"/>
        <v>0</v>
      </c>
      <c r="AP129" s="43">
        <f t="shared" si="32"/>
        <v>0</v>
      </c>
      <c r="AQ129" s="42">
        <f t="shared" si="33"/>
        <v>0</v>
      </c>
      <c r="AR129" s="44">
        <f t="shared" si="34"/>
        <v>0</v>
      </c>
      <c r="AT129" s="39">
        <f t="shared" si="35"/>
        <v>0</v>
      </c>
      <c r="AU129" s="39">
        <f t="shared" si="36"/>
        <v>0</v>
      </c>
      <c r="AW129" s="45">
        <f t="shared" si="37"/>
        <v>0</v>
      </c>
      <c r="AX129" s="45">
        <f t="shared" si="38"/>
        <v>0</v>
      </c>
    </row>
    <row r="130" spans="1:50" x14ac:dyDescent="0.3">
      <c r="A130" s="32">
        <v>120</v>
      </c>
      <c r="B130" s="33"/>
      <c r="C130" s="33"/>
      <c r="D130" s="33"/>
      <c r="E130" s="33" t="s">
        <v>24</v>
      </c>
      <c r="F130" s="71" t="str">
        <f t="shared" si="28"/>
        <v>-</v>
      </c>
      <c r="G130" s="33"/>
      <c r="H130" s="33"/>
      <c r="I130" s="46"/>
      <c r="J130" s="35"/>
      <c r="K130" s="35"/>
      <c r="L130" s="36">
        <f t="shared" si="30"/>
        <v>0</v>
      </c>
      <c r="M130" s="33"/>
      <c r="AN130" s="47">
        <v>120</v>
      </c>
      <c r="AO130" s="42">
        <f t="shared" si="31"/>
        <v>0</v>
      </c>
      <c r="AP130" s="43">
        <f t="shared" si="32"/>
        <v>0</v>
      </c>
      <c r="AQ130" s="42">
        <f t="shared" si="33"/>
        <v>0</v>
      </c>
      <c r="AR130" s="44">
        <f t="shared" si="34"/>
        <v>0</v>
      </c>
      <c r="AT130" s="39">
        <f t="shared" si="35"/>
        <v>0</v>
      </c>
      <c r="AU130" s="39">
        <f t="shared" si="36"/>
        <v>0</v>
      </c>
      <c r="AW130" s="45">
        <f t="shared" si="37"/>
        <v>0</v>
      </c>
      <c r="AX130" s="45">
        <f t="shared" si="38"/>
        <v>0</v>
      </c>
    </row>
    <row r="131" spans="1:50" x14ac:dyDescent="0.3">
      <c r="A131" s="32">
        <v>121</v>
      </c>
      <c r="B131" s="33"/>
      <c r="C131" s="33"/>
      <c r="D131" s="33"/>
      <c r="E131" s="33" t="s">
        <v>24</v>
      </c>
      <c r="F131" s="71" t="str">
        <f t="shared" si="28"/>
        <v>-</v>
      </c>
      <c r="G131" s="33"/>
      <c r="H131" s="33"/>
      <c r="I131" s="46"/>
      <c r="J131" s="35"/>
      <c r="K131" s="35"/>
      <c r="L131" s="36">
        <f t="shared" si="30"/>
        <v>0</v>
      </c>
      <c r="M131" s="33"/>
      <c r="AN131" s="47">
        <v>121</v>
      </c>
      <c r="AO131" s="42">
        <f t="shared" si="31"/>
        <v>0</v>
      </c>
      <c r="AP131" s="43">
        <f t="shared" si="32"/>
        <v>0</v>
      </c>
      <c r="AQ131" s="42">
        <f t="shared" si="33"/>
        <v>0</v>
      </c>
      <c r="AR131" s="44">
        <f t="shared" si="34"/>
        <v>0</v>
      </c>
      <c r="AT131" s="39">
        <f t="shared" si="35"/>
        <v>0</v>
      </c>
      <c r="AU131" s="39">
        <f t="shared" si="36"/>
        <v>0</v>
      </c>
      <c r="AW131" s="45">
        <f t="shared" si="37"/>
        <v>0</v>
      </c>
      <c r="AX131" s="45">
        <f t="shared" si="38"/>
        <v>0</v>
      </c>
    </row>
    <row r="132" spans="1:50" x14ac:dyDescent="0.3">
      <c r="A132" s="32">
        <v>122</v>
      </c>
      <c r="B132" s="33"/>
      <c r="C132" s="33"/>
      <c r="D132" s="33"/>
      <c r="E132" s="33" t="s">
        <v>24</v>
      </c>
      <c r="F132" s="71" t="str">
        <f t="shared" si="28"/>
        <v>-</v>
      </c>
      <c r="G132" s="33"/>
      <c r="H132" s="33"/>
      <c r="I132" s="46"/>
      <c r="J132" s="35"/>
      <c r="K132" s="35"/>
      <c r="L132" s="36">
        <f t="shared" si="30"/>
        <v>0</v>
      </c>
      <c r="M132" s="33"/>
      <c r="AN132" s="47">
        <v>122</v>
      </c>
      <c r="AO132" s="42">
        <f t="shared" si="31"/>
        <v>0</v>
      </c>
      <c r="AP132" s="43">
        <f t="shared" si="32"/>
        <v>0</v>
      </c>
      <c r="AQ132" s="42">
        <f t="shared" si="33"/>
        <v>0</v>
      </c>
      <c r="AR132" s="44">
        <f t="shared" si="34"/>
        <v>0</v>
      </c>
      <c r="AT132" s="39">
        <f t="shared" si="35"/>
        <v>0</v>
      </c>
      <c r="AU132" s="39">
        <f t="shared" si="36"/>
        <v>0</v>
      </c>
      <c r="AW132" s="45">
        <f t="shared" si="37"/>
        <v>0</v>
      </c>
      <c r="AX132" s="45">
        <f t="shared" si="38"/>
        <v>0</v>
      </c>
    </row>
    <row r="133" spans="1:50" x14ac:dyDescent="0.3">
      <c r="A133" s="32">
        <v>123</v>
      </c>
      <c r="B133" s="33"/>
      <c r="C133" s="33"/>
      <c r="D133" s="33"/>
      <c r="E133" s="33" t="s">
        <v>24</v>
      </c>
      <c r="F133" s="71" t="str">
        <f t="shared" si="28"/>
        <v>-</v>
      </c>
      <c r="G133" s="33"/>
      <c r="H133" s="33"/>
      <c r="I133" s="46"/>
      <c r="J133" s="35"/>
      <c r="K133" s="35"/>
      <c r="L133" s="36">
        <f t="shared" si="30"/>
        <v>0</v>
      </c>
      <c r="M133" s="33"/>
      <c r="AN133" s="47">
        <v>123</v>
      </c>
      <c r="AO133" s="42">
        <f t="shared" si="31"/>
        <v>0</v>
      </c>
      <c r="AP133" s="43">
        <f t="shared" si="32"/>
        <v>0</v>
      </c>
      <c r="AQ133" s="42">
        <f t="shared" si="33"/>
        <v>0</v>
      </c>
      <c r="AR133" s="44">
        <f t="shared" si="34"/>
        <v>0</v>
      </c>
      <c r="AT133" s="39">
        <f t="shared" si="35"/>
        <v>0</v>
      </c>
      <c r="AU133" s="39">
        <f t="shared" si="36"/>
        <v>0</v>
      </c>
      <c r="AW133" s="45">
        <f t="shared" si="37"/>
        <v>0</v>
      </c>
      <c r="AX133" s="45">
        <f t="shared" si="38"/>
        <v>0</v>
      </c>
    </row>
    <row r="134" spans="1:50" x14ac:dyDescent="0.3">
      <c r="A134" s="32">
        <v>124</v>
      </c>
      <c r="B134" s="33"/>
      <c r="C134" s="33"/>
      <c r="D134" s="33"/>
      <c r="E134" s="33" t="s">
        <v>24</v>
      </c>
      <c r="F134" s="71" t="str">
        <f t="shared" si="28"/>
        <v>-</v>
      </c>
      <c r="G134" s="33"/>
      <c r="H134" s="33"/>
      <c r="I134" s="46"/>
      <c r="J134" s="35"/>
      <c r="K134" s="35"/>
      <c r="L134" s="36">
        <f t="shared" si="30"/>
        <v>0</v>
      </c>
      <c r="M134" s="33"/>
      <c r="AN134" s="47">
        <v>124</v>
      </c>
      <c r="AO134" s="42">
        <f t="shared" si="31"/>
        <v>0</v>
      </c>
      <c r="AP134" s="43">
        <f t="shared" si="32"/>
        <v>0</v>
      </c>
      <c r="AQ134" s="42">
        <f t="shared" si="33"/>
        <v>0</v>
      </c>
      <c r="AR134" s="44">
        <f t="shared" si="34"/>
        <v>0</v>
      </c>
      <c r="AT134" s="39">
        <f t="shared" si="35"/>
        <v>0</v>
      </c>
      <c r="AU134" s="39">
        <f t="shared" si="36"/>
        <v>0</v>
      </c>
      <c r="AW134" s="45">
        <f t="shared" si="37"/>
        <v>0</v>
      </c>
      <c r="AX134" s="45">
        <f t="shared" si="38"/>
        <v>0</v>
      </c>
    </row>
    <row r="135" spans="1:50" x14ac:dyDescent="0.3">
      <c r="A135" s="32">
        <v>125</v>
      </c>
      <c r="B135" s="33"/>
      <c r="C135" s="33"/>
      <c r="D135" s="33"/>
      <c r="E135" s="33" t="s">
        <v>24</v>
      </c>
      <c r="F135" s="71" t="str">
        <f t="shared" si="28"/>
        <v>-</v>
      </c>
      <c r="G135" s="33"/>
      <c r="H135" s="33"/>
      <c r="I135" s="46"/>
      <c r="J135" s="35"/>
      <c r="K135" s="35"/>
      <c r="L135" s="36">
        <f t="shared" si="30"/>
        <v>0</v>
      </c>
      <c r="M135" s="33"/>
      <c r="AN135" s="47">
        <v>125</v>
      </c>
      <c r="AO135" s="42">
        <f t="shared" si="31"/>
        <v>0</v>
      </c>
      <c r="AP135" s="43">
        <f t="shared" si="32"/>
        <v>0</v>
      </c>
      <c r="AQ135" s="42">
        <f t="shared" si="33"/>
        <v>0</v>
      </c>
      <c r="AR135" s="44">
        <f t="shared" si="34"/>
        <v>0</v>
      </c>
      <c r="AT135" s="39">
        <f t="shared" si="35"/>
        <v>0</v>
      </c>
      <c r="AU135" s="39">
        <f t="shared" si="36"/>
        <v>0</v>
      </c>
      <c r="AW135" s="45">
        <f t="shared" si="37"/>
        <v>0</v>
      </c>
      <c r="AX135" s="45">
        <f t="shared" si="38"/>
        <v>0</v>
      </c>
    </row>
    <row r="136" spans="1:50" x14ac:dyDescent="0.3">
      <c r="A136" s="32">
        <v>126</v>
      </c>
      <c r="B136" s="33"/>
      <c r="C136" s="33"/>
      <c r="D136" s="33"/>
      <c r="E136" s="33" t="s">
        <v>24</v>
      </c>
      <c r="F136" s="71" t="str">
        <f t="shared" si="28"/>
        <v>-</v>
      </c>
      <c r="G136" s="33"/>
      <c r="H136" s="33"/>
      <c r="I136" s="46"/>
      <c r="J136" s="35"/>
      <c r="K136" s="35"/>
      <c r="L136" s="36">
        <f t="shared" si="30"/>
        <v>0</v>
      </c>
      <c r="M136" s="33"/>
      <c r="AN136" s="47">
        <v>126</v>
      </c>
      <c r="AO136" s="42">
        <f t="shared" si="31"/>
        <v>0</v>
      </c>
      <c r="AP136" s="43">
        <f t="shared" si="32"/>
        <v>0</v>
      </c>
      <c r="AQ136" s="42">
        <f t="shared" si="33"/>
        <v>0</v>
      </c>
      <c r="AR136" s="44">
        <f t="shared" si="34"/>
        <v>0</v>
      </c>
      <c r="AT136" s="39">
        <f t="shared" si="35"/>
        <v>0</v>
      </c>
      <c r="AU136" s="39">
        <f t="shared" si="36"/>
        <v>0</v>
      </c>
      <c r="AW136" s="45">
        <f t="shared" si="37"/>
        <v>0</v>
      </c>
      <c r="AX136" s="45">
        <f t="shared" si="38"/>
        <v>0</v>
      </c>
    </row>
    <row r="137" spans="1:50" x14ac:dyDescent="0.3">
      <c r="A137" s="32">
        <v>127</v>
      </c>
      <c r="B137" s="33"/>
      <c r="C137" s="33"/>
      <c r="D137" s="33"/>
      <c r="E137" s="33" t="s">
        <v>24</v>
      </c>
      <c r="F137" s="71" t="str">
        <f t="shared" si="28"/>
        <v>-</v>
      </c>
      <c r="G137" s="33"/>
      <c r="H137" s="33"/>
      <c r="I137" s="46"/>
      <c r="J137" s="35"/>
      <c r="K137" s="35"/>
      <c r="L137" s="36">
        <f t="shared" si="30"/>
        <v>0</v>
      </c>
      <c r="M137" s="33"/>
      <c r="AN137" s="47">
        <v>127</v>
      </c>
      <c r="AO137" s="42">
        <f t="shared" si="31"/>
        <v>0</v>
      </c>
      <c r="AP137" s="43">
        <f t="shared" si="32"/>
        <v>0</v>
      </c>
      <c r="AQ137" s="42">
        <f t="shared" si="33"/>
        <v>0</v>
      </c>
      <c r="AR137" s="44">
        <f t="shared" si="34"/>
        <v>0</v>
      </c>
      <c r="AT137" s="39">
        <f t="shared" si="35"/>
        <v>0</v>
      </c>
      <c r="AU137" s="39">
        <f t="shared" si="36"/>
        <v>0</v>
      </c>
      <c r="AW137" s="45">
        <f t="shared" si="37"/>
        <v>0</v>
      </c>
      <c r="AX137" s="45">
        <f t="shared" si="38"/>
        <v>0</v>
      </c>
    </row>
    <row r="138" spans="1:50" x14ac:dyDescent="0.3">
      <c r="A138" s="32">
        <v>128</v>
      </c>
      <c r="B138" s="33"/>
      <c r="C138" s="33"/>
      <c r="D138" s="33"/>
      <c r="E138" s="33" t="s">
        <v>24</v>
      </c>
      <c r="F138" s="71" t="str">
        <f t="shared" si="28"/>
        <v>-</v>
      </c>
      <c r="G138" s="33"/>
      <c r="H138" s="33"/>
      <c r="I138" s="46"/>
      <c r="J138" s="35"/>
      <c r="K138" s="35"/>
      <c r="L138" s="36">
        <f t="shared" si="30"/>
        <v>0</v>
      </c>
      <c r="M138" s="33"/>
      <c r="AN138" s="47">
        <v>128</v>
      </c>
      <c r="AO138" s="42">
        <f t="shared" si="31"/>
        <v>0</v>
      </c>
      <c r="AP138" s="43">
        <f t="shared" si="32"/>
        <v>0</v>
      </c>
      <c r="AQ138" s="42">
        <f t="shared" si="33"/>
        <v>0</v>
      </c>
      <c r="AR138" s="44">
        <f t="shared" si="34"/>
        <v>0</v>
      </c>
      <c r="AT138" s="39">
        <f t="shared" si="35"/>
        <v>0</v>
      </c>
      <c r="AU138" s="39">
        <f t="shared" si="36"/>
        <v>0</v>
      </c>
      <c r="AW138" s="45">
        <f t="shared" si="37"/>
        <v>0</v>
      </c>
      <c r="AX138" s="45">
        <f t="shared" si="38"/>
        <v>0</v>
      </c>
    </row>
    <row r="139" spans="1:50" x14ac:dyDescent="0.3">
      <c r="A139" s="32">
        <v>129</v>
      </c>
      <c r="B139" s="33"/>
      <c r="C139" s="33"/>
      <c r="D139" s="33"/>
      <c r="E139" s="33" t="s">
        <v>24</v>
      </c>
      <c r="F139" s="71" t="str">
        <f t="shared" si="28"/>
        <v>-</v>
      </c>
      <c r="G139" s="33"/>
      <c r="H139" s="33"/>
      <c r="I139" s="46"/>
      <c r="J139" s="35"/>
      <c r="K139" s="35"/>
      <c r="L139" s="36">
        <f t="shared" si="30"/>
        <v>0</v>
      </c>
      <c r="M139" s="33"/>
      <c r="AN139" s="47">
        <v>129</v>
      </c>
      <c r="AO139" s="42">
        <f t="shared" si="31"/>
        <v>0</v>
      </c>
      <c r="AP139" s="43">
        <f t="shared" si="32"/>
        <v>0</v>
      </c>
      <c r="AQ139" s="42">
        <f t="shared" si="33"/>
        <v>0</v>
      </c>
      <c r="AR139" s="44">
        <f t="shared" si="34"/>
        <v>0</v>
      </c>
      <c r="AT139" s="39">
        <f t="shared" si="35"/>
        <v>0</v>
      </c>
      <c r="AU139" s="39">
        <f t="shared" si="36"/>
        <v>0</v>
      </c>
      <c r="AW139" s="45">
        <f t="shared" si="37"/>
        <v>0</v>
      </c>
      <c r="AX139" s="45">
        <f t="shared" si="38"/>
        <v>0</v>
      </c>
    </row>
    <row r="140" spans="1:50" x14ac:dyDescent="0.3">
      <c r="A140" s="32">
        <v>130</v>
      </c>
      <c r="B140" s="33"/>
      <c r="C140" s="33"/>
      <c r="D140" s="33"/>
      <c r="E140" s="33" t="s">
        <v>24</v>
      </c>
      <c r="F140" s="71" t="str">
        <f t="shared" si="28"/>
        <v>-</v>
      </c>
      <c r="G140" s="33"/>
      <c r="H140" s="33"/>
      <c r="I140" s="46"/>
      <c r="J140" s="35"/>
      <c r="K140" s="35"/>
      <c r="L140" s="36">
        <f t="shared" si="30"/>
        <v>0</v>
      </c>
      <c r="M140" s="33"/>
      <c r="AN140" s="47">
        <v>130</v>
      </c>
      <c r="AO140" s="42">
        <f t="shared" si="31"/>
        <v>0</v>
      </c>
      <c r="AP140" s="43">
        <f t="shared" si="32"/>
        <v>0</v>
      </c>
      <c r="AQ140" s="42">
        <f t="shared" si="33"/>
        <v>0</v>
      </c>
      <c r="AR140" s="44">
        <f t="shared" si="34"/>
        <v>0</v>
      </c>
      <c r="AT140" s="39">
        <f t="shared" si="35"/>
        <v>0</v>
      </c>
      <c r="AU140" s="39">
        <f t="shared" si="36"/>
        <v>0</v>
      </c>
      <c r="AW140" s="45">
        <f t="shared" si="37"/>
        <v>0</v>
      </c>
      <c r="AX140" s="45">
        <f t="shared" si="38"/>
        <v>0</v>
      </c>
    </row>
    <row r="141" spans="1:50" x14ac:dyDescent="0.3">
      <c r="A141" s="32">
        <v>131</v>
      </c>
      <c r="B141" s="33"/>
      <c r="C141" s="33"/>
      <c r="D141" s="33"/>
      <c r="E141" s="33" t="s">
        <v>24</v>
      </c>
      <c r="F141" s="71" t="str">
        <f t="shared" si="28"/>
        <v>-</v>
      </c>
      <c r="G141" s="33"/>
      <c r="H141" s="33"/>
      <c r="I141" s="46"/>
      <c r="J141" s="35"/>
      <c r="K141" s="35"/>
      <c r="L141" s="36">
        <f t="shared" si="30"/>
        <v>0</v>
      </c>
      <c r="M141" s="33"/>
      <c r="AN141" s="47">
        <v>131</v>
      </c>
      <c r="AO141" s="42">
        <f t="shared" si="31"/>
        <v>0</v>
      </c>
      <c r="AP141" s="43">
        <f t="shared" si="32"/>
        <v>0</v>
      </c>
      <c r="AQ141" s="42">
        <f t="shared" si="33"/>
        <v>0</v>
      </c>
      <c r="AR141" s="44">
        <f t="shared" si="34"/>
        <v>0</v>
      </c>
      <c r="AT141" s="39">
        <f t="shared" si="35"/>
        <v>0</v>
      </c>
      <c r="AU141" s="39">
        <f t="shared" si="36"/>
        <v>0</v>
      </c>
      <c r="AW141" s="45">
        <f t="shared" si="37"/>
        <v>0</v>
      </c>
      <c r="AX141" s="45">
        <f t="shared" si="38"/>
        <v>0</v>
      </c>
    </row>
    <row r="142" spans="1:50" x14ac:dyDescent="0.3">
      <c r="A142" s="32">
        <v>132</v>
      </c>
      <c r="B142" s="33"/>
      <c r="C142" s="33"/>
      <c r="D142" s="33"/>
      <c r="E142" s="33" t="s">
        <v>24</v>
      </c>
      <c r="F142" s="71" t="str">
        <f t="shared" si="28"/>
        <v>-</v>
      </c>
      <c r="G142" s="33"/>
      <c r="H142" s="33"/>
      <c r="I142" s="46"/>
      <c r="J142" s="35"/>
      <c r="K142" s="35"/>
      <c r="L142" s="36">
        <f t="shared" si="30"/>
        <v>0</v>
      </c>
      <c r="M142" s="33"/>
      <c r="AN142" s="47">
        <v>132</v>
      </c>
      <c r="AO142" s="42">
        <f t="shared" si="31"/>
        <v>0</v>
      </c>
      <c r="AP142" s="43">
        <f t="shared" si="32"/>
        <v>0</v>
      </c>
      <c r="AQ142" s="42">
        <f t="shared" si="33"/>
        <v>0</v>
      </c>
      <c r="AR142" s="44">
        <f t="shared" si="34"/>
        <v>0</v>
      </c>
      <c r="AT142" s="39">
        <f t="shared" si="35"/>
        <v>0</v>
      </c>
      <c r="AU142" s="39">
        <f t="shared" si="36"/>
        <v>0</v>
      </c>
      <c r="AW142" s="45">
        <f t="shared" si="37"/>
        <v>0</v>
      </c>
      <c r="AX142" s="45">
        <f t="shared" si="38"/>
        <v>0</v>
      </c>
    </row>
    <row r="143" spans="1:50" x14ac:dyDescent="0.3">
      <c r="A143" s="32">
        <v>133</v>
      </c>
      <c r="B143" s="33"/>
      <c r="C143" s="33"/>
      <c r="D143" s="33"/>
      <c r="E143" s="33" t="s">
        <v>24</v>
      </c>
      <c r="F143" s="71" t="str">
        <f t="shared" si="28"/>
        <v>-</v>
      </c>
      <c r="G143" s="33"/>
      <c r="H143" s="33"/>
      <c r="I143" s="46"/>
      <c r="J143" s="35"/>
      <c r="K143" s="35"/>
      <c r="L143" s="36">
        <f t="shared" si="30"/>
        <v>0</v>
      </c>
      <c r="M143" s="33"/>
      <c r="AN143" s="47">
        <v>133</v>
      </c>
      <c r="AO143" s="42">
        <f t="shared" ref="AO143:AO206" si="39">I143+(I143*J143)+(I143*K143)</f>
        <v>0</v>
      </c>
      <c r="AP143" s="43">
        <f t="shared" ref="AP143:AP206" si="40">IFERROR(VLOOKUP(E143,$AE$11:$AK$14,4,0),0)</f>
        <v>0</v>
      </c>
      <c r="AQ143" s="42">
        <f t="shared" ref="AQ143:AQ206" si="41">(I143+(I143*J143)+(I143*K143))*AP143</f>
        <v>0</v>
      </c>
      <c r="AR143" s="44">
        <f t="shared" ref="AR143:AR206" si="42">AO143+AQ143</f>
        <v>0</v>
      </c>
      <c r="AT143" s="39">
        <f t="shared" ref="AT143:AT206" si="43">IFERROR((VLOOKUP(E143,$AE$11:$AJ$14,5,0)),0)</f>
        <v>0</v>
      </c>
      <c r="AU143" s="39">
        <f t="shared" ref="AU143:AU206" si="44">IFERROR((VLOOKUP(E143,$AE$11:$AJ$14,6,0)),0)</f>
        <v>0</v>
      </c>
      <c r="AW143" s="45">
        <f t="shared" ref="AW143:AW206" si="45">AR143*AT143</f>
        <v>0</v>
      </c>
      <c r="AX143" s="45">
        <f t="shared" ref="AX143:AX206" si="46">AR143*AU143</f>
        <v>0</v>
      </c>
    </row>
    <row r="144" spans="1:50" x14ac:dyDescent="0.3">
      <c r="A144" s="32">
        <v>134</v>
      </c>
      <c r="B144" s="33"/>
      <c r="C144" s="33"/>
      <c r="D144" s="33"/>
      <c r="E144" s="33" t="s">
        <v>24</v>
      </c>
      <c r="F144" s="71" t="str">
        <f t="shared" si="28"/>
        <v>-</v>
      </c>
      <c r="G144" s="33"/>
      <c r="H144" s="33"/>
      <c r="I144" s="46"/>
      <c r="J144" s="35"/>
      <c r="K144" s="35"/>
      <c r="L144" s="36">
        <f t="shared" si="30"/>
        <v>0</v>
      </c>
      <c r="M144" s="33"/>
      <c r="AN144" s="47">
        <v>134</v>
      </c>
      <c r="AO144" s="42">
        <f t="shared" si="39"/>
        <v>0</v>
      </c>
      <c r="AP144" s="43">
        <f t="shared" si="40"/>
        <v>0</v>
      </c>
      <c r="AQ144" s="42">
        <f t="shared" si="41"/>
        <v>0</v>
      </c>
      <c r="AR144" s="44">
        <f t="shared" si="42"/>
        <v>0</v>
      </c>
      <c r="AT144" s="39">
        <f t="shared" si="43"/>
        <v>0</v>
      </c>
      <c r="AU144" s="39">
        <f t="shared" si="44"/>
        <v>0</v>
      </c>
      <c r="AW144" s="45">
        <f t="shared" si="45"/>
        <v>0</v>
      </c>
      <c r="AX144" s="45">
        <f t="shared" si="46"/>
        <v>0</v>
      </c>
    </row>
    <row r="145" spans="1:50" x14ac:dyDescent="0.3">
      <c r="A145" s="32">
        <v>135</v>
      </c>
      <c r="B145" s="33"/>
      <c r="C145" s="33"/>
      <c r="D145" s="33"/>
      <c r="E145" s="33" t="s">
        <v>24</v>
      </c>
      <c r="F145" s="71" t="str">
        <f t="shared" si="28"/>
        <v>-</v>
      </c>
      <c r="G145" s="33"/>
      <c r="H145" s="33"/>
      <c r="I145" s="46"/>
      <c r="J145" s="35"/>
      <c r="K145" s="35"/>
      <c r="L145" s="36">
        <f t="shared" si="30"/>
        <v>0</v>
      </c>
      <c r="M145" s="33"/>
      <c r="AN145" s="47">
        <v>135</v>
      </c>
      <c r="AO145" s="42">
        <f t="shared" si="39"/>
        <v>0</v>
      </c>
      <c r="AP145" s="43">
        <f t="shared" si="40"/>
        <v>0</v>
      </c>
      <c r="AQ145" s="42">
        <f t="shared" si="41"/>
        <v>0</v>
      </c>
      <c r="AR145" s="44">
        <f t="shared" si="42"/>
        <v>0</v>
      </c>
      <c r="AT145" s="39">
        <f t="shared" si="43"/>
        <v>0</v>
      </c>
      <c r="AU145" s="39">
        <f t="shared" si="44"/>
        <v>0</v>
      </c>
      <c r="AW145" s="45">
        <f t="shared" si="45"/>
        <v>0</v>
      </c>
      <c r="AX145" s="45">
        <f t="shared" si="46"/>
        <v>0</v>
      </c>
    </row>
    <row r="146" spans="1:50" x14ac:dyDescent="0.3">
      <c r="A146" s="32">
        <v>136</v>
      </c>
      <c r="B146" s="33"/>
      <c r="C146" s="33"/>
      <c r="D146" s="33"/>
      <c r="E146" s="33" t="s">
        <v>24</v>
      </c>
      <c r="F146" s="71" t="str">
        <f t="shared" si="28"/>
        <v>-</v>
      </c>
      <c r="G146" s="33"/>
      <c r="H146" s="33"/>
      <c r="I146" s="46"/>
      <c r="J146" s="35"/>
      <c r="K146" s="35"/>
      <c r="L146" s="36">
        <f t="shared" si="30"/>
        <v>0</v>
      </c>
      <c r="M146" s="33"/>
      <c r="AN146" s="47">
        <v>136</v>
      </c>
      <c r="AO146" s="42">
        <f t="shared" si="39"/>
        <v>0</v>
      </c>
      <c r="AP146" s="43">
        <f t="shared" si="40"/>
        <v>0</v>
      </c>
      <c r="AQ146" s="42">
        <f t="shared" si="41"/>
        <v>0</v>
      </c>
      <c r="AR146" s="44">
        <f t="shared" si="42"/>
        <v>0</v>
      </c>
      <c r="AT146" s="39">
        <f t="shared" si="43"/>
        <v>0</v>
      </c>
      <c r="AU146" s="39">
        <f t="shared" si="44"/>
        <v>0</v>
      </c>
      <c r="AW146" s="45">
        <f t="shared" si="45"/>
        <v>0</v>
      </c>
      <c r="AX146" s="45">
        <f t="shared" si="46"/>
        <v>0</v>
      </c>
    </row>
    <row r="147" spans="1:50" x14ac:dyDescent="0.3">
      <c r="A147" s="32">
        <v>137</v>
      </c>
      <c r="B147" s="33"/>
      <c r="C147" s="33"/>
      <c r="D147" s="33"/>
      <c r="E147" s="33" t="s">
        <v>24</v>
      </c>
      <c r="F147" s="71" t="str">
        <f t="shared" si="28"/>
        <v>-</v>
      </c>
      <c r="G147" s="33"/>
      <c r="H147" s="33"/>
      <c r="I147" s="46"/>
      <c r="J147" s="35"/>
      <c r="K147" s="35"/>
      <c r="L147" s="36">
        <f t="shared" si="30"/>
        <v>0</v>
      </c>
      <c r="M147" s="33"/>
      <c r="AN147" s="47">
        <v>137</v>
      </c>
      <c r="AO147" s="42">
        <f t="shared" si="39"/>
        <v>0</v>
      </c>
      <c r="AP147" s="43">
        <f t="shared" si="40"/>
        <v>0</v>
      </c>
      <c r="AQ147" s="42">
        <f t="shared" si="41"/>
        <v>0</v>
      </c>
      <c r="AR147" s="44">
        <f t="shared" si="42"/>
        <v>0</v>
      </c>
      <c r="AT147" s="39">
        <f t="shared" si="43"/>
        <v>0</v>
      </c>
      <c r="AU147" s="39">
        <f t="shared" si="44"/>
        <v>0</v>
      </c>
      <c r="AW147" s="45">
        <f t="shared" si="45"/>
        <v>0</v>
      </c>
      <c r="AX147" s="45">
        <f t="shared" si="46"/>
        <v>0</v>
      </c>
    </row>
    <row r="148" spans="1:50" x14ac:dyDescent="0.3">
      <c r="A148" s="32">
        <v>138</v>
      </c>
      <c r="B148" s="33"/>
      <c r="C148" s="33"/>
      <c r="D148" s="33"/>
      <c r="E148" s="33" t="s">
        <v>24</v>
      </c>
      <c r="F148" s="71" t="str">
        <f t="shared" si="28"/>
        <v>-</v>
      </c>
      <c r="G148" s="33"/>
      <c r="H148" s="33"/>
      <c r="I148" s="46"/>
      <c r="J148" s="35"/>
      <c r="K148" s="35"/>
      <c r="L148" s="36">
        <f t="shared" si="30"/>
        <v>0</v>
      </c>
      <c r="M148" s="33"/>
      <c r="AN148" s="47">
        <v>138</v>
      </c>
      <c r="AO148" s="42">
        <f t="shared" si="39"/>
        <v>0</v>
      </c>
      <c r="AP148" s="43">
        <f t="shared" si="40"/>
        <v>0</v>
      </c>
      <c r="AQ148" s="42">
        <f t="shared" si="41"/>
        <v>0</v>
      </c>
      <c r="AR148" s="44">
        <f t="shared" si="42"/>
        <v>0</v>
      </c>
      <c r="AT148" s="39">
        <f t="shared" si="43"/>
        <v>0</v>
      </c>
      <c r="AU148" s="39">
        <f t="shared" si="44"/>
        <v>0</v>
      </c>
      <c r="AW148" s="45">
        <f t="shared" si="45"/>
        <v>0</v>
      </c>
      <c r="AX148" s="45">
        <f t="shared" si="46"/>
        <v>0</v>
      </c>
    </row>
    <row r="149" spans="1:50" x14ac:dyDescent="0.3">
      <c r="A149" s="32">
        <v>139</v>
      </c>
      <c r="B149" s="33"/>
      <c r="C149" s="33"/>
      <c r="D149" s="33"/>
      <c r="E149" s="33" t="s">
        <v>24</v>
      </c>
      <c r="F149" s="71" t="str">
        <f t="shared" si="28"/>
        <v>-</v>
      </c>
      <c r="G149" s="33"/>
      <c r="H149" s="33"/>
      <c r="I149" s="46"/>
      <c r="J149" s="35"/>
      <c r="K149" s="35"/>
      <c r="L149" s="36">
        <f t="shared" si="30"/>
        <v>0</v>
      </c>
      <c r="M149" s="33"/>
      <c r="AN149" s="47">
        <v>139</v>
      </c>
      <c r="AO149" s="42">
        <f t="shared" si="39"/>
        <v>0</v>
      </c>
      <c r="AP149" s="43">
        <f t="shared" si="40"/>
        <v>0</v>
      </c>
      <c r="AQ149" s="42">
        <f t="shared" si="41"/>
        <v>0</v>
      </c>
      <c r="AR149" s="44">
        <f t="shared" si="42"/>
        <v>0</v>
      </c>
      <c r="AT149" s="39">
        <f t="shared" si="43"/>
        <v>0</v>
      </c>
      <c r="AU149" s="39">
        <f t="shared" si="44"/>
        <v>0</v>
      </c>
      <c r="AW149" s="45">
        <f t="shared" si="45"/>
        <v>0</v>
      </c>
      <c r="AX149" s="45">
        <f t="shared" si="46"/>
        <v>0</v>
      </c>
    </row>
    <row r="150" spans="1:50" x14ac:dyDescent="0.3">
      <c r="A150" s="32">
        <v>140</v>
      </c>
      <c r="B150" s="33"/>
      <c r="C150" s="33"/>
      <c r="D150" s="33"/>
      <c r="E150" s="33" t="s">
        <v>24</v>
      </c>
      <c r="F150" s="71" t="str">
        <f t="shared" si="28"/>
        <v>-</v>
      </c>
      <c r="G150" s="33"/>
      <c r="H150" s="33"/>
      <c r="I150" s="46"/>
      <c r="J150" s="35"/>
      <c r="K150" s="35"/>
      <c r="L150" s="36">
        <f t="shared" si="30"/>
        <v>0</v>
      </c>
      <c r="M150" s="33"/>
      <c r="AN150" s="47">
        <v>140</v>
      </c>
      <c r="AO150" s="42">
        <f t="shared" si="39"/>
        <v>0</v>
      </c>
      <c r="AP150" s="43">
        <f t="shared" si="40"/>
        <v>0</v>
      </c>
      <c r="AQ150" s="42">
        <f t="shared" si="41"/>
        <v>0</v>
      </c>
      <c r="AR150" s="44">
        <f t="shared" si="42"/>
        <v>0</v>
      </c>
      <c r="AT150" s="39">
        <f t="shared" si="43"/>
        <v>0</v>
      </c>
      <c r="AU150" s="39">
        <f t="shared" si="44"/>
        <v>0</v>
      </c>
      <c r="AW150" s="45">
        <f t="shared" si="45"/>
        <v>0</v>
      </c>
      <c r="AX150" s="45">
        <f t="shared" si="46"/>
        <v>0</v>
      </c>
    </row>
    <row r="151" spans="1:50" x14ac:dyDescent="0.3">
      <c r="A151" s="32">
        <v>141</v>
      </c>
      <c r="B151" s="33"/>
      <c r="C151" s="33"/>
      <c r="D151" s="33"/>
      <c r="E151" s="33" t="s">
        <v>24</v>
      </c>
      <c r="F151" s="71" t="str">
        <f t="shared" si="28"/>
        <v>-</v>
      </c>
      <c r="G151" s="33"/>
      <c r="H151" s="33"/>
      <c r="I151" s="46"/>
      <c r="J151" s="35"/>
      <c r="K151" s="35"/>
      <c r="L151" s="36">
        <f t="shared" si="30"/>
        <v>0</v>
      </c>
      <c r="M151" s="33"/>
      <c r="AN151" s="47">
        <v>141</v>
      </c>
      <c r="AO151" s="42">
        <f t="shared" si="39"/>
        <v>0</v>
      </c>
      <c r="AP151" s="43">
        <f t="shared" si="40"/>
        <v>0</v>
      </c>
      <c r="AQ151" s="42">
        <f t="shared" si="41"/>
        <v>0</v>
      </c>
      <c r="AR151" s="44">
        <f t="shared" si="42"/>
        <v>0</v>
      </c>
      <c r="AT151" s="39">
        <f t="shared" si="43"/>
        <v>0</v>
      </c>
      <c r="AU151" s="39">
        <f t="shared" si="44"/>
        <v>0</v>
      </c>
      <c r="AW151" s="45">
        <f t="shared" si="45"/>
        <v>0</v>
      </c>
      <c r="AX151" s="45">
        <f t="shared" si="46"/>
        <v>0</v>
      </c>
    </row>
    <row r="152" spans="1:50" x14ac:dyDescent="0.3">
      <c r="A152" s="32">
        <v>142</v>
      </c>
      <c r="B152" s="33"/>
      <c r="C152" s="33"/>
      <c r="D152" s="33"/>
      <c r="E152" s="33" t="s">
        <v>24</v>
      </c>
      <c r="F152" s="71" t="str">
        <f t="shared" si="28"/>
        <v>-</v>
      </c>
      <c r="G152" s="33"/>
      <c r="H152" s="33"/>
      <c r="I152" s="46"/>
      <c r="J152" s="35"/>
      <c r="K152" s="35"/>
      <c r="L152" s="36">
        <f t="shared" si="30"/>
        <v>0</v>
      </c>
      <c r="M152" s="33"/>
      <c r="AN152" s="47">
        <v>142</v>
      </c>
      <c r="AO152" s="42">
        <f t="shared" si="39"/>
        <v>0</v>
      </c>
      <c r="AP152" s="43">
        <f t="shared" si="40"/>
        <v>0</v>
      </c>
      <c r="AQ152" s="42">
        <f t="shared" si="41"/>
        <v>0</v>
      </c>
      <c r="AR152" s="44">
        <f t="shared" si="42"/>
        <v>0</v>
      </c>
      <c r="AT152" s="39">
        <f t="shared" si="43"/>
        <v>0</v>
      </c>
      <c r="AU152" s="39">
        <f t="shared" si="44"/>
        <v>0</v>
      </c>
      <c r="AW152" s="45">
        <f t="shared" si="45"/>
        <v>0</v>
      </c>
      <c r="AX152" s="45">
        <f t="shared" si="46"/>
        <v>0</v>
      </c>
    </row>
    <row r="153" spans="1:50" x14ac:dyDescent="0.3">
      <c r="A153" s="32">
        <v>143</v>
      </c>
      <c r="B153" s="33"/>
      <c r="C153" s="33"/>
      <c r="D153" s="33"/>
      <c r="E153" s="33" t="s">
        <v>24</v>
      </c>
      <c r="F153" s="71" t="str">
        <f t="shared" si="28"/>
        <v>-</v>
      </c>
      <c r="G153" s="33"/>
      <c r="H153" s="33"/>
      <c r="I153" s="46"/>
      <c r="J153" s="35"/>
      <c r="K153" s="35"/>
      <c r="L153" s="36">
        <f t="shared" si="30"/>
        <v>0</v>
      </c>
      <c r="M153" s="33"/>
      <c r="AN153" s="47">
        <v>143</v>
      </c>
      <c r="AO153" s="42">
        <f t="shared" si="39"/>
        <v>0</v>
      </c>
      <c r="AP153" s="43">
        <f t="shared" si="40"/>
        <v>0</v>
      </c>
      <c r="AQ153" s="42">
        <f t="shared" si="41"/>
        <v>0</v>
      </c>
      <c r="AR153" s="44">
        <f t="shared" si="42"/>
        <v>0</v>
      </c>
      <c r="AT153" s="39">
        <f t="shared" si="43"/>
        <v>0</v>
      </c>
      <c r="AU153" s="39">
        <f t="shared" si="44"/>
        <v>0</v>
      </c>
      <c r="AW153" s="45">
        <f t="shared" si="45"/>
        <v>0</v>
      </c>
      <c r="AX153" s="45">
        <f t="shared" si="46"/>
        <v>0</v>
      </c>
    </row>
    <row r="154" spans="1:50" x14ac:dyDescent="0.3">
      <c r="A154" s="32">
        <v>144</v>
      </c>
      <c r="B154" s="33"/>
      <c r="C154" s="33"/>
      <c r="D154" s="33"/>
      <c r="E154" s="33" t="s">
        <v>24</v>
      </c>
      <c r="F154" s="71" t="str">
        <f t="shared" si="28"/>
        <v>-</v>
      </c>
      <c r="G154" s="33"/>
      <c r="H154" s="33"/>
      <c r="I154" s="46"/>
      <c r="J154" s="35"/>
      <c r="K154" s="35"/>
      <c r="L154" s="36">
        <f t="shared" si="30"/>
        <v>0</v>
      </c>
      <c r="M154" s="33"/>
      <c r="AN154" s="47">
        <v>144</v>
      </c>
      <c r="AO154" s="42">
        <f t="shared" si="39"/>
        <v>0</v>
      </c>
      <c r="AP154" s="43">
        <f t="shared" si="40"/>
        <v>0</v>
      </c>
      <c r="AQ154" s="42">
        <f t="shared" si="41"/>
        <v>0</v>
      </c>
      <c r="AR154" s="44">
        <f t="shared" si="42"/>
        <v>0</v>
      </c>
      <c r="AT154" s="39">
        <f t="shared" si="43"/>
        <v>0</v>
      </c>
      <c r="AU154" s="39">
        <f t="shared" si="44"/>
        <v>0</v>
      </c>
      <c r="AW154" s="45">
        <f t="shared" si="45"/>
        <v>0</v>
      </c>
      <c r="AX154" s="45">
        <f t="shared" si="46"/>
        <v>0</v>
      </c>
    </row>
    <row r="155" spans="1:50" x14ac:dyDescent="0.3">
      <c r="A155" s="32">
        <v>145</v>
      </c>
      <c r="B155" s="33"/>
      <c r="C155" s="33"/>
      <c r="D155" s="33"/>
      <c r="E155" s="33" t="s">
        <v>24</v>
      </c>
      <c r="F155" s="71" t="str">
        <f t="shared" si="28"/>
        <v>-</v>
      </c>
      <c r="G155" s="33"/>
      <c r="H155" s="33"/>
      <c r="I155" s="46"/>
      <c r="J155" s="35"/>
      <c r="K155" s="35"/>
      <c r="L155" s="36">
        <f t="shared" si="30"/>
        <v>0</v>
      </c>
      <c r="M155" s="33"/>
      <c r="AN155" s="47">
        <v>145</v>
      </c>
      <c r="AO155" s="42">
        <f t="shared" si="39"/>
        <v>0</v>
      </c>
      <c r="AP155" s="43">
        <f t="shared" si="40"/>
        <v>0</v>
      </c>
      <c r="AQ155" s="42">
        <f t="shared" si="41"/>
        <v>0</v>
      </c>
      <c r="AR155" s="44">
        <f t="shared" si="42"/>
        <v>0</v>
      </c>
      <c r="AT155" s="39">
        <f t="shared" si="43"/>
        <v>0</v>
      </c>
      <c r="AU155" s="39">
        <f t="shared" si="44"/>
        <v>0</v>
      </c>
      <c r="AW155" s="45">
        <f t="shared" si="45"/>
        <v>0</v>
      </c>
      <c r="AX155" s="45">
        <f t="shared" si="46"/>
        <v>0</v>
      </c>
    </row>
    <row r="156" spans="1:50" x14ac:dyDescent="0.3">
      <c r="A156" s="32">
        <v>146</v>
      </c>
      <c r="B156" s="33"/>
      <c r="C156" s="33"/>
      <c r="D156" s="33"/>
      <c r="E156" s="33" t="s">
        <v>24</v>
      </c>
      <c r="F156" s="71" t="str">
        <f t="shared" si="28"/>
        <v>-</v>
      </c>
      <c r="G156" s="33"/>
      <c r="H156" s="33"/>
      <c r="I156" s="46"/>
      <c r="J156" s="35"/>
      <c r="K156" s="35"/>
      <c r="L156" s="36">
        <f t="shared" si="30"/>
        <v>0</v>
      </c>
      <c r="M156" s="33"/>
      <c r="AN156" s="47">
        <v>146</v>
      </c>
      <c r="AO156" s="42">
        <f t="shared" si="39"/>
        <v>0</v>
      </c>
      <c r="AP156" s="43">
        <f t="shared" si="40"/>
        <v>0</v>
      </c>
      <c r="AQ156" s="42">
        <f t="shared" si="41"/>
        <v>0</v>
      </c>
      <c r="AR156" s="44">
        <f t="shared" si="42"/>
        <v>0</v>
      </c>
      <c r="AT156" s="39">
        <f t="shared" si="43"/>
        <v>0</v>
      </c>
      <c r="AU156" s="39">
        <f t="shared" si="44"/>
        <v>0</v>
      </c>
      <c r="AW156" s="45">
        <f t="shared" si="45"/>
        <v>0</v>
      </c>
      <c r="AX156" s="45">
        <f t="shared" si="46"/>
        <v>0</v>
      </c>
    </row>
    <row r="157" spans="1:50" x14ac:dyDescent="0.3">
      <c r="A157" s="32">
        <v>147</v>
      </c>
      <c r="B157" s="33"/>
      <c r="C157" s="33"/>
      <c r="D157" s="33"/>
      <c r="E157" s="33" t="s">
        <v>24</v>
      </c>
      <c r="F157" s="71" t="str">
        <f t="shared" si="28"/>
        <v>-</v>
      </c>
      <c r="G157" s="33"/>
      <c r="H157" s="33"/>
      <c r="I157" s="46"/>
      <c r="J157" s="35"/>
      <c r="K157" s="35"/>
      <c r="L157" s="36">
        <f t="shared" si="30"/>
        <v>0</v>
      </c>
      <c r="M157" s="33"/>
      <c r="AN157" s="47">
        <v>147</v>
      </c>
      <c r="AO157" s="42">
        <f t="shared" si="39"/>
        <v>0</v>
      </c>
      <c r="AP157" s="43">
        <f t="shared" si="40"/>
        <v>0</v>
      </c>
      <c r="AQ157" s="42">
        <f t="shared" si="41"/>
        <v>0</v>
      </c>
      <c r="AR157" s="44">
        <f t="shared" si="42"/>
        <v>0</v>
      </c>
      <c r="AT157" s="39">
        <f t="shared" si="43"/>
        <v>0</v>
      </c>
      <c r="AU157" s="39">
        <f t="shared" si="44"/>
        <v>0</v>
      </c>
      <c r="AW157" s="45">
        <f t="shared" si="45"/>
        <v>0</v>
      </c>
      <c r="AX157" s="45">
        <f t="shared" si="46"/>
        <v>0</v>
      </c>
    </row>
    <row r="158" spans="1:50" x14ac:dyDescent="0.3">
      <c r="A158" s="32">
        <v>148</v>
      </c>
      <c r="B158" s="33"/>
      <c r="C158" s="33"/>
      <c r="D158" s="33"/>
      <c r="E158" s="33" t="s">
        <v>24</v>
      </c>
      <c r="F158" s="71" t="str">
        <f t="shared" si="28"/>
        <v>-</v>
      </c>
      <c r="G158" s="33"/>
      <c r="H158" s="33"/>
      <c r="I158" s="46"/>
      <c r="J158" s="35"/>
      <c r="K158" s="35"/>
      <c r="L158" s="36">
        <f t="shared" si="30"/>
        <v>0</v>
      </c>
      <c r="M158" s="33"/>
      <c r="AN158" s="47">
        <v>148</v>
      </c>
      <c r="AO158" s="42">
        <f t="shared" si="39"/>
        <v>0</v>
      </c>
      <c r="AP158" s="43">
        <f t="shared" si="40"/>
        <v>0</v>
      </c>
      <c r="AQ158" s="42">
        <f t="shared" si="41"/>
        <v>0</v>
      </c>
      <c r="AR158" s="44">
        <f t="shared" si="42"/>
        <v>0</v>
      </c>
      <c r="AT158" s="39">
        <f t="shared" si="43"/>
        <v>0</v>
      </c>
      <c r="AU158" s="39">
        <f t="shared" si="44"/>
        <v>0</v>
      </c>
      <c r="AW158" s="45">
        <f t="shared" si="45"/>
        <v>0</v>
      </c>
      <c r="AX158" s="45">
        <f t="shared" si="46"/>
        <v>0</v>
      </c>
    </row>
    <row r="159" spans="1:50" x14ac:dyDescent="0.3">
      <c r="A159" s="32">
        <v>149</v>
      </c>
      <c r="B159" s="33"/>
      <c r="C159" s="33"/>
      <c r="D159" s="33"/>
      <c r="E159" s="33" t="s">
        <v>24</v>
      </c>
      <c r="F159" s="71" t="str">
        <f t="shared" si="28"/>
        <v>-</v>
      </c>
      <c r="G159" s="33"/>
      <c r="H159" s="33"/>
      <c r="I159" s="46"/>
      <c r="J159" s="35"/>
      <c r="K159" s="35"/>
      <c r="L159" s="36">
        <f t="shared" si="30"/>
        <v>0</v>
      </c>
      <c r="M159" s="33"/>
      <c r="AN159" s="47">
        <v>149</v>
      </c>
      <c r="AO159" s="42">
        <f t="shared" si="39"/>
        <v>0</v>
      </c>
      <c r="AP159" s="43">
        <f t="shared" si="40"/>
        <v>0</v>
      </c>
      <c r="AQ159" s="42">
        <f t="shared" si="41"/>
        <v>0</v>
      </c>
      <c r="AR159" s="44">
        <f t="shared" si="42"/>
        <v>0</v>
      </c>
      <c r="AT159" s="39">
        <f t="shared" si="43"/>
        <v>0</v>
      </c>
      <c r="AU159" s="39">
        <f t="shared" si="44"/>
        <v>0</v>
      </c>
      <c r="AW159" s="45">
        <f t="shared" si="45"/>
        <v>0</v>
      </c>
      <c r="AX159" s="45">
        <f t="shared" si="46"/>
        <v>0</v>
      </c>
    </row>
    <row r="160" spans="1:50" x14ac:dyDescent="0.3">
      <c r="A160" s="32">
        <v>150</v>
      </c>
      <c r="B160" s="33"/>
      <c r="C160" s="33"/>
      <c r="D160" s="33"/>
      <c r="E160" s="33" t="s">
        <v>24</v>
      </c>
      <c r="F160" s="71" t="str">
        <f t="shared" si="28"/>
        <v>-</v>
      </c>
      <c r="G160" s="33"/>
      <c r="H160" s="33"/>
      <c r="I160" s="46"/>
      <c r="J160" s="35"/>
      <c r="K160" s="35"/>
      <c r="L160" s="36">
        <f t="shared" si="30"/>
        <v>0</v>
      </c>
      <c r="M160" s="33"/>
      <c r="AN160" s="47">
        <v>150</v>
      </c>
      <c r="AO160" s="42">
        <f t="shared" si="39"/>
        <v>0</v>
      </c>
      <c r="AP160" s="43">
        <f t="shared" si="40"/>
        <v>0</v>
      </c>
      <c r="AQ160" s="42">
        <f t="shared" si="41"/>
        <v>0</v>
      </c>
      <c r="AR160" s="44">
        <f t="shared" si="42"/>
        <v>0</v>
      </c>
      <c r="AT160" s="39">
        <f t="shared" si="43"/>
        <v>0</v>
      </c>
      <c r="AU160" s="39">
        <f t="shared" si="44"/>
        <v>0</v>
      </c>
      <c r="AW160" s="45">
        <f t="shared" si="45"/>
        <v>0</v>
      </c>
      <c r="AX160" s="45">
        <f t="shared" si="46"/>
        <v>0</v>
      </c>
    </row>
    <row r="161" spans="1:50" x14ac:dyDescent="0.3">
      <c r="A161" s="32">
        <v>151</v>
      </c>
      <c r="B161" s="33"/>
      <c r="C161" s="33"/>
      <c r="D161" s="33"/>
      <c r="E161" s="33" t="s">
        <v>24</v>
      </c>
      <c r="F161" s="71" t="str">
        <f t="shared" si="28"/>
        <v>-</v>
      </c>
      <c r="G161" s="33"/>
      <c r="H161" s="33"/>
      <c r="I161" s="46"/>
      <c r="J161" s="35"/>
      <c r="K161" s="35"/>
      <c r="L161" s="36">
        <f t="shared" si="30"/>
        <v>0</v>
      </c>
      <c r="M161" s="33"/>
      <c r="AN161" s="47">
        <v>151</v>
      </c>
      <c r="AO161" s="42">
        <f t="shared" si="39"/>
        <v>0</v>
      </c>
      <c r="AP161" s="43">
        <f t="shared" si="40"/>
        <v>0</v>
      </c>
      <c r="AQ161" s="42">
        <f t="shared" si="41"/>
        <v>0</v>
      </c>
      <c r="AR161" s="44">
        <f t="shared" si="42"/>
        <v>0</v>
      </c>
      <c r="AT161" s="39">
        <f t="shared" si="43"/>
        <v>0</v>
      </c>
      <c r="AU161" s="39">
        <f t="shared" si="44"/>
        <v>0</v>
      </c>
      <c r="AW161" s="45">
        <f t="shared" si="45"/>
        <v>0</v>
      </c>
      <c r="AX161" s="45">
        <f t="shared" si="46"/>
        <v>0</v>
      </c>
    </row>
    <row r="162" spans="1:50" x14ac:dyDescent="0.3">
      <c r="A162" s="32">
        <v>152</v>
      </c>
      <c r="B162" s="33"/>
      <c r="C162" s="33"/>
      <c r="D162" s="33"/>
      <c r="E162" s="33" t="s">
        <v>24</v>
      </c>
      <c r="F162" s="71" t="str">
        <f t="shared" si="28"/>
        <v>-</v>
      </c>
      <c r="G162" s="33"/>
      <c r="H162" s="33"/>
      <c r="I162" s="46"/>
      <c r="J162" s="35"/>
      <c r="K162" s="35"/>
      <c r="L162" s="36">
        <f t="shared" si="30"/>
        <v>0</v>
      </c>
      <c r="M162" s="33"/>
      <c r="AN162" s="47">
        <v>152</v>
      </c>
      <c r="AO162" s="42">
        <f t="shared" si="39"/>
        <v>0</v>
      </c>
      <c r="AP162" s="43">
        <f t="shared" si="40"/>
        <v>0</v>
      </c>
      <c r="AQ162" s="42">
        <f t="shared" si="41"/>
        <v>0</v>
      </c>
      <c r="AR162" s="44">
        <f t="shared" si="42"/>
        <v>0</v>
      </c>
      <c r="AT162" s="39">
        <f t="shared" si="43"/>
        <v>0</v>
      </c>
      <c r="AU162" s="39">
        <f t="shared" si="44"/>
        <v>0</v>
      </c>
      <c r="AW162" s="45">
        <f t="shared" si="45"/>
        <v>0</v>
      </c>
      <c r="AX162" s="45">
        <f t="shared" si="46"/>
        <v>0</v>
      </c>
    </row>
    <row r="163" spans="1:50" x14ac:dyDescent="0.3">
      <c r="A163" s="32">
        <v>153</v>
      </c>
      <c r="B163" s="33"/>
      <c r="C163" s="33"/>
      <c r="D163" s="33"/>
      <c r="E163" s="33" t="s">
        <v>24</v>
      </c>
      <c r="F163" s="71" t="str">
        <f t="shared" si="28"/>
        <v>-</v>
      </c>
      <c r="G163" s="33"/>
      <c r="H163" s="33"/>
      <c r="I163" s="46"/>
      <c r="J163" s="35"/>
      <c r="K163" s="35"/>
      <c r="L163" s="36">
        <f t="shared" si="30"/>
        <v>0</v>
      </c>
      <c r="M163" s="33"/>
      <c r="AN163" s="47">
        <v>153</v>
      </c>
      <c r="AO163" s="42">
        <f t="shared" si="39"/>
        <v>0</v>
      </c>
      <c r="AP163" s="43">
        <f t="shared" si="40"/>
        <v>0</v>
      </c>
      <c r="AQ163" s="42">
        <f t="shared" si="41"/>
        <v>0</v>
      </c>
      <c r="AR163" s="44">
        <f t="shared" si="42"/>
        <v>0</v>
      </c>
      <c r="AT163" s="39">
        <f t="shared" si="43"/>
        <v>0</v>
      </c>
      <c r="AU163" s="39">
        <f t="shared" si="44"/>
        <v>0</v>
      </c>
      <c r="AW163" s="45">
        <f t="shared" si="45"/>
        <v>0</v>
      </c>
      <c r="AX163" s="45">
        <f t="shared" si="46"/>
        <v>0</v>
      </c>
    </row>
    <row r="164" spans="1:50" x14ac:dyDescent="0.3">
      <c r="A164" s="32">
        <v>154</v>
      </c>
      <c r="B164" s="33"/>
      <c r="C164" s="33"/>
      <c r="D164" s="33"/>
      <c r="E164" s="33" t="s">
        <v>24</v>
      </c>
      <c r="F164" s="71" t="str">
        <f t="shared" si="28"/>
        <v>-</v>
      </c>
      <c r="G164" s="33"/>
      <c r="H164" s="33"/>
      <c r="I164" s="46"/>
      <c r="J164" s="35"/>
      <c r="K164" s="35"/>
      <c r="L164" s="36">
        <f t="shared" si="30"/>
        <v>0</v>
      </c>
      <c r="M164" s="33"/>
      <c r="AN164" s="47">
        <v>154</v>
      </c>
      <c r="AO164" s="42">
        <f t="shared" si="39"/>
        <v>0</v>
      </c>
      <c r="AP164" s="43">
        <f t="shared" si="40"/>
        <v>0</v>
      </c>
      <c r="AQ164" s="42">
        <f t="shared" si="41"/>
        <v>0</v>
      </c>
      <c r="AR164" s="44">
        <f t="shared" si="42"/>
        <v>0</v>
      </c>
      <c r="AT164" s="39">
        <f t="shared" si="43"/>
        <v>0</v>
      </c>
      <c r="AU164" s="39">
        <f t="shared" si="44"/>
        <v>0</v>
      </c>
      <c r="AW164" s="45">
        <f t="shared" si="45"/>
        <v>0</v>
      </c>
      <c r="AX164" s="45">
        <f t="shared" si="46"/>
        <v>0</v>
      </c>
    </row>
    <row r="165" spans="1:50" x14ac:dyDescent="0.3">
      <c r="A165" s="32">
        <v>155</v>
      </c>
      <c r="B165" s="33"/>
      <c r="C165" s="33"/>
      <c r="D165" s="33"/>
      <c r="E165" s="33" t="s">
        <v>24</v>
      </c>
      <c r="F165" s="71" t="str">
        <f t="shared" si="28"/>
        <v>-</v>
      </c>
      <c r="G165" s="33"/>
      <c r="H165" s="33"/>
      <c r="I165" s="46"/>
      <c r="J165" s="35"/>
      <c r="K165" s="35"/>
      <c r="L165" s="36">
        <f t="shared" si="30"/>
        <v>0</v>
      </c>
      <c r="M165" s="33"/>
      <c r="AN165" s="47">
        <v>155</v>
      </c>
      <c r="AO165" s="42">
        <f t="shared" si="39"/>
        <v>0</v>
      </c>
      <c r="AP165" s="43">
        <f t="shared" si="40"/>
        <v>0</v>
      </c>
      <c r="AQ165" s="42">
        <f t="shared" si="41"/>
        <v>0</v>
      </c>
      <c r="AR165" s="44">
        <f t="shared" si="42"/>
        <v>0</v>
      </c>
      <c r="AT165" s="39">
        <f t="shared" si="43"/>
        <v>0</v>
      </c>
      <c r="AU165" s="39">
        <f t="shared" si="44"/>
        <v>0</v>
      </c>
      <c r="AW165" s="45">
        <f t="shared" si="45"/>
        <v>0</v>
      </c>
      <c r="AX165" s="45">
        <f t="shared" si="46"/>
        <v>0</v>
      </c>
    </row>
    <row r="166" spans="1:50" x14ac:dyDescent="0.3">
      <c r="A166" s="32">
        <v>156</v>
      </c>
      <c r="B166" s="33"/>
      <c r="C166" s="33"/>
      <c r="D166" s="33"/>
      <c r="E166" s="33" t="s">
        <v>24</v>
      </c>
      <c r="F166" s="71" t="str">
        <f t="shared" si="28"/>
        <v>-</v>
      </c>
      <c r="G166" s="33"/>
      <c r="H166" s="33"/>
      <c r="I166" s="46"/>
      <c r="J166" s="35"/>
      <c r="K166" s="35"/>
      <c r="L166" s="36">
        <f t="shared" si="30"/>
        <v>0</v>
      </c>
      <c r="M166" s="33"/>
      <c r="AN166" s="47">
        <v>156</v>
      </c>
      <c r="AO166" s="42">
        <f t="shared" si="39"/>
        <v>0</v>
      </c>
      <c r="AP166" s="43">
        <f t="shared" si="40"/>
        <v>0</v>
      </c>
      <c r="AQ166" s="42">
        <f t="shared" si="41"/>
        <v>0</v>
      </c>
      <c r="AR166" s="44">
        <f t="shared" si="42"/>
        <v>0</v>
      </c>
      <c r="AT166" s="39">
        <f t="shared" si="43"/>
        <v>0</v>
      </c>
      <c r="AU166" s="39">
        <f t="shared" si="44"/>
        <v>0</v>
      </c>
      <c r="AW166" s="45">
        <f t="shared" si="45"/>
        <v>0</v>
      </c>
      <c r="AX166" s="45">
        <f t="shared" si="46"/>
        <v>0</v>
      </c>
    </row>
    <row r="167" spans="1:50" x14ac:dyDescent="0.3">
      <c r="A167" s="32">
        <v>157</v>
      </c>
      <c r="B167" s="33"/>
      <c r="C167" s="33"/>
      <c r="D167" s="33"/>
      <c r="E167" s="33" t="s">
        <v>24</v>
      </c>
      <c r="F167" s="71" t="str">
        <f t="shared" si="28"/>
        <v>-</v>
      </c>
      <c r="G167" s="33"/>
      <c r="H167" s="33"/>
      <c r="I167" s="46"/>
      <c r="J167" s="35"/>
      <c r="K167" s="35"/>
      <c r="L167" s="36">
        <f t="shared" si="30"/>
        <v>0</v>
      </c>
      <c r="M167" s="33"/>
      <c r="AN167" s="47">
        <v>157</v>
      </c>
      <c r="AO167" s="42">
        <f t="shared" si="39"/>
        <v>0</v>
      </c>
      <c r="AP167" s="43">
        <f t="shared" si="40"/>
        <v>0</v>
      </c>
      <c r="AQ167" s="42">
        <f t="shared" si="41"/>
        <v>0</v>
      </c>
      <c r="AR167" s="44">
        <f t="shared" si="42"/>
        <v>0</v>
      </c>
      <c r="AT167" s="39">
        <f t="shared" si="43"/>
        <v>0</v>
      </c>
      <c r="AU167" s="39">
        <f t="shared" si="44"/>
        <v>0</v>
      </c>
      <c r="AW167" s="45">
        <f t="shared" si="45"/>
        <v>0</v>
      </c>
      <c r="AX167" s="45">
        <f t="shared" si="46"/>
        <v>0</v>
      </c>
    </row>
    <row r="168" spans="1:50" x14ac:dyDescent="0.3">
      <c r="A168" s="32">
        <v>158</v>
      </c>
      <c r="B168" s="33"/>
      <c r="C168" s="33"/>
      <c r="D168" s="33"/>
      <c r="E168" s="33" t="s">
        <v>24</v>
      </c>
      <c r="F168" s="71" t="str">
        <f t="shared" si="28"/>
        <v>-</v>
      </c>
      <c r="G168" s="33"/>
      <c r="H168" s="33"/>
      <c r="I168" s="46"/>
      <c r="J168" s="35"/>
      <c r="K168" s="35"/>
      <c r="L168" s="36">
        <f t="shared" si="30"/>
        <v>0</v>
      </c>
      <c r="M168" s="33"/>
      <c r="AN168" s="47">
        <v>158</v>
      </c>
      <c r="AO168" s="42">
        <f t="shared" si="39"/>
        <v>0</v>
      </c>
      <c r="AP168" s="43">
        <f t="shared" si="40"/>
        <v>0</v>
      </c>
      <c r="AQ168" s="42">
        <f t="shared" si="41"/>
        <v>0</v>
      </c>
      <c r="AR168" s="44">
        <f t="shared" si="42"/>
        <v>0</v>
      </c>
      <c r="AT168" s="39">
        <f t="shared" si="43"/>
        <v>0</v>
      </c>
      <c r="AU168" s="39">
        <f t="shared" si="44"/>
        <v>0</v>
      </c>
      <c r="AW168" s="45">
        <f t="shared" si="45"/>
        <v>0</v>
      </c>
      <c r="AX168" s="45">
        <f t="shared" si="46"/>
        <v>0</v>
      </c>
    </row>
    <row r="169" spans="1:50" x14ac:dyDescent="0.3">
      <c r="A169" s="32">
        <v>159</v>
      </c>
      <c r="B169" s="33"/>
      <c r="C169" s="33"/>
      <c r="D169" s="33"/>
      <c r="E169" s="33" t="s">
        <v>24</v>
      </c>
      <c r="F169" s="71" t="str">
        <f t="shared" si="28"/>
        <v>-</v>
      </c>
      <c r="G169" s="33"/>
      <c r="H169" s="33"/>
      <c r="I169" s="46"/>
      <c r="J169" s="35"/>
      <c r="K169" s="35"/>
      <c r="L169" s="36">
        <f t="shared" si="30"/>
        <v>0</v>
      </c>
      <c r="M169" s="33"/>
      <c r="AN169" s="47">
        <v>159</v>
      </c>
      <c r="AO169" s="42">
        <f t="shared" si="39"/>
        <v>0</v>
      </c>
      <c r="AP169" s="43">
        <f t="shared" si="40"/>
        <v>0</v>
      </c>
      <c r="AQ169" s="42">
        <f t="shared" si="41"/>
        <v>0</v>
      </c>
      <c r="AR169" s="44">
        <f t="shared" si="42"/>
        <v>0</v>
      </c>
      <c r="AT169" s="39">
        <f t="shared" si="43"/>
        <v>0</v>
      </c>
      <c r="AU169" s="39">
        <f t="shared" si="44"/>
        <v>0</v>
      </c>
      <c r="AW169" s="45">
        <f t="shared" si="45"/>
        <v>0</v>
      </c>
      <c r="AX169" s="45">
        <f t="shared" si="46"/>
        <v>0</v>
      </c>
    </row>
    <row r="170" spans="1:50" x14ac:dyDescent="0.3">
      <c r="A170" s="32">
        <v>160</v>
      </c>
      <c r="B170" s="33"/>
      <c r="C170" s="33"/>
      <c r="D170" s="33"/>
      <c r="E170" s="33" t="s">
        <v>24</v>
      </c>
      <c r="F170" s="71" t="str">
        <f t="shared" si="28"/>
        <v>-</v>
      </c>
      <c r="G170" s="33"/>
      <c r="H170" s="33"/>
      <c r="I170" s="46"/>
      <c r="J170" s="35"/>
      <c r="K170" s="35"/>
      <c r="L170" s="36">
        <f t="shared" si="30"/>
        <v>0</v>
      </c>
      <c r="M170" s="33"/>
      <c r="AN170" s="47">
        <v>160</v>
      </c>
      <c r="AO170" s="42">
        <f t="shared" si="39"/>
        <v>0</v>
      </c>
      <c r="AP170" s="43">
        <f t="shared" si="40"/>
        <v>0</v>
      </c>
      <c r="AQ170" s="42">
        <f t="shared" si="41"/>
        <v>0</v>
      </c>
      <c r="AR170" s="44">
        <f t="shared" si="42"/>
        <v>0</v>
      </c>
      <c r="AT170" s="39">
        <f t="shared" si="43"/>
        <v>0</v>
      </c>
      <c r="AU170" s="39">
        <f t="shared" si="44"/>
        <v>0</v>
      </c>
      <c r="AW170" s="45">
        <f t="shared" si="45"/>
        <v>0</v>
      </c>
      <c r="AX170" s="45">
        <f t="shared" si="46"/>
        <v>0</v>
      </c>
    </row>
    <row r="171" spans="1:50" x14ac:dyDescent="0.3">
      <c r="A171" s="32">
        <v>161</v>
      </c>
      <c r="B171" s="33"/>
      <c r="C171" s="33"/>
      <c r="D171" s="33"/>
      <c r="E171" s="33" t="s">
        <v>24</v>
      </c>
      <c r="F171" s="71" t="str">
        <f t="shared" ref="F171:F234" si="47">IFERROR((VLOOKUP(E171,$AE$11:$AG$14,3,0)),"-")</f>
        <v>-</v>
      </c>
      <c r="G171" s="33"/>
      <c r="H171" s="33"/>
      <c r="I171" s="46"/>
      <c r="J171" s="35"/>
      <c r="K171" s="35"/>
      <c r="L171" s="36">
        <f t="shared" si="30"/>
        <v>0</v>
      </c>
      <c r="M171" s="33"/>
      <c r="AN171" s="47">
        <v>161</v>
      </c>
      <c r="AO171" s="42">
        <f t="shared" si="39"/>
        <v>0</v>
      </c>
      <c r="AP171" s="43">
        <f t="shared" si="40"/>
        <v>0</v>
      </c>
      <c r="AQ171" s="42">
        <f t="shared" si="41"/>
        <v>0</v>
      </c>
      <c r="AR171" s="44">
        <f t="shared" si="42"/>
        <v>0</v>
      </c>
      <c r="AT171" s="39">
        <f t="shared" si="43"/>
        <v>0</v>
      </c>
      <c r="AU171" s="39">
        <f t="shared" si="44"/>
        <v>0</v>
      </c>
      <c r="AW171" s="45">
        <f t="shared" si="45"/>
        <v>0</v>
      </c>
      <c r="AX171" s="45">
        <f t="shared" si="46"/>
        <v>0</v>
      </c>
    </row>
    <row r="172" spans="1:50" x14ac:dyDescent="0.3">
      <c r="A172" s="32">
        <v>162</v>
      </c>
      <c r="B172" s="33"/>
      <c r="C172" s="33"/>
      <c r="D172" s="33"/>
      <c r="E172" s="33" t="s">
        <v>24</v>
      </c>
      <c r="F172" s="71" t="str">
        <f t="shared" si="47"/>
        <v>-</v>
      </c>
      <c r="G172" s="33"/>
      <c r="H172" s="33"/>
      <c r="I172" s="46"/>
      <c r="J172" s="35"/>
      <c r="K172" s="35"/>
      <c r="L172" s="36">
        <f t="shared" si="30"/>
        <v>0</v>
      </c>
      <c r="M172" s="33"/>
      <c r="AN172" s="47">
        <v>162</v>
      </c>
      <c r="AO172" s="42">
        <f t="shared" si="39"/>
        <v>0</v>
      </c>
      <c r="AP172" s="43">
        <f t="shared" si="40"/>
        <v>0</v>
      </c>
      <c r="AQ172" s="42">
        <f t="shared" si="41"/>
        <v>0</v>
      </c>
      <c r="AR172" s="44">
        <f t="shared" si="42"/>
        <v>0</v>
      </c>
      <c r="AT172" s="39">
        <f t="shared" si="43"/>
        <v>0</v>
      </c>
      <c r="AU172" s="39">
        <f t="shared" si="44"/>
        <v>0</v>
      </c>
      <c r="AW172" s="45">
        <f t="shared" si="45"/>
        <v>0</v>
      </c>
      <c r="AX172" s="45">
        <f t="shared" si="46"/>
        <v>0</v>
      </c>
    </row>
    <row r="173" spans="1:50" x14ac:dyDescent="0.3">
      <c r="A173" s="32">
        <v>163</v>
      </c>
      <c r="B173" s="33"/>
      <c r="C173" s="33"/>
      <c r="D173" s="33"/>
      <c r="E173" s="33" t="s">
        <v>24</v>
      </c>
      <c r="F173" s="71" t="str">
        <f t="shared" si="47"/>
        <v>-</v>
      </c>
      <c r="G173" s="33"/>
      <c r="H173" s="33"/>
      <c r="I173" s="46"/>
      <c r="J173" s="35"/>
      <c r="K173" s="35"/>
      <c r="L173" s="36">
        <f t="shared" si="30"/>
        <v>0</v>
      </c>
      <c r="M173" s="33"/>
      <c r="AN173" s="47">
        <v>163</v>
      </c>
      <c r="AO173" s="42">
        <f t="shared" si="39"/>
        <v>0</v>
      </c>
      <c r="AP173" s="43">
        <f t="shared" si="40"/>
        <v>0</v>
      </c>
      <c r="AQ173" s="42">
        <f t="shared" si="41"/>
        <v>0</v>
      </c>
      <c r="AR173" s="44">
        <f t="shared" si="42"/>
        <v>0</v>
      </c>
      <c r="AT173" s="39">
        <f t="shared" si="43"/>
        <v>0</v>
      </c>
      <c r="AU173" s="39">
        <f t="shared" si="44"/>
        <v>0</v>
      </c>
      <c r="AW173" s="45">
        <f t="shared" si="45"/>
        <v>0</v>
      </c>
      <c r="AX173" s="45">
        <f t="shared" si="46"/>
        <v>0</v>
      </c>
    </row>
    <row r="174" spans="1:50" x14ac:dyDescent="0.3">
      <c r="A174" s="32">
        <v>164</v>
      </c>
      <c r="B174" s="33"/>
      <c r="C174" s="33"/>
      <c r="D174" s="33"/>
      <c r="E174" s="33" t="s">
        <v>24</v>
      </c>
      <c r="F174" s="71" t="str">
        <f t="shared" si="47"/>
        <v>-</v>
      </c>
      <c r="G174" s="33"/>
      <c r="H174" s="33"/>
      <c r="I174" s="46"/>
      <c r="J174" s="35"/>
      <c r="K174" s="35"/>
      <c r="L174" s="36">
        <f t="shared" si="30"/>
        <v>0</v>
      </c>
      <c r="M174" s="33"/>
      <c r="AN174" s="47">
        <v>164</v>
      </c>
      <c r="AO174" s="42">
        <f t="shared" si="39"/>
        <v>0</v>
      </c>
      <c r="AP174" s="43">
        <f t="shared" si="40"/>
        <v>0</v>
      </c>
      <c r="AQ174" s="42">
        <f t="shared" si="41"/>
        <v>0</v>
      </c>
      <c r="AR174" s="44">
        <f t="shared" si="42"/>
        <v>0</v>
      </c>
      <c r="AT174" s="39">
        <f t="shared" si="43"/>
        <v>0</v>
      </c>
      <c r="AU174" s="39">
        <f t="shared" si="44"/>
        <v>0</v>
      </c>
      <c r="AW174" s="45">
        <f t="shared" si="45"/>
        <v>0</v>
      </c>
      <c r="AX174" s="45">
        <f t="shared" si="46"/>
        <v>0</v>
      </c>
    </row>
    <row r="175" spans="1:50" x14ac:dyDescent="0.3">
      <c r="A175" s="32">
        <v>165</v>
      </c>
      <c r="B175" s="33"/>
      <c r="C175" s="33"/>
      <c r="D175" s="33"/>
      <c r="E175" s="33" t="s">
        <v>24</v>
      </c>
      <c r="F175" s="71" t="str">
        <f t="shared" si="47"/>
        <v>-</v>
      </c>
      <c r="G175" s="33"/>
      <c r="H175" s="33"/>
      <c r="I175" s="46"/>
      <c r="J175" s="35"/>
      <c r="K175" s="35"/>
      <c r="L175" s="36">
        <f t="shared" ref="L175:L238" si="48">IF($H$4="-",0,IF($H$4="VAREJO",AW175,IF($H$4="ATACADO",AX175,0)))</f>
        <v>0</v>
      </c>
      <c r="M175" s="33"/>
      <c r="AN175" s="47">
        <v>165</v>
      </c>
      <c r="AO175" s="42">
        <f t="shared" si="39"/>
        <v>0</v>
      </c>
      <c r="AP175" s="43">
        <f t="shared" si="40"/>
        <v>0</v>
      </c>
      <c r="AQ175" s="42">
        <f t="shared" si="41"/>
        <v>0</v>
      </c>
      <c r="AR175" s="44">
        <f t="shared" si="42"/>
        <v>0</v>
      </c>
      <c r="AT175" s="39">
        <f t="shared" si="43"/>
        <v>0</v>
      </c>
      <c r="AU175" s="39">
        <f t="shared" si="44"/>
        <v>0</v>
      </c>
      <c r="AW175" s="45">
        <f t="shared" si="45"/>
        <v>0</v>
      </c>
      <c r="AX175" s="45">
        <f t="shared" si="46"/>
        <v>0</v>
      </c>
    </row>
    <row r="176" spans="1:50" x14ac:dyDescent="0.3">
      <c r="A176" s="32">
        <v>166</v>
      </c>
      <c r="B176" s="33"/>
      <c r="C176" s="33"/>
      <c r="D176" s="33"/>
      <c r="E176" s="33" t="s">
        <v>24</v>
      </c>
      <c r="F176" s="71" t="str">
        <f t="shared" si="47"/>
        <v>-</v>
      </c>
      <c r="G176" s="33"/>
      <c r="H176" s="33"/>
      <c r="I176" s="46"/>
      <c r="J176" s="35"/>
      <c r="K176" s="35"/>
      <c r="L176" s="36">
        <f t="shared" si="48"/>
        <v>0</v>
      </c>
      <c r="M176" s="33"/>
      <c r="AN176" s="47">
        <v>166</v>
      </c>
      <c r="AO176" s="42">
        <f t="shared" si="39"/>
        <v>0</v>
      </c>
      <c r="AP176" s="43">
        <f t="shared" si="40"/>
        <v>0</v>
      </c>
      <c r="AQ176" s="42">
        <f t="shared" si="41"/>
        <v>0</v>
      </c>
      <c r="AR176" s="44">
        <f t="shared" si="42"/>
        <v>0</v>
      </c>
      <c r="AT176" s="39">
        <f t="shared" si="43"/>
        <v>0</v>
      </c>
      <c r="AU176" s="39">
        <f t="shared" si="44"/>
        <v>0</v>
      </c>
      <c r="AW176" s="45">
        <f t="shared" si="45"/>
        <v>0</v>
      </c>
      <c r="AX176" s="45">
        <f t="shared" si="46"/>
        <v>0</v>
      </c>
    </row>
    <row r="177" spans="1:50" x14ac:dyDescent="0.3">
      <c r="A177" s="32">
        <v>167</v>
      </c>
      <c r="B177" s="33"/>
      <c r="C177" s="33"/>
      <c r="D177" s="33"/>
      <c r="E177" s="33" t="s">
        <v>24</v>
      </c>
      <c r="F177" s="71" t="str">
        <f t="shared" si="47"/>
        <v>-</v>
      </c>
      <c r="G177" s="33"/>
      <c r="H177" s="33"/>
      <c r="I177" s="46"/>
      <c r="J177" s="35"/>
      <c r="K177" s="35"/>
      <c r="L177" s="36">
        <f t="shared" si="48"/>
        <v>0</v>
      </c>
      <c r="M177" s="33"/>
      <c r="AN177" s="47">
        <v>167</v>
      </c>
      <c r="AO177" s="42">
        <f t="shared" si="39"/>
        <v>0</v>
      </c>
      <c r="AP177" s="43">
        <f t="shared" si="40"/>
        <v>0</v>
      </c>
      <c r="AQ177" s="42">
        <f t="shared" si="41"/>
        <v>0</v>
      </c>
      <c r="AR177" s="44">
        <f t="shared" si="42"/>
        <v>0</v>
      </c>
      <c r="AT177" s="39">
        <f t="shared" si="43"/>
        <v>0</v>
      </c>
      <c r="AU177" s="39">
        <f t="shared" si="44"/>
        <v>0</v>
      </c>
      <c r="AW177" s="45">
        <f t="shared" si="45"/>
        <v>0</v>
      </c>
      <c r="AX177" s="45">
        <f t="shared" si="46"/>
        <v>0</v>
      </c>
    </row>
    <row r="178" spans="1:50" x14ac:dyDescent="0.3">
      <c r="A178" s="32">
        <v>168</v>
      </c>
      <c r="B178" s="33"/>
      <c r="C178" s="33"/>
      <c r="D178" s="33"/>
      <c r="E178" s="33" t="s">
        <v>24</v>
      </c>
      <c r="F178" s="71" t="str">
        <f t="shared" si="47"/>
        <v>-</v>
      </c>
      <c r="G178" s="33"/>
      <c r="H178" s="33"/>
      <c r="I178" s="46"/>
      <c r="J178" s="35"/>
      <c r="K178" s="35"/>
      <c r="L178" s="36">
        <f t="shared" si="48"/>
        <v>0</v>
      </c>
      <c r="M178" s="33"/>
      <c r="AN178" s="47">
        <v>168</v>
      </c>
      <c r="AO178" s="42">
        <f t="shared" si="39"/>
        <v>0</v>
      </c>
      <c r="AP178" s="43">
        <f t="shared" si="40"/>
        <v>0</v>
      </c>
      <c r="AQ178" s="42">
        <f t="shared" si="41"/>
        <v>0</v>
      </c>
      <c r="AR178" s="44">
        <f t="shared" si="42"/>
        <v>0</v>
      </c>
      <c r="AT178" s="39">
        <f t="shared" si="43"/>
        <v>0</v>
      </c>
      <c r="AU178" s="39">
        <f t="shared" si="44"/>
        <v>0</v>
      </c>
      <c r="AW178" s="45">
        <f t="shared" si="45"/>
        <v>0</v>
      </c>
      <c r="AX178" s="45">
        <f t="shared" si="46"/>
        <v>0</v>
      </c>
    </row>
    <row r="179" spans="1:50" x14ac:dyDescent="0.3">
      <c r="A179" s="32">
        <v>169</v>
      </c>
      <c r="B179" s="33"/>
      <c r="C179" s="33"/>
      <c r="D179" s="33"/>
      <c r="E179" s="33" t="s">
        <v>24</v>
      </c>
      <c r="F179" s="71" t="str">
        <f t="shared" si="47"/>
        <v>-</v>
      </c>
      <c r="G179" s="33"/>
      <c r="H179" s="33"/>
      <c r="I179" s="46"/>
      <c r="J179" s="35"/>
      <c r="K179" s="35"/>
      <c r="L179" s="36">
        <f t="shared" si="48"/>
        <v>0</v>
      </c>
      <c r="M179" s="33"/>
      <c r="AN179" s="47">
        <v>169</v>
      </c>
      <c r="AO179" s="42">
        <f t="shared" si="39"/>
        <v>0</v>
      </c>
      <c r="AP179" s="43">
        <f t="shared" si="40"/>
        <v>0</v>
      </c>
      <c r="AQ179" s="42">
        <f t="shared" si="41"/>
        <v>0</v>
      </c>
      <c r="AR179" s="44">
        <f t="shared" si="42"/>
        <v>0</v>
      </c>
      <c r="AT179" s="39">
        <f t="shared" si="43"/>
        <v>0</v>
      </c>
      <c r="AU179" s="39">
        <f t="shared" si="44"/>
        <v>0</v>
      </c>
      <c r="AW179" s="45">
        <f t="shared" si="45"/>
        <v>0</v>
      </c>
      <c r="AX179" s="45">
        <f t="shared" si="46"/>
        <v>0</v>
      </c>
    </row>
    <row r="180" spans="1:50" x14ac:dyDescent="0.3">
      <c r="A180" s="32">
        <v>170</v>
      </c>
      <c r="B180" s="33"/>
      <c r="C180" s="33"/>
      <c r="D180" s="33"/>
      <c r="E180" s="33" t="s">
        <v>24</v>
      </c>
      <c r="F180" s="71" t="str">
        <f t="shared" si="47"/>
        <v>-</v>
      </c>
      <c r="G180" s="33"/>
      <c r="H180" s="33"/>
      <c r="I180" s="46"/>
      <c r="J180" s="35"/>
      <c r="K180" s="35"/>
      <c r="L180" s="36">
        <f t="shared" si="48"/>
        <v>0</v>
      </c>
      <c r="M180" s="33"/>
      <c r="AN180" s="47">
        <v>170</v>
      </c>
      <c r="AO180" s="42">
        <f t="shared" si="39"/>
        <v>0</v>
      </c>
      <c r="AP180" s="43">
        <f t="shared" si="40"/>
        <v>0</v>
      </c>
      <c r="AQ180" s="42">
        <f t="shared" si="41"/>
        <v>0</v>
      </c>
      <c r="AR180" s="44">
        <f t="shared" si="42"/>
        <v>0</v>
      </c>
      <c r="AT180" s="39">
        <f t="shared" si="43"/>
        <v>0</v>
      </c>
      <c r="AU180" s="39">
        <f t="shared" si="44"/>
        <v>0</v>
      </c>
      <c r="AW180" s="45">
        <f t="shared" si="45"/>
        <v>0</v>
      </c>
      <c r="AX180" s="45">
        <f t="shared" si="46"/>
        <v>0</v>
      </c>
    </row>
    <row r="181" spans="1:50" x14ac:dyDescent="0.3">
      <c r="A181" s="32">
        <v>171</v>
      </c>
      <c r="B181" s="33"/>
      <c r="C181" s="33"/>
      <c r="D181" s="33"/>
      <c r="E181" s="33" t="s">
        <v>24</v>
      </c>
      <c r="F181" s="71" t="str">
        <f t="shared" si="47"/>
        <v>-</v>
      </c>
      <c r="G181" s="33"/>
      <c r="H181" s="33"/>
      <c r="I181" s="46"/>
      <c r="J181" s="35"/>
      <c r="K181" s="35"/>
      <c r="L181" s="36">
        <f t="shared" si="48"/>
        <v>0</v>
      </c>
      <c r="M181" s="33"/>
      <c r="AN181" s="47">
        <v>171</v>
      </c>
      <c r="AO181" s="42">
        <f t="shared" si="39"/>
        <v>0</v>
      </c>
      <c r="AP181" s="43">
        <f t="shared" si="40"/>
        <v>0</v>
      </c>
      <c r="AQ181" s="42">
        <f t="shared" si="41"/>
        <v>0</v>
      </c>
      <c r="AR181" s="44">
        <f t="shared" si="42"/>
        <v>0</v>
      </c>
      <c r="AT181" s="39">
        <f t="shared" si="43"/>
        <v>0</v>
      </c>
      <c r="AU181" s="39">
        <f t="shared" si="44"/>
        <v>0</v>
      </c>
      <c r="AW181" s="45">
        <f t="shared" si="45"/>
        <v>0</v>
      </c>
      <c r="AX181" s="45">
        <f t="shared" si="46"/>
        <v>0</v>
      </c>
    </row>
    <row r="182" spans="1:50" x14ac:dyDescent="0.3">
      <c r="A182" s="32">
        <v>172</v>
      </c>
      <c r="B182" s="33"/>
      <c r="C182" s="33"/>
      <c r="D182" s="33"/>
      <c r="E182" s="33" t="s">
        <v>24</v>
      </c>
      <c r="F182" s="71" t="str">
        <f t="shared" si="47"/>
        <v>-</v>
      </c>
      <c r="G182" s="33"/>
      <c r="H182" s="33"/>
      <c r="I182" s="46"/>
      <c r="J182" s="35"/>
      <c r="K182" s="35"/>
      <c r="L182" s="36">
        <f t="shared" si="48"/>
        <v>0</v>
      </c>
      <c r="M182" s="33"/>
      <c r="AN182" s="47">
        <v>172</v>
      </c>
      <c r="AO182" s="42">
        <f t="shared" si="39"/>
        <v>0</v>
      </c>
      <c r="AP182" s="43">
        <f t="shared" si="40"/>
        <v>0</v>
      </c>
      <c r="AQ182" s="42">
        <f t="shared" si="41"/>
        <v>0</v>
      </c>
      <c r="AR182" s="44">
        <f t="shared" si="42"/>
        <v>0</v>
      </c>
      <c r="AT182" s="39">
        <f t="shared" si="43"/>
        <v>0</v>
      </c>
      <c r="AU182" s="39">
        <f t="shared" si="44"/>
        <v>0</v>
      </c>
      <c r="AW182" s="45">
        <f t="shared" si="45"/>
        <v>0</v>
      </c>
      <c r="AX182" s="45">
        <f t="shared" si="46"/>
        <v>0</v>
      </c>
    </row>
    <row r="183" spans="1:50" x14ac:dyDescent="0.3">
      <c r="A183" s="32">
        <v>173</v>
      </c>
      <c r="B183" s="33"/>
      <c r="C183" s="33"/>
      <c r="D183" s="33"/>
      <c r="E183" s="33" t="s">
        <v>24</v>
      </c>
      <c r="F183" s="71" t="str">
        <f t="shared" si="47"/>
        <v>-</v>
      </c>
      <c r="G183" s="33"/>
      <c r="H183" s="33"/>
      <c r="I183" s="46"/>
      <c r="J183" s="35"/>
      <c r="K183" s="35"/>
      <c r="L183" s="36">
        <f t="shared" si="48"/>
        <v>0</v>
      </c>
      <c r="M183" s="33"/>
      <c r="AN183" s="47">
        <v>173</v>
      </c>
      <c r="AO183" s="42">
        <f t="shared" si="39"/>
        <v>0</v>
      </c>
      <c r="AP183" s="43">
        <f t="shared" si="40"/>
        <v>0</v>
      </c>
      <c r="AQ183" s="42">
        <f t="shared" si="41"/>
        <v>0</v>
      </c>
      <c r="AR183" s="44">
        <f t="shared" si="42"/>
        <v>0</v>
      </c>
      <c r="AT183" s="39">
        <f t="shared" si="43"/>
        <v>0</v>
      </c>
      <c r="AU183" s="39">
        <f t="shared" si="44"/>
        <v>0</v>
      </c>
      <c r="AW183" s="45">
        <f t="shared" si="45"/>
        <v>0</v>
      </c>
      <c r="AX183" s="45">
        <f t="shared" si="46"/>
        <v>0</v>
      </c>
    </row>
    <row r="184" spans="1:50" x14ac:dyDescent="0.3">
      <c r="A184" s="32">
        <v>174</v>
      </c>
      <c r="B184" s="33"/>
      <c r="C184" s="33"/>
      <c r="D184" s="33"/>
      <c r="E184" s="33" t="s">
        <v>24</v>
      </c>
      <c r="F184" s="71" t="str">
        <f t="shared" si="47"/>
        <v>-</v>
      </c>
      <c r="G184" s="33"/>
      <c r="H184" s="33"/>
      <c r="I184" s="46"/>
      <c r="J184" s="35"/>
      <c r="K184" s="35"/>
      <c r="L184" s="36">
        <f t="shared" si="48"/>
        <v>0</v>
      </c>
      <c r="M184" s="33"/>
      <c r="AN184" s="47">
        <v>174</v>
      </c>
      <c r="AO184" s="42">
        <f t="shared" si="39"/>
        <v>0</v>
      </c>
      <c r="AP184" s="43">
        <f t="shared" si="40"/>
        <v>0</v>
      </c>
      <c r="AQ184" s="42">
        <f t="shared" si="41"/>
        <v>0</v>
      </c>
      <c r="AR184" s="44">
        <f t="shared" si="42"/>
        <v>0</v>
      </c>
      <c r="AT184" s="39">
        <f t="shared" si="43"/>
        <v>0</v>
      </c>
      <c r="AU184" s="39">
        <f t="shared" si="44"/>
        <v>0</v>
      </c>
      <c r="AW184" s="45">
        <f t="shared" si="45"/>
        <v>0</v>
      </c>
      <c r="AX184" s="45">
        <f t="shared" si="46"/>
        <v>0</v>
      </c>
    </row>
    <row r="185" spans="1:50" x14ac:dyDescent="0.3">
      <c r="A185" s="32">
        <v>175</v>
      </c>
      <c r="B185" s="33"/>
      <c r="C185" s="33"/>
      <c r="D185" s="33"/>
      <c r="E185" s="33" t="s">
        <v>24</v>
      </c>
      <c r="F185" s="71" t="str">
        <f t="shared" si="47"/>
        <v>-</v>
      </c>
      <c r="G185" s="33"/>
      <c r="H185" s="33"/>
      <c r="I185" s="46"/>
      <c r="J185" s="35"/>
      <c r="K185" s="35"/>
      <c r="L185" s="36">
        <f t="shared" si="48"/>
        <v>0</v>
      </c>
      <c r="M185" s="33"/>
      <c r="AN185" s="47">
        <v>175</v>
      </c>
      <c r="AO185" s="42">
        <f t="shared" si="39"/>
        <v>0</v>
      </c>
      <c r="AP185" s="43">
        <f t="shared" si="40"/>
        <v>0</v>
      </c>
      <c r="AQ185" s="42">
        <f t="shared" si="41"/>
        <v>0</v>
      </c>
      <c r="AR185" s="44">
        <f t="shared" si="42"/>
        <v>0</v>
      </c>
      <c r="AT185" s="39">
        <f t="shared" si="43"/>
        <v>0</v>
      </c>
      <c r="AU185" s="39">
        <f t="shared" si="44"/>
        <v>0</v>
      </c>
      <c r="AW185" s="45">
        <f t="shared" si="45"/>
        <v>0</v>
      </c>
      <c r="AX185" s="45">
        <f t="shared" si="46"/>
        <v>0</v>
      </c>
    </row>
    <row r="186" spans="1:50" x14ac:dyDescent="0.3">
      <c r="A186" s="32">
        <v>176</v>
      </c>
      <c r="B186" s="33"/>
      <c r="C186" s="33"/>
      <c r="D186" s="33"/>
      <c r="E186" s="33" t="s">
        <v>24</v>
      </c>
      <c r="F186" s="71" t="str">
        <f t="shared" si="47"/>
        <v>-</v>
      </c>
      <c r="G186" s="33"/>
      <c r="H186" s="33"/>
      <c r="I186" s="46"/>
      <c r="J186" s="35"/>
      <c r="K186" s="35"/>
      <c r="L186" s="36">
        <f t="shared" si="48"/>
        <v>0</v>
      </c>
      <c r="M186" s="33"/>
      <c r="AN186" s="47">
        <v>176</v>
      </c>
      <c r="AO186" s="42">
        <f t="shared" si="39"/>
        <v>0</v>
      </c>
      <c r="AP186" s="43">
        <f t="shared" si="40"/>
        <v>0</v>
      </c>
      <c r="AQ186" s="42">
        <f t="shared" si="41"/>
        <v>0</v>
      </c>
      <c r="AR186" s="44">
        <f t="shared" si="42"/>
        <v>0</v>
      </c>
      <c r="AT186" s="39">
        <f t="shared" si="43"/>
        <v>0</v>
      </c>
      <c r="AU186" s="39">
        <f t="shared" si="44"/>
        <v>0</v>
      </c>
      <c r="AW186" s="45">
        <f t="shared" si="45"/>
        <v>0</v>
      </c>
      <c r="AX186" s="45">
        <f t="shared" si="46"/>
        <v>0</v>
      </c>
    </row>
    <row r="187" spans="1:50" x14ac:dyDescent="0.3">
      <c r="A187" s="32">
        <v>177</v>
      </c>
      <c r="B187" s="33"/>
      <c r="C187" s="33"/>
      <c r="D187" s="33"/>
      <c r="E187" s="33" t="s">
        <v>24</v>
      </c>
      <c r="F187" s="71" t="str">
        <f t="shared" si="47"/>
        <v>-</v>
      </c>
      <c r="G187" s="33"/>
      <c r="H187" s="33"/>
      <c r="I187" s="46"/>
      <c r="J187" s="35"/>
      <c r="K187" s="35"/>
      <c r="L187" s="36">
        <f t="shared" si="48"/>
        <v>0</v>
      </c>
      <c r="M187" s="33"/>
      <c r="AN187" s="47">
        <v>177</v>
      </c>
      <c r="AO187" s="42">
        <f t="shared" si="39"/>
        <v>0</v>
      </c>
      <c r="AP187" s="43">
        <f t="shared" si="40"/>
        <v>0</v>
      </c>
      <c r="AQ187" s="42">
        <f t="shared" si="41"/>
        <v>0</v>
      </c>
      <c r="AR187" s="44">
        <f t="shared" si="42"/>
        <v>0</v>
      </c>
      <c r="AT187" s="39">
        <f t="shared" si="43"/>
        <v>0</v>
      </c>
      <c r="AU187" s="39">
        <f t="shared" si="44"/>
        <v>0</v>
      </c>
      <c r="AW187" s="45">
        <f t="shared" si="45"/>
        <v>0</v>
      </c>
      <c r="AX187" s="45">
        <f t="shared" si="46"/>
        <v>0</v>
      </c>
    </row>
    <row r="188" spans="1:50" x14ac:dyDescent="0.3">
      <c r="A188" s="32">
        <v>178</v>
      </c>
      <c r="B188" s="33"/>
      <c r="C188" s="33"/>
      <c r="D188" s="33"/>
      <c r="E188" s="33" t="s">
        <v>24</v>
      </c>
      <c r="F188" s="71" t="str">
        <f t="shared" si="47"/>
        <v>-</v>
      </c>
      <c r="G188" s="33"/>
      <c r="H188" s="33"/>
      <c r="I188" s="46"/>
      <c r="J188" s="35"/>
      <c r="K188" s="35"/>
      <c r="L188" s="36">
        <f t="shared" si="48"/>
        <v>0</v>
      </c>
      <c r="M188" s="33"/>
      <c r="AN188" s="47">
        <v>178</v>
      </c>
      <c r="AO188" s="42">
        <f t="shared" si="39"/>
        <v>0</v>
      </c>
      <c r="AP188" s="43">
        <f t="shared" si="40"/>
        <v>0</v>
      </c>
      <c r="AQ188" s="42">
        <f t="shared" si="41"/>
        <v>0</v>
      </c>
      <c r="AR188" s="44">
        <f t="shared" si="42"/>
        <v>0</v>
      </c>
      <c r="AT188" s="39">
        <f t="shared" si="43"/>
        <v>0</v>
      </c>
      <c r="AU188" s="39">
        <f t="shared" si="44"/>
        <v>0</v>
      </c>
      <c r="AW188" s="45">
        <f t="shared" si="45"/>
        <v>0</v>
      </c>
      <c r="AX188" s="45">
        <f t="shared" si="46"/>
        <v>0</v>
      </c>
    </row>
    <row r="189" spans="1:50" x14ac:dyDescent="0.3">
      <c r="A189" s="32">
        <v>179</v>
      </c>
      <c r="B189" s="33"/>
      <c r="C189" s="33"/>
      <c r="D189" s="33"/>
      <c r="E189" s="33" t="s">
        <v>24</v>
      </c>
      <c r="F189" s="71" t="str">
        <f t="shared" si="47"/>
        <v>-</v>
      </c>
      <c r="G189" s="33"/>
      <c r="H189" s="33"/>
      <c r="I189" s="46"/>
      <c r="J189" s="35"/>
      <c r="K189" s="35"/>
      <c r="L189" s="36">
        <f t="shared" si="48"/>
        <v>0</v>
      </c>
      <c r="M189" s="33"/>
      <c r="AN189" s="47">
        <v>179</v>
      </c>
      <c r="AO189" s="42">
        <f t="shared" si="39"/>
        <v>0</v>
      </c>
      <c r="AP189" s="43">
        <f t="shared" si="40"/>
        <v>0</v>
      </c>
      <c r="AQ189" s="42">
        <f t="shared" si="41"/>
        <v>0</v>
      </c>
      <c r="AR189" s="44">
        <f t="shared" si="42"/>
        <v>0</v>
      </c>
      <c r="AT189" s="39">
        <f t="shared" si="43"/>
        <v>0</v>
      </c>
      <c r="AU189" s="39">
        <f t="shared" si="44"/>
        <v>0</v>
      </c>
      <c r="AW189" s="45">
        <f t="shared" si="45"/>
        <v>0</v>
      </c>
      <c r="AX189" s="45">
        <f t="shared" si="46"/>
        <v>0</v>
      </c>
    </row>
    <row r="190" spans="1:50" x14ac:dyDescent="0.3">
      <c r="A190" s="32">
        <v>180</v>
      </c>
      <c r="B190" s="33"/>
      <c r="C190" s="33"/>
      <c r="D190" s="33"/>
      <c r="E190" s="33" t="s">
        <v>24</v>
      </c>
      <c r="F190" s="71" t="str">
        <f t="shared" si="47"/>
        <v>-</v>
      </c>
      <c r="G190" s="33"/>
      <c r="H190" s="33"/>
      <c r="I190" s="46"/>
      <c r="J190" s="35"/>
      <c r="K190" s="35"/>
      <c r="L190" s="36">
        <f t="shared" si="48"/>
        <v>0</v>
      </c>
      <c r="M190" s="33"/>
      <c r="AN190" s="47">
        <v>180</v>
      </c>
      <c r="AO190" s="42">
        <f t="shared" si="39"/>
        <v>0</v>
      </c>
      <c r="AP190" s="43">
        <f t="shared" si="40"/>
        <v>0</v>
      </c>
      <c r="AQ190" s="42">
        <f t="shared" si="41"/>
        <v>0</v>
      </c>
      <c r="AR190" s="44">
        <f t="shared" si="42"/>
        <v>0</v>
      </c>
      <c r="AT190" s="39">
        <f t="shared" si="43"/>
        <v>0</v>
      </c>
      <c r="AU190" s="39">
        <f t="shared" si="44"/>
        <v>0</v>
      </c>
      <c r="AW190" s="45">
        <f t="shared" si="45"/>
        <v>0</v>
      </c>
      <c r="AX190" s="45">
        <f t="shared" si="46"/>
        <v>0</v>
      </c>
    </row>
    <row r="191" spans="1:50" x14ac:dyDescent="0.3">
      <c r="A191" s="32">
        <v>181</v>
      </c>
      <c r="B191" s="33"/>
      <c r="C191" s="33"/>
      <c r="D191" s="33"/>
      <c r="E191" s="33" t="s">
        <v>24</v>
      </c>
      <c r="F191" s="71" t="str">
        <f t="shared" si="47"/>
        <v>-</v>
      </c>
      <c r="G191" s="33"/>
      <c r="H191" s="33"/>
      <c r="I191" s="46"/>
      <c r="J191" s="35"/>
      <c r="K191" s="35"/>
      <c r="L191" s="36">
        <f t="shared" si="48"/>
        <v>0</v>
      </c>
      <c r="M191" s="33"/>
      <c r="AN191" s="47">
        <v>181</v>
      </c>
      <c r="AO191" s="42">
        <f t="shared" si="39"/>
        <v>0</v>
      </c>
      <c r="AP191" s="43">
        <f t="shared" si="40"/>
        <v>0</v>
      </c>
      <c r="AQ191" s="42">
        <f t="shared" si="41"/>
        <v>0</v>
      </c>
      <c r="AR191" s="44">
        <f t="shared" si="42"/>
        <v>0</v>
      </c>
      <c r="AT191" s="39">
        <f t="shared" si="43"/>
        <v>0</v>
      </c>
      <c r="AU191" s="39">
        <f t="shared" si="44"/>
        <v>0</v>
      </c>
      <c r="AW191" s="45">
        <f t="shared" si="45"/>
        <v>0</v>
      </c>
      <c r="AX191" s="45">
        <f t="shared" si="46"/>
        <v>0</v>
      </c>
    </row>
    <row r="192" spans="1:50" x14ac:dyDescent="0.3">
      <c r="A192" s="32">
        <v>182</v>
      </c>
      <c r="B192" s="33"/>
      <c r="C192" s="33"/>
      <c r="D192" s="33"/>
      <c r="E192" s="33" t="s">
        <v>24</v>
      </c>
      <c r="F192" s="71" t="str">
        <f t="shared" si="47"/>
        <v>-</v>
      </c>
      <c r="G192" s="33"/>
      <c r="H192" s="33"/>
      <c r="I192" s="46"/>
      <c r="J192" s="35"/>
      <c r="K192" s="35"/>
      <c r="L192" s="36">
        <f t="shared" si="48"/>
        <v>0</v>
      </c>
      <c r="M192" s="33"/>
      <c r="AN192" s="47">
        <v>182</v>
      </c>
      <c r="AO192" s="42">
        <f t="shared" si="39"/>
        <v>0</v>
      </c>
      <c r="AP192" s="43">
        <f t="shared" si="40"/>
        <v>0</v>
      </c>
      <c r="AQ192" s="42">
        <f t="shared" si="41"/>
        <v>0</v>
      </c>
      <c r="AR192" s="44">
        <f t="shared" si="42"/>
        <v>0</v>
      </c>
      <c r="AT192" s="39">
        <f t="shared" si="43"/>
        <v>0</v>
      </c>
      <c r="AU192" s="39">
        <f t="shared" si="44"/>
        <v>0</v>
      </c>
      <c r="AW192" s="45">
        <f t="shared" si="45"/>
        <v>0</v>
      </c>
      <c r="AX192" s="45">
        <f t="shared" si="46"/>
        <v>0</v>
      </c>
    </row>
    <row r="193" spans="1:50" x14ac:dyDescent="0.3">
      <c r="A193" s="32">
        <v>183</v>
      </c>
      <c r="B193" s="33"/>
      <c r="C193" s="33"/>
      <c r="D193" s="33"/>
      <c r="E193" s="33" t="s">
        <v>24</v>
      </c>
      <c r="F193" s="71" t="str">
        <f t="shared" si="47"/>
        <v>-</v>
      </c>
      <c r="G193" s="33"/>
      <c r="H193" s="33"/>
      <c r="I193" s="46"/>
      <c r="J193" s="35"/>
      <c r="K193" s="35"/>
      <c r="L193" s="36">
        <f t="shared" si="48"/>
        <v>0</v>
      </c>
      <c r="M193" s="33"/>
      <c r="AN193" s="47">
        <v>183</v>
      </c>
      <c r="AO193" s="42">
        <f t="shared" si="39"/>
        <v>0</v>
      </c>
      <c r="AP193" s="43">
        <f t="shared" si="40"/>
        <v>0</v>
      </c>
      <c r="AQ193" s="42">
        <f t="shared" si="41"/>
        <v>0</v>
      </c>
      <c r="AR193" s="44">
        <f t="shared" si="42"/>
        <v>0</v>
      </c>
      <c r="AT193" s="39">
        <f t="shared" si="43"/>
        <v>0</v>
      </c>
      <c r="AU193" s="39">
        <f t="shared" si="44"/>
        <v>0</v>
      </c>
      <c r="AW193" s="45">
        <f t="shared" si="45"/>
        <v>0</v>
      </c>
      <c r="AX193" s="45">
        <f t="shared" si="46"/>
        <v>0</v>
      </c>
    </row>
    <row r="194" spans="1:50" x14ac:dyDescent="0.3">
      <c r="A194" s="32">
        <v>184</v>
      </c>
      <c r="B194" s="33"/>
      <c r="C194" s="33"/>
      <c r="D194" s="33"/>
      <c r="E194" s="33" t="s">
        <v>24</v>
      </c>
      <c r="F194" s="71" t="str">
        <f t="shared" si="47"/>
        <v>-</v>
      </c>
      <c r="G194" s="33"/>
      <c r="H194" s="33"/>
      <c r="I194" s="46"/>
      <c r="J194" s="35"/>
      <c r="K194" s="35"/>
      <c r="L194" s="36">
        <f t="shared" si="48"/>
        <v>0</v>
      </c>
      <c r="M194" s="33"/>
      <c r="AN194" s="47">
        <v>184</v>
      </c>
      <c r="AO194" s="42">
        <f t="shared" si="39"/>
        <v>0</v>
      </c>
      <c r="AP194" s="43">
        <f t="shared" si="40"/>
        <v>0</v>
      </c>
      <c r="AQ194" s="42">
        <f t="shared" si="41"/>
        <v>0</v>
      </c>
      <c r="AR194" s="44">
        <f t="shared" si="42"/>
        <v>0</v>
      </c>
      <c r="AT194" s="39">
        <f t="shared" si="43"/>
        <v>0</v>
      </c>
      <c r="AU194" s="39">
        <f t="shared" si="44"/>
        <v>0</v>
      </c>
      <c r="AW194" s="45">
        <f t="shared" si="45"/>
        <v>0</v>
      </c>
      <c r="AX194" s="45">
        <f t="shared" si="46"/>
        <v>0</v>
      </c>
    </row>
    <row r="195" spans="1:50" x14ac:dyDescent="0.3">
      <c r="A195" s="32">
        <v>185</v>
      </c>
      <c r="B195" s="33"/>
      <c r="C195" s="33"/>
      <c r="D195" s="33"/>
      <c r="E195" s="33" t="s">
        <v>24</v>
      </c>
      <c r="F195" s="71" t="str">
        <f t="shared" si="47"/>
        <v>-</v>
      </c>
      <c r="G195" s="33"/>
      <c r="H195" s="33"/>
      <c r="I195" s="46"/>
      <c r="J195" s="35"/>
      <c r="K195" s="35"/>
      <c r="L195" s="36">
        <f t="shared" si="48"/>
        <v>0</v>
      </c>
      <c r="M195" s="33"/>
      <c r="AN195" s="47">
        <v>185</v>
      </c>
      <c r="AO195" s="42">
        <f t="shared" si="39"/>
        <v>0</v>
      </c>
      <c r="AP195" s="43">
        <f t="shared" si="40"/>
        <v>0</v>
      </c>
      <c r="AQ195" s="42">
        <f t="shared" si="41"/>
        <v>0</v>
      </c>
      <c r="AR195" s="44">
        <f t="shared" si="42"/>
        <v>0</v>
      </c>
      <c r="AT195" s="39">
        <f t="shared" si="43"/>
        <v>0</v>
      </c>
      <c r="AU195" s="39">
        <f t="shared" si="44"/>
        <v>0</v>
      </c>
      <c r="AW195" s="45">
        <f t="shared" si="45"/>
        <v>0</v>
      </c>
      <c r="AX195" s="45">
        <f t="shared" si="46"/>
        <v>0</v>
      </c>
    </row>
    <row r="196" spans="1:50" x14ac:dyDescent="0.3">
      <c r="A196" s="32">
        <v>186</v>
      </c>
      <c r="B196" s="33"/>
      <c r="C196" s="33"/>
      <c r="D196" s="33"/>
      <c r="E196" s="33" t="s">
        <v>24</v>
      </c>
      <c r="F196" s="71" t="str">
        <f t="shared" si="47"/>
        <v>-</v>
      </c>
      <c r="G196" s="33"/>
      <c r="H196" s="33"/>
      <c r="I196" s="46"/>
      <c r="J196" s="35"/>
      <c r="K196" s="35"/>
      <c r="L196" s="36">
        <f t="shared" si="48"/>
        <v>0</v>
      </c>
      <c r="M196" s="33"/>
      <c r="AN196" s="47">
        <v>186</v>
      </c>
      <c r="AO196" s="42">
        <f t="shared" si="39"/>
        <v>0</v>
      </c>
      <c r="AP196" s="43">
        <f t="shared" si="40"/>
        <v>0</v>
      </c>
      <c r="AQ196" s="42">
        <f t="shared" si="41"/>
        <v>0</v>
      </c>
      <c r="AR196" s="44">
        <f t="shared" si="42"/>
        <v>0</v>
      </c>
      <c r="AT196" s="39">
        <f t="shared" si="43"/>
        <v>0</v>
      </c>
      <c r="AU196" s="39">
        <f t="shared" si="44"/>
        <v>0</v>
      </c>
      <c r="AW196" s="45">
        <f t="shared" si="45"/>
        <v>0</v>
      </c>
      <c r="AX196" s="45">
        <f t="shared" si="46"/>
        <v>0</v>
      </c>
    </row>
    <row r="197" spans="1:50" x14ac:dyDescent="0.3">
      <c r="A197" s="32">
        <v>187</v>
      </c>
      <c r="B197" s="33"/>
      <c r="C197" s="33"/>
      <c r="D197" s="33"/>
      <c r="E197" s="33" t="s">
        <v>24</v>
      </c>
      <c r="F197" s="71" t="str">
        <f t="shared" si="47"/>
        <v>-</v>
      </c>
      <c r="G197" s="33"/>
      <c r="H197" s="33"/>
      <c r="I197" s="46"/>
      <c r="J197" s="35"/>
      <c r="K197" s="35"/>
      <c r="L197" s="36">
        <f t="shared" si="48"/>
        <v>0</v>
      </c>
      <c r="M197" s="33"/>
      <c r="AN197" s="47">
        <v>187</v>
      </c>
      <c r="AO197" s="42">
        <f t="shared" si="39"/>
        <v>0</v>
      </c>
      <c r="AP197" s="43">
        <f t="shared" si="40"/>
        <v>0</v>
      </c>
      <c r="AQ197" s="42">
        <f t="shared" si="41"/>
        <v>0</v>
      </c>
      <c r="AR197" s="44">
        <f t="shared" si="42"/>
        <v>0</v>
      </c>
      <c r="AT197" s="39">
        <f t="shared" si="43"/>
        <v>0</v>
      </c>
      <c r="AU197" s="39">
        <f t="shared" si="44"/>
        <v>0</v>
      </c>
      <c r="AW197" s="45">
        <f t="shared" si="45"/>
        <v>0</v>
      </c>
      <c r="AX197" s="45">
        <f t="shared" si="46"/>
        <v>0</v>
      </c>
    </row>
    <row r="198" spans="1:50" x14ac:dyDescent="0.3">
      <c r="A198" s="32">
        <v>188</v>
      </c>
      <c r="B198" s="33"/>
      <c r="C198" s="33"/>
      <c r="D198" s="33"/>
      <c r="E198" s="33" t="s">
        <v>24</v>
      </c>
      <c r="F198" s="71" t="str">
        <f t="shared" si="47"/>
        <v>-</v>
      </c>
      <c r="G198" s="33"/>
      <c r="H198" s="33"/>
      <c r="I198" s="46"/>
      <c r="J198" s="35"/>
      <c r="K198" s="35"/>
      <c r="L198" s="36">
        <f t="shared" si="48"/>
        <v>0</v>
      </c>
      <c r="M198" s="33"/>
      <c r="AN198" s="47">
        <v>188</v>
      </c>
      <c r="AO198" s="42">
        <f t="shared" si="39"/>
        <v>0</v>
      </c>
      <c r="AP198" s="43">
        <f t="shared" si="40"/>
        <v>0</v>
      </c>
      <c r="AQ198" s="42">
        <f t="shared" si="41"/>
        <v>0</v>
      </c>
      <c r="AR198" s="44">
        <f t="shared" si="42"/>
        <v>0</v>
      </c>
      <c r="AT198" s="39">
        <f t="shared" si="43"/>
        <v>0</v>
      </c>
      <c r="AU198" s="39">
        <f t="shared" si="44"/>
        <v>0</v>
      </c>
      <c r="AW198" s="45">
        <f t="shared" si="45"/>
        <v>0</v>
      </c>
      <c r="AX198" s="45">
        <f t="shared" si="46"/>
        <v>0</v>
      </c>
    </row>
    <row r="199" spans="1:50" x14ac:dyDescent="0.3">
      <c r="A199" s="32">
        <v>189</v>
      </c>
      <c r="B199" s="33"/>
      <c r="C199" s="33"/>
      <c r="D199" s="33"/>
      <c r="E199" s="33" t="s">
        <v>24</v>
      </c>
      <c r="F199" s="71" t="str">
        <f t="shared" si="47"/>
        <v>-</v>
      </c>
      <c r="G199" s="33"/>
      <c r="H199" s="33"/>
      <c r="I199" s="46"/>
      <c r="J199" s="35"/>
      <c r="K199" s="35"/>
      <c r="L199" s="36">
        <f t="shared" si="48"/>
        <v>0</v>
      </c>
      <c r="M199" s="33"/>
      <c r="AN199" s="47">
        <v>189</v>
      </c>
      <c r="AO199" s="42">
        <f t="shared" si="39"/>
        <v>0</v>
      </c>
      <c r="AP199" s="43">
        <f t="shared" si="40"/>
        <v>0</v>
      </c>
      <c r="AQ199" s="42">
        <f t="shared" si="41"/>
        <v>0</v>
      </c>
      <c r="AR199" s="44">
        <f t="shared" si="42"/>
        <v>0</v>
      </c>
      <c r="AT199" s="39">
        <f t="shared" si="43"/>
        <v>0</v>
      </c>
      <c r="AU199" s="39">
        <f t="shared" si="44"/>
        <v>0</v>
      </c>
      <c r="AW199" s="45">
        <f t="shared" si="45"/>
        <v>0</v>
      </c>
      <c r="AX199" s="45">
        <f t="shared" si="46"/>
        <v>0</v>
      </c>
    </row>
    <row r="200" spans="1:50" x14ac:dyDescent="0.3">
      <c r="A200" s="32">
        <v>190</v>
      </c>
      <c r="B200" s="33"/>
      <c r="C200" s="33"/>
      <c r="D200" s="33"/>
      <c r="E200" s="33" t="s">
        <v>24</v>
      </c>
      <c r="F200" s="71" t="str">
        <f t="shared" si="47"/>
        <v>-</v>
      </c>
      <c r="G200" s="33"/>
      <c r="H200" s="33"/>
      <c r="I200" s="46"/>
      <c r="J200" s="35"/>
      <c r="K200" s="35"/>
      <c r="L200" s="36">
        <f t="shared" si="48"/>
        <v>0</v>
      </c>
      <c r="M200" s="33"/>
      <c r="AN200" s="47">
        <v>190</v>
      </c>
      <c r="AO200" s="42">
        <f t="shared" si="39"/>
        <v>0</v>
      </c>
      <c r="AP200" s="43">
        <f t="shared" si="40"/>
        <v>0</v>
      </c>
      <c r="AQ200" s="42">
        <f t="shared" si="41"/>
        <v>0</v>
      </c>
      <c r="AR200" s="44">
        <f t="shared" si="42"/>
        <v>0</v>
      </c>
      <c r="AT200" s="39">
        <f t="shared" si="43"/>
        <v>0</v>
      </c>
      <c r="AU200" s="39">
        <f t="shared" si="44"/>
        <v>0</v>
      </c>
      <c r="AW200" s="45">
        <f t="shared" si="45"/>
        <v>0</v>
      </c>
      <c r="AX200" s="45">
        <f t="shared" si="46"/>
        <v>0</v>
      </c>
    </row>
    <row r="201" spans="1:50" x14ac:dyDescent="0.3">
      <c r="A201" s="32">
        <v>191</v>
      </c>
      <c r="B201" s="33"/>
      <c r="C201" s="33"/>
      <c r="D201" s="33"/>
      <c r="E201" s="33" t="s">
        <v>24</v>
      </c>
      <c r="F201" s="71" t="str">
        <f t="shared" si="47"/>
        <v>-</v>
      </c>
      <c r="G201" s="33"/>
      <c r="H201" s="33"/>
      <c r="I201" s="46"/>
      <c r="J201" s="35"/>
      <c r="K201" s="35"/>
      <c r="L201" s="36">
        <f t="shared" si="48"/>
        <v>0</v>
      </c>
      <c r="M201" s="33"/>
      <c r="AN201" s="47">
        <v>191</v>
      </c>
      <c r="AO201" s="42">
        <f t="shared" si="39"/>
        <v>0</v>
      </c>
      <c r="AP201" s="43">
        <f t="shared" si="40"/>
        <v>0</v>
      </c>
      <c r="AQ201" s="42">
        <f t="shared" si="41"/>
        <v>0</v>
      </c>
      <c r="AR201" s="44">
        <f t="shared" si="42"/>
        <v>0</v>
      </c>
      <c r="AT201" s="39">
        <f t="shared" si="43"/>
        <v>0</v>
      </c>
      <c r="AU201" s="39">
        <f t="shared" si="44"/>
        <v>0</v>
      </c>
      <c r="AW201" s="45">
        <f t="shared" si="45"/>
        <v>0</v>
      </c>
      <c r="AX201" s="45">
        <f t="shared" si="46"/>
        <v>0</v>
      </c>
    </row>
    <row r="202" spans="1:50" x14ac:dyDescent="0.3">
      <c r="A202" s="32">
        <v>192</v>
      </c>
      <c r="B202" s="33"/>
      <c r="C202" s="33"/>
      <c r="D202" s="33"/>
      <c r="E202" s="33" t="s">
        <v>24</v>
      </c>
      <c r="F202" s="71" t="str">
        <f t="shared" si="47"/>
        <v>-</v>
      </c>
      <c r="G202" s="33"/>
      <c r="H202" s="33"/>
      <c r="I202" s="46"/>
      <c r="J202" s="35"/>
      <c r="K202" s="35"/>
      <c r="L202" s="36">
        <f t="shared" si="48"/>
        <v>0</v>
      </c>
      <c r="M202" s="33"/>
      <c r="AN202" s="47">
        <v>192</v>
      </c>
      <c r="AO202" s="42">
        <f t="shared" si="39"/>
        <v>0</v>
      </c>
      <c r="AP202" s="43">
        <f t="shared" si="40"/>
        <v>0</v>
      </c>
      <c r="AQ202" s="42">
        <f t="shared" si="41"/>
        <v>0</v>
      </c>
      <c r="AR202" s="44">
        <f t="shared" si="42"/>
        <v>0</v>
      </c>
      <c r="AT202" s="39">
        <f t="shared" si="43"/>
        <v>0</v>
      </c>
      <c r="AU202" s="39">
        <f t="shared" si="44"/>
        <v>0</v>
      </c>
      <c r="AW202" s="45">
        <f t="shared" si="45"/>
        <v>0</v>
      </c>
      <c r="AX202" s="45">
        <f t="shared" si="46"/>
        <v>0</v>
      </c>
    </row>
    <row r="203" spans="1:50" x14ac:dyDescent="0.3">
      <c r="A203" s="32">
        <v>193</v>
      </c>
      <c r="B203" s="33"/>
      <c r="C203" s="33"/>
      <c r="D203" s="33"/>
      <c r="E203" s="33" t="s">
        <v>24</v>
      </c>
      <c r="F203" s="71" t="str">
        <f t="shared" si="47"/>
        <v>-</v>
      </c>
      <c r="G203" s="33"/>
      <c r="H203" s="33"/>
      <c r="I203" s="46"/>
      <c r="J203" s="35"/>
      <c r="K203" s="35"/>
      <c r="L203" s="36">
        <f t="shared" si="48"/>
        <v>0</v>
      </c>
      <c r="M203" s="33"/>
      <c r="AN203" s="47">
        <v>193</v>
      </c>
      <c r="AO203" s="42">
        <f t="shared" si="39"/>
        <v>0</v>
      </c>
      <c r="AP203" s="43">
        <f t="shared" si="40"/>
        <v>0</v>
      </c>
      <c r="AQ203" s="42">
        <f t="shared" si="41"/>
        <v>0</v>
      </c>
      <c r="AR203" s="44">
        <f t="shared" si="42"/>
        <v>0</v>
      </c>
      <c r="AT203" s="39">
        <f t="shared" si="43"/>
        <v>0</v>
      </c>
      <c r="AU203" s="39">
        <f t="shared" si="44"/>
        <v>0</v>
      </c>
      <c r="AW203" s="45">
        <f t="shared" si="45"/>
        <v>0</v>
      </c>
      <c r="AX203" s="45">
        <f t="shared" si="46"/>
        <v>0</v>
      </c>
    </row>
    <row r="204" spans="1:50" x14ac:dyDescent="0.3">
      <c r="A204" s="32">
        <v>194</v>
      </c>
      <c r="B204" s="33"/>
      <c r="C204" s="33"/>
      <c r="D204" s="33"/>
      <c r="E204" s="33" t="s">
        <v>24</v>
      </c>
      <c r="F204" s="71" t="str">
        <f t="shared" si="47"/>
        <v>-</v>
      </c>
      <c r="G204" s="33"/>
      <c r="H204" s="33"/>
      <c r="I204" s="46"/>
      <c r="J204" s="35"/>
      <c r="K204" s="35"/>
      <c r="L204" s="36">
        <f t="shared" si="48"/>
        <v>0</v>
      </c>
      <c r="M204" s="33"/>
      <c r="AN204" s="47">
        <v>194</v>
      </c>
      <c r="AO204" s="42">
        <f t="shared" si="39"/>
        <v>0</v>
      </c>
      <c r="AP204" s="43">
        <f t="shared" si="40"/>
        <v>0</v>
      </c>
      <c r="AQ204" s="42">
        <f t="shared" si="41"/>
        <v>0</v>
      </c>
      <c r="AR204" s="44">
        <f t="shared" si="42"/>
        <v>0</v>
      </c>
      <c r="AT204" s="39">
        <f t="shared" si="43"/>
        <v>0</v>
      </c>
      <c r="AU204" s="39">
        <f t="shared" si="44"/>
        <v>0</v>
      </c>
      <c r="AW204" s="45">
        <f t="shared" si="45"/>
        <v>0</v>
      </c>
      <c r="AX204" s="45">
        <f t="shared" si="46"/>
        <v>0</v>
      </c>
    </row>
    <row r="205" spans="1:50" x14ac:dyDescent="0.3">
      <c r="A205" s="32">
        <v>195</v>
      </c>
      <c r="B205" s="33"/>
      <c r="C205" s="33"/>
      <c r="D205" s="33"/>
      <c r="E205" s="33" t="s">
        <v>24</v>
      </c>
      <c r="F205" s="71" t="str">
        <f t="shared" si="47"/>
        <v>-</v>
      </c>
      <c r="G205" s="33"/>
      <c r="H205" s="33"/>
      <c r="I205" s="46"/>
      <c r="J205" s="35"/>
      <c r="K205" s="35"/>
      <c r="L205" s="36">
        <f t="shared" si="48"/>
        <v>0</v>
      </c>
      <c r="M205" s="33"/>
      <c r="AN205" s="47">
        <v>195</v>
      </c>
      <c r="AO205" s="42">
        <f t="shared" si="39"/>
        <v>0</v>
      </c>
      <c r="AP205" s="43">
        <f t="shared" si="40"/>
        <v>0</v>
      </c>
      <c r="AQ205" s="42">
        <f t="shared" si="41"/>
        <v>0</v>
      </c>
      <c r="AR205" s="44">
        <f t="shared" si="42"/>
        <v>0</v>
      </c>
      <c r="AT205" s="39">
        <f t="shared" si="43"/>
        <v>0</v>
      </c>
      <c r="AU205" s="39">
        <f t="shared" si="44"/>
        <v>0</v>
      </c>
      <c r="AW205" s="45">
        <f t="shared" si="45"/>
        <v>0</v>
      </c>
      <c r="AX205" s="45">
        <f t="shared" si="46"/>
        <v>0</v>
      </c>
    </row>
    <row r="206" spans="1:50" x14ac:dyDescent="0.3">
      <c r="A206" s="32">
        <v>196</v>
      </c>
      <c r="B206" s="33"/>
      <c r="C206" s="33"/>
      <c r="D206" s="33"/>
      <c r="E206" s="33" t="s">
        <v>24</v>
      </c>
      <c r="F206" s="71" t="str">
        <f t="shared" si="47"/>
        <v>-</v>
      </c>
      <c r="G206" s="33"/>
      <c r="H206" s="33"/>
      <c r="I206" s="46"/>
      <c r="J206" s="35"/>
      <c r="K206" s="35"/>
      <c r="L206" s="36">
        <f t="shared" si="48"/>
        <v>0</v>
      </c>
      <c r="M206" s="33"/>
      <c r="AN206" s="47">
        <v>196</v>
      </c>
      <c r="AO206" s="42">
        <f t="shared" si="39"/>
        <v>0</v>
      </c>
      <c r="AP206" s="43">
        <f t="shared" si="40"/>
        <v>0</v>
      </c>
      <c r="AQ206" s="42">
        <f t="shared" si="41"/>
        <v>0</v>
      </c>
      <c r="AR206" s="44">
        <f t="shared" si="42"/>
        <v>0</v>
      </c>
      <c r="AT206" s="39">
        <f t="shared" si="43"/>
        <v>0</v>
      </c>
      <c r="AU206" s="39">
        <f t="shared" si="44"/>
        <v>0</v>
      </c>
      <c r="AW206" s="45">
        <f t="shared" si="45"/>
        <v>0</v>
      </c>
      <c r="AX206" s="45">
        <f t="shared" si="46"/>
        <v>0</v>
      </c>
    </row>
    <row r="207" spans="1:50" x14ac:dyDescent="0.3">
      <c r="A207" s="32">
        <v>197</v>
      </c>
      <c r="B207" s="33"/>
      <c r="C207" s="33"/>
      <c r="D207" s="33"/>
      <c r="E207" s="33" t="s">
        <v>24</v>
      </c>
      <c r="F207" s="71" t="str">
        <f t="shared" si="47"/>
        <v>-</v>
      </c>
      <c r="G207" s="33"/>
      <c r="H207" s="33"/>
      <c r="I207" s="46"/>
      <c r="J207" s="35"/>
      <c r="K207" s="35"/>
      <c r="L207" s="36">
        <f t="shared" si="48"/>
        <v>0</v>
      </c>
      <c r="M207" s="33"/>
      <c r="AN207" s="47">
        <v>197</v>
      </c>
      <c r="AO207" s="42">
        <f t="shared" ref="AO207:AO270" si="49">I207+(I207*J207)+(I207*K207)</f>
        <v>0</v>
      </c>
      <c r="AP207" s="43">
        <f t="shared" ref="AP207:AP270" si="50">IFERROR(VLOOKUP(E207,$AE$11:$AK$14,4,0),0)</f>
        <v>0</v>
      </c>
      <c r="AQ207" s="42">
        <f t="shared" ref="AQ207:AQ270" si="51">(I207+(I207*J207)+(I207*K207))*AP207</f>
        <v>0</v>
      </c>
      <c r="AR207" s="44">
        <f t="shared" ref="AR207:AR270" si="52">AO207+AQ207</f>
        <v>0</v>
      </c>
      <c r="AT207" s="39">
        <f t="shared" ref="AT207:AT270" si="53">IFERROR((VLOOKUP(E207,$AE$11:$AJ$14,5,0)),0)</f>
        <v>0</v>
      </c>
      <c r="AU207" s="39">
        <f t="shared" ref="AU207:AU270" si="54">IFERROR((VLOOKUP(E207,$AE$11:$AJ$14,6,0)),0)</f>
        <v>0</v>
      </c>
      <c r="AW207" s="45">
        <f t="shared" ref="AW207:AW270" si="55">AR207*AT207</f>
        <v>0</v>
      </c>
      <c r="AX207" s="45">
        <f t="shared" ref="AX207:AX270" si="56">AR207*AU207</f>
        <v>0</v>
      </c>
    </row>
    <row r="208" spans="1:50" x14ac:dyDescent="0.3">
      <c r="A208" s="32">
        <v>198</v>
      </c>
      <c r="B208" s="33"/>
      <c r="C208" s="33"/>
      <c r="D208" s="33"/>
      <c r="E208" s="33" t="s">
        <v>24</v>
      </c>
      <c r="F208" s="71" t="str">
        <f t="shared" si="47"/>
        <v>-</v>
      </c>
      <c r="G208" s="33"/>
      <c r="H208" s="33"/>
      <c r="I208" s="46"/>
      <c r="J208" s="35"/>
      <c r="K208" s="35"/>
      <c r="L208" s="36">
        <f t="shared" si="48"/>
        <v>0</v>
      </c>
      <c r="M208" s="33"/>
      <c r="AN208" s="47">
        <v>198</v>
      </c>
      <c r="AO208" s="42">
        <f t="shared" si="49"/>
        <v>0</v>
      </c>
      <c r="AP208" s="43">
        <f t="shared" si="50"/>
        <v>0</v>
      </c>
      <c r="AQ208" s="42">
        <f t="shared" si="51"/>
        <v>0</v>
      </c>
      <c r="AR208" s="44">
        <f t="shared" si="52"/>
        <v>0</v>
      </c>
      <c r="AT208" s="39">
        <f t="shared" si="53"/>
        <v>0</v>
      </c>
      <c r="AU208" s="39">
        <f t="shared" si="54"/>
        <v>0</v>
      </c>
      <c r="AW208" s="45">
        <f t="shared" si="55"/>
        <v>0</v>
      </c>
      <c r="AX208" s="45">
        <f t="shared" si="56"/>
        <v>0</v>
      </c>
    </row>
    <row r="209" spans="1:50" x14ac:dyDescent="0.3">
      <c r="A209" s="32">
        <v>199</v>
      </c>
      <c r="B209" s="33"/>
      <c r="C209" s="33"/>
      <c r="D209" s="33"/>
      <c r="E209" s="33" t="s">
        <v>24</v>
      </c>
      <c r="F209" s="71" t="str">
        <f t="shared" si="47"/>
        <v>-</v>
      </c>
      <c r="G209" s="33"/>
      <c r="H209" s="33"/>
      <c r="I209" s="46"/>
      <c r="J209" s="35"/>
      <c r="K209" s="35"/>
      <c r="L209" s="36">
        <f t="shared" si="48"/>
        <v>0</v>
      </c>
      <c r="M209" s="33"/>
      <c r="AN209" s="47">
        <v>199</v>
      </c>
      <c r="AO209" s="42">
        <f t="shared" si="49"/>
        <v>0</v>
      </c>
      <c r="AP209" s="43">
        <f t="shared" si="50"/>
        <v>0</v>
      </c>
      <c r="AQ209" s="42">
        <f t="shared" si="51"/>
        <v>0</v>
      </c>
      <c r="AR209" s="44">
        <f t="shared" si="52"/>
        <v>0</v>
      </c>
      <c r="AT209" s="39">
        <f t="shared" si="53"/>
        <v>0</v>
      </c>
      <c r="AU209" s="39">
        <f t="shared" si="54"/>
        <v>0</v>
      </c>
      <c r="AW209" s="45">
        <f t="shared" si="55"/>
        <v>0</v>
      </c>
      <c r="AX209" s="45">
        <f t="shared" si="56"/>
        <v>0</v>
      </c>
    </row>
    <row r="210" spans="1:50" x14ac:dyDescent="0.3">
      <c r="A210" s="32">
        <v>200</v>
      </c>
      <c r="B210" s="33"/>
      <c r="C210" s="33"/>
      <c r="D210" s="33"/>
      <c r="E210" s="33" t="s">
        <v>24</v>
      </c>
      <c r="F210" s="71" t="str">
        <f t="shared" si="47"/>
        <v>-</v>
      </c>
      <c r="G210" s="33"/>
      <c r="H210" s="33"/>
      <c r="I210" s="46"/>
      <c r="J210" s="35"/>
      <c r="K210" s="35"/>
      <c r="L210" s="36">
        <f t="shared" si="48"/>
        <v>0</v>
      </c>
      <c r="M210" s="33"/>
      <c r="AN210" s="47">
        <v>200</v>
      </c>
      <c r="AO210" s="42">
        <f t="shared" si="49"/>
        <v>0</v>
      </c>
      <c r="AP210" s="43">
        <f t="shared" si="50"/>
        <v>0</v>
      </c>
      <c r="AQ210" s="42">
        <f t="shared" si="51"/>
        <v>0</v>
      </c>
      <c r="AR210" s="44">
        <f t="shared" si="52"/>
        <v>0</v>
      </c>
      <c r="AT210" s="39">
        <f t="shared" si="53"/>
        <v>0</v>
      </c>
      <c r="AU210" s="39">
        <f t="shared" si="54"/>
        <v>0</v>
      </c>
      <c r="AW210" s="45">
        <f t="shared" si="55"/>
        <v>0</v>
      </c>
      <c r="AX210" s="45">
        <f t="shared" si="56"/>
        <v>0</v>
      </c>
    </row>
    <row r="211" spans="1:50" x14ac:dyDescent="0.3">
      <c r="A211" s="32">
        <v>201</v>
      </c>
      <c r="B211" s="33"/>
      <c r="C211" s="33"/>
      <c r="D211" s="33"/>
      <c r="E211" s="33" t="s">
        <v>24</v>
      </c>
      <c r="F211" s="71" t="str">
        <f t="shared" si="47"/>
        <v>-</v>
      </c>
      <c r="G211" s="33"/>
      <c r="H211" s="33"/>
      <c r="I211" s="46"/>
      <c r="J211" s="35"/>
      <c r="K211" s="35"/>
      <c r="L211" s="36">
        <f t="shared" si="48"/>
        <v>0</v>
      </c>
      <c r="M211" s="33"/>
      <c r="AN211" s="47">
        <v>201</v>
      </c>
      <c r="AO211" s="42">
        <f t="shared" si="49"/>
        <v>0</v>
      </c>
      <c r="AP211" s="43">
        <f t="shared" si="50"/>
        <v>0</v>
      </c>
      <c r="AQ211" s="42">
        <f t="shared" si="51"/>
        <v>0</v>
      </c>
      <c r="AR211" s="44">
        <f t="shared" si="52"/>
        <v>0</v>
      </c>
      <c r="AT211" s="39">
        <f t="shared" si="53"/>
        <v>0</v>
      </c>
      <c r="AU211" s="39">
        <f t="shared" si="54"/>
        <v>0</v>
      </c>
      <c r="AW211" s="45">
        <f t="shared" si="55"/>
        <v>0</v>
      </c>
      <c r="AX211" s="45">
        <f t="shared" si="56"/>
        <v>0</v>
      </c>
    </row>
    <row r="212" spans="1:50" x14ac:dyDescent="0.3">
      <c r="A212" s="32">
        <v>202</v>
      </c>
      <c r="B212" s="33"/>
      <c r="C212" s="33"/>
      <c r="D212" s="33"/>
      <c r="E212" s="33" t="s">
        <v>24</v>
      </c>
      <c r="F212" s="71" t="str">
        <f t="shared" si="47"/>
        <v>-</v>
      </c>
      <c r="G212" s="33"/>
      <c r="H212" s="33"/>
      <c r="I212" s="46"/>
      <c r="J212" s="35"/>
      <c r="K212" s="35"/>
      <c r="L212" s="36">
        <f t="shared" si="48"/>
        <v>0</v>
      </c>
      <c r="M212" s="33"/>
      <c r="AN212" s="47">
        <v>202</v>
      </c>
      <c r="AO212" s="42">
        <f t="shared" si="49"/>
        <v>0</v>
      </c>
      <c r="AP212" s="43">
        <f t="shared" si="50"/>
        <v>0</v>
      </c>
      <c r="AQ212" s="42">
        <f t="shared" si="51"/>
        <v>0</v>
      </c>
      <c r="AR212" s="44">
        <f t="shared" si="52"/>
        <v>0</v>
      </c>
      <c r="AT212" s="39">
        <f t="shared" si="53"/>
        <v>0</v>
      </c>
      <c r="AU212" s="39">
        <f t="shared" si="54"/>
        <v>0</v>
      </c>
      <c r="AW212" s="45">
        <f t="shared" si="55"/>
        <v>0</v>
      </c>
      <c r="AX212" s="45">
        <f t="shared" si="56"/>
        <v>0</v>
      </c>
    </row>
    <row r="213" spans="1:50" x14ac:dyDescent="0.3">
      <c r="A213" s="32">
        <v>203</v>
      </c>
      <c r="B213" s="33"/>
      <c r="C213" s="33"/>
      <c r="D213" s="33"/>
      <c r="E213" s="33" t="s">
        <v>24</v>
      </c>
      <c r="F213" s="71" t="str">
        <f t="shared" si="47"/>
        <v>-</v>
      </c>
      <c r="G213" s="33"/>
      <c r="H213" s="33"/>
      <c r="I213" s="46"/>
      <c r="J213" s="35"/>
      <c r="K213" s="35"/>
      <c r="L213" s="36">
        <f t="shared" si="48"/>
        <v>0</v>
      </c>
      <c r="M213" s="33"/>
      <c r="AN213" s="47">
        <v>203</v>
      </c>
      <c r="AO213" s="42">
        <f t="shared" si="49"/>
        <v>0</v>
      </c>
      <c r="AP213" s="43">
        <f t="shared" si="50"/>
        <v>0</v>
      </c>
      <c r="AQ213" s="42">
        <f t="shared" si="51"/>
        <v>0</v>
      </c>
      <c r="AR213" s="44">
        <f t="shared" si="52"/>
        <v>0</v>
      </c>
      <c r="AT213" s="39">
        <f t="shared" si="53"/>
        <v>0</v>
      </c>
      <c r="AU213" s="39">
        <f t="shared" si="54"/>
        <v>0</v>
      </c>
      <c r="AW213" s="45">
        <f t="shared" si="55"/>
        <v>0</v>
      </c>
      <c r="AX213" s="45">
        <f t="shared" si="56"/>
        <v>0</v>
      </c>
    </row>
    <row r="214" spans="1:50" x14ac:dyDescent="0.3">
      <c r="A214" s="32">
        <v>204</v>
      </c>
      <c r="B214" s="33"/>
      <c r="C214" s="33"/>
      <c r="D214" s="33"/>
      <c r="E214" s="33" t="s">
        <v>24</v>
      </c>
      <c r="F214" s="71" t="str">
        <f t="shared" si="47"/>
        <v>-</v>
      </c>
      <c r="G214" s="33"/>
      <c r="H214" s="33"/>
      <c r="I214" s="46"/>
      <c r="J214" s="35"/>
      <c r="K214" s="35"/>
      <c r="L214" s="36">
        <f t="shared" si="48"/>
        <v>0</v>
      </c>
      <c r="M214" s="33"/>
      <c r="AN214" s="47">
        <v>204</v>
      </c>
      <c r="AO214" s="42">
        <f t="shared" si="49"/>
        <v>0</v>
      </c>
      <c r="AP214" s="43">
        <f t="shared" si="50"/>
        <v>0</v>
      </c>
      <c r="AQ214" s="42">
        <f t="shared" si="51"/>
        <v>0</v>
      </c>
      <c r="AR214" s="44">
        <f t="shared" si="52"/>
        <v>0</v>
      </c>
      <c r="AT214" s="39">
        <f t="shared" si="53"/>
        <v>0</v>
      </c>
      <c r="AU214" s="39">
        <f t="shared" si="54"/>
        <v>0</v>
      </c>
      <c r="AW214" s="45">
        <f t="shared" si="55"/>
        <v>0</v>
      </c>
      <c r="AX214" s="45">
        <f t="shared" si="56"/>
        <v>0</v>
      </c>
    </row>
    <row r="215" spans="1:50" x14ac:dyDescent="0.3">
      <c r="A215" s="32">
        <v>205</v>
      </c>
      <c r="B215" s="33"/>
      <c r="C215" s="33"/>
      <c r="D215" s="33"/>
      <c r="E215" s="33" t="s">
        <v>24</v>
      </c>
      <c r="F215" s="71" t="str">
        <f t="shared" si="47"/>
        <v>-</v>
      </c>
      <c r="G215" s="33"/>
      <c r="H215" s="33"/>
      <c r="I215" s="46"/>
      <c r="J215" s="35"/>
      <c r="K215" s="35"/>
      <c r="L215" s="36">
        <f t="shared" si="48"/>
        <v>0</v>
      </c>
      <c r="M215" s="33"/>
      <c r="AN215" s="47">
        <v>205</v>
      </c>
      <c r="AO215" s="42">
        <f t="shared" si="49"/>
        <v>0</v>
      </c>
      <c r="AP215" s="43">
        <f t="shared" si="50"/>
        <v>0</v>
      </c>
      <c r="AQ215" s="42">
        <f t="shared" si="51"/>
        <v>0</v>
      </c>
      <c r="AR215" s="44">
        <f t="shared" si="52"/>
        <v>0</v>
      </c>
      <c r="AT215" s="39">
        <f t="shared" si="53"/>
        <v>0</v>
      </c>
      <c r="AU215" s="39">
        <f t="shared" si="54"/>
        <v>0</v>
      </c>
      <c r="AW215" s="45">
        <f t="shared" si="55"/>
        <v>0</v>
      </c>
      <c r="AX215" s="45">
        <f t="shared" si="56"/>
        <v>0</v>
      </c>
    </row>
    <row r="216" spans="1:50" x14ac:dyDescent="0.3">
      <c r="A216" s="32">
        <v>206</v>
      </c>
      <c r="B216" s="33"/>
      <c r="C216" s="33"/>
      <c r="D216" s="33"/>
      <c r="E216" s="33" t="s">
        <v>24</v>
      </c>
      <c r="F216" s="71" t="str">
        <f t="shared" si="47"/>
        <v>-</v>
      </c>
      <c r="G216" s="33"/>
      <c r="H216" s="33"/>
      <c r="I216" s="46"/>
      <c r="J216" s="35"/>
      <c r="K216" s="35"/>
      <c r="L216" s="36">
        <f t="shared" si="48"/>
        <v>0</v>
      </c>
      <c r="M216" s="33"/>
      <c r="AN216" s="47">
        <v>206</v>
      </c>
      <c r="AO216" s="42">
        <f t="shared" si="49"/>
        <v>0</v>
      </c>
      <c r="AP216" s="43">
        <f t="shared" si="50"/>
        <v>0</v>
      </c>
      <c r="AQ216" s="42">
        <f t="shared" si="51"/>
        <v>0</v>
      </c>
      <c r="AR216" s="44">
        <f t="shared" si="52"/>
        <v>0</v>
      </c>
      <c r="AT216" s="39">
        <f t="shared" si="53"/>
        <v>0</v>
      </c>
      <c r="AU216" s="39">
        <f t="shared" si="54"/>
        <v>0</v>
      </c>
      <c r="AW216" s="45">
        <f t="shared" si="55"/>
        <v>0</v>
      </c>
      <c r="AX216" s="45">
        <f t="shared" si="56"/>
        <v>0</v>
      </c>
    </row>
    <row r="217" spans="1:50" x14ac:dyDescent="0.3">
      <c r="A217" s="32">
        <v>207</v>
      </c>
      <c r="B217" s="33"/>
      <c r="C217" s="33"/>
      <c r="D217" s="33"/>
      <c r="E217" s="33" t="s">
        <v>24</v>
      </c>
      <c r="F217" s="71" t="str">
        <f t="shared" si="47"/>
        <v>-</v>
      </c>
      <c r="G217" s="33"/>
      <c r="H217" s="33"/>
      <c r="I217" s="46"/>
      <c r="J217" s="35"/>
      <c r="K217" s="35"/>
      <c r="L217" s="36">
        <f t="shared" si="48"/>
        <v>0</v>
      </c>
      <c r="M217" s="33"/>
      <c r="AN217" s="47">
        <v>207</v>
      </c>
      <c r="AO217" s="42">
        <f t="shared" si="49"/>
        <v>0</v>
      </c>
      <c r="AP217" s="43">
        <f t="shared" si="50"/>
        <v>0</v>
      </c>
      <c r="AQ217" s="42">
        <f t="shared" si="51"/>
        <v>0</v>
      </c>
      <c r="AR217" s="44">
        <f t="shared" si="52"/>
        <v>0</v>
      </c>
      <c r="AT217" s="39">
        <f t="shared" si="53"/>
        <v>0</v>
      </c>
      <c r="AU217" s="39">
        <f t="shared" si="54"/>
        <v>0</v>
      </c>
      <c r="AW217" s="45">
        <f t="shared" si="55"/>
        <v>0</v>
      </c>
      <c r="AX217" s="45">
        <f t="shared" si="56"/>
        <v>0</v>
      </c>
    </row>
    <row r="218" spans="1:50" x14ac:dyDescent="0.3">
      <c r="A218" s="32">
        <v>208</v>
      </c>
      <c r="B218" s="33"/>
      <c r="C218" s="33"/>
      <c r="D218" s="33"/>
      <c r="E218" s="33" t="s">
        <v>24</v>
      </c>
      <c r="F218" s="71" t="str">
        <f t="shared" si="47"/>
        <v>-</v>
      </c>
      <c r="G218" s="33"/>
      <c r="H218" s="33"/>
      <c r="I218" s="46"/>
      <c r="J218" s="35"/>
      <c r="K218" s="35"/>
      <c r="L218" s="36">
        <f t="shared" si="48"/>
        <v>0</v>
      </c>
      <c r="M218" s="33"/>
      <c r="AN218" s="47">
        <v>208</v>
      </c>
      <c r="AO218" s="42">
        <f t="shared" si="49"/>
        <v>0</v>
      </c>
      <c r="AP218" s="43">
        <f t="shared" si="50"/>
        <v>0</v>
      </c>
      <c r="AQ218" s="42">
        <f t="shared" si="51"/>
        <v>0</v>
      </c>
      <c r="AR218" s="44">
        <f t="shared" si="52"/>
        <v>0</v>
      </c>
      <c r="AT218" s="39">
        <f t="shared" si="53"/>
        <v>0</v>
      </c>
      <c r="AU218" s="39">
        <f t="shared" si="54"/>
        <v>0</v>
      </c>
      <c r="AW218" s="45">
        <f t="shared" si="55"/>
        <v>0</v>
      </c>
      <c r="AX218" s="45">
        <f t="shared" si="56"/>
        <v>0</v>
      </c>
    </row>
    <row r="219" spans="1:50" x14ac:dyDescent="0.3">
      <c r="A219" s="32">
        <v>209</v>
      </c>
      <c r="B219" s="33"/>
      <c r="C219" s="33"/>
      <c r="D219" s="33"/>
      <c r="E219" s="33" t="s">
        <v>24</v>
      </c>
      <c r="F219" s="71" t="str">
        <f t="shared" si="47"/>
        <v>-</v>
      </c>
      <c r="G219" s="33"/>
      <c r="H219" s="33"/>
      <c r="I219" s="46"/>
      <c r="J219" s="35"/>
      <c r="K219" s="35"/>
      <c r="L219" s="36">
        <f t="shared" si="48"/>
        <v>0</v>
      </c>
      <c r="M219" s="33"/>
      <c r="AN219" s="47">
        <v>209</v>
      </c>
      <c r="AO219" s="42">
        <f t="shared" si="49"/>
        <v>0</v>
      </c>
      <c r="AP219" s="43">
        <f t="shared" si="50"/>
        <v>0</v>
      </c>
      <c r="AQ219" s="42">
        <f t="shared" si="51"/>
        <v>0</v>
      </c>
      <c r="AR219" s="44">
        <f t="shared" si="52"/>
        <v>0</v>
      </c>
      <c r="AT219" s="39">
        <f t="shared" si="53"/>
        <v>0</v>
      </c>
      <c r="AU219" s="39">
        <f t="shared" si="54"/>
        <v>0</v>
      </c>
      <c r="AW219" s="45">
        <f t="shared" si="55"/>
        <v>0</v>
      </c>
      <c r="AX219" s="45">
        <f t="shared" si="56"/>
        <v>0</v>
      </c>
    </row>
    <row r="220" spans="1:50" x14ac:dyDescent="0.3">
      <c r="A220" s="32">
        <v>210</v>
      </c>
      <c r="B220" s="33"/>
      <c r="C220" s="33"/>
      <c r="D220" s="33"/>
      <c r="E220" s="33" t="s">
        <v>24</v>
      </c>
      <c r="F220" s="71" t="str">
        <f t="shared" si="47"/>
        <v>-</v>
      </c>
      <c r="G220" s="33"/>
      <c r="H220" s="33"/>
      <c r="I220" s="46"/>
      <c r="J220" s="35"/>
      <c r="K220" s="35"/>
      <c r="L220" s="36">
        <f t="shared" si="48"/>
        <v>0</v>
      </c>
      <c r="M220" s="33"/>
      <c r="AN220" s="47">
        <v>210</v>
      </c>
      <c r="AO220" s="42">
        <f t="shared" si="49"/>
        <v>0</v>
      </c>
      <c r="AP220" s="43">
        <f t="shared" si="50"/>
        <v>0</v>
      </c>
      <c r="AQ220" s="42">
        <f t="shared" si="51"/>
        <v>0</v>
      </c>
      <c r="AR220" s="44">
        <f t="shared" si="52"/>
        <v>0</v>
      </c>
      <c r="AT220" s="39">
        <f t="shared" si="53"/>
        <v>0</v>
      </c>
      <c r="AU220" s="39">
        <f t="shared" si="54"/>
        <v>0</v>
      </c>
      <c r="AW220" s="45">
        <f t="shared" si="55"/>
        <v>0</v>
      </c>
      <c r="AX220" s="45">
        <f t="shared" si="56"/>
        <v>0</v>
      </c>
    </row>
    <row r="221" spans="1:50" x14ac:dyDescent="0.3">
      <c r="A221" s="32">
        <v>211</v>
      </c>
      <c r="B221" s="33"/>
      <c r="C221" s="33"/>
      <c r="D221" s="33"/>
      <c r="E221" s="33" t="s">
        <v>24</v>
      </c>
      <c r="F221" s="71" t="str">
        <f t="shared" si="47"/>
        <v>-</v>
      </c>
      <c r="G221" s="33"/>
      <c r="H221" s="33"/>
      <c r="I221" s="46"/>
      <c r="J221" s="35"/>
      <c r="K221" s="35"/>
      <c r="L221" s="36">
        <f t="shared" si="48"/>
        <v>0</v>
      </c>
      <c r="M221" s="33"/>
      <c r="AN221" s="47">
        <v>211</v>
      </c>
      <c r="AO221" s="42">
        <f t="shared" si="49"/>
        <v>0</v>
      </c>
      <c r="AP221" s="43">
        <f t="shared" si="50"/>
        <v>0</v>
      </c>
      <c r="AQ221" s="42">
        <f t="shared" si="51"/>
        <v>0</v>
      </c>
      <c r="AR221" s="44">
        <f t="shared" si="52"/>
        <v>0</v>
      </c>
      <c r="AT221" s="39">
        <f t="shared" si="53"/>
        <v>0</v>
      </c>
      <c r="AU221" s="39">
        <f t="shared" si="54"/>
        <v>0</v>
      </c>
      <c r="AW221" s="45">
        <f t="shared" si="55"/>
        <v>0</v>
      </c>
      <c r="AX221" s="45">
        <f t="shared" si="56"/>
        <v>0</v>
      </c>
    </row>
    <row r="222" spans="1:50" x14ac:dyDescent="0.3">
      <c r="A222" s="32">
        <v>212</v>
      </c>
      <c r="B222" s="33"/>
      <c r="C222" s="33"/>
      <c r="D222" s="33"/>
      <c r="E222" s="33" t="s">
        <v>24</v>
      </c>
      <c r="F222" s="71" t="str">
        <f t="shared" si="47"/>
        <v>-</v>
      </c>
      <c r="G222" s="33"/>
      <c r="H222" s="33"/>
      <c r="I222" s="46"/>
      <c r="J222" s="35"/>
      <c r="K222" s="35"/>
      <c r="L222" s="36">
        <f t="shared" si="48"/>
        <v>0</v>
      </c>
      <c r="M222" s="33"/>
      <c r="AN222" s="47">
        <v>212</v>
      </c>
      <c r="AO222" s="42">
        <f t="shared" si="49"/>
        <v>0</v>
      </c>
      <c r="AP222" s="43">
        <f t="shared" si="50"/>
        <v>0</v>
      </c>
      <c r="AQ222" s="42">
        <f t="shared" si="51"/>
        <v>0</v>
      </c>
      <c r="AR222" s="44">
        <f t="shared" si="52"/>
        <v>0</v>
      </c>
      <c r="AT222" s="39">
        <f t="shared" si="53"/>
        <v>0</v>
      </c>
      <c r="AU222" s="39">
        <f t="shared" si="54"/>
        <v>0</v>
      </c>
      <c r="AW222" s="45">
        <f t="shared" si="55"/>
        <v>0</v>
      </c>
      <c r="AX222" s="45">
        <f t="shared" si="56"/>
        <v>0</v>
      </c>
    </row>
    <row r="223" spans="1:50" x14ac:dyDescent="0.3">
      <c r="A223" s="32">
        <v>213</v>
      </c>
      <c r="B223" s="33"/>
      <c r="C223" s="33"/>
      <c r="D223" s="33"/>
      <c r="E223" s="33" t="s">
        <v>24</v>
      </c>
      <c r="F223" s="71" t="str">
        <f t="shared" si="47"/>
        <v>-</v>
      </c>
      <c r="G223" s="33"/>
      <c r="H223" s="33"/>
      <c r="I223" s="46"/>
      <c r="J223" s="35"/>
      <c r="K223" s="35"/>
      <c r="L223" s="36">
        <f t="shared" si="48"/>
        <v>0</v>
      </c>
      <c r="M223" s="33"/>
      <c r="AN223" s="47">
        <v>213</v>
      </c>
      <c r="AO223" s="42">
        <f t="shared" si="49"/>
        <v>0</v>
      </c>
      <c r="AP223" s="43">
        <f t="shared" si="50"/>
        <v>0</v>
      </c>
      <c r="AQ223" s="42">
        <f t="shared" si="51"/>
        <v>0</v>
      </c>
      <c r="AR223" s="44">
        <f t="shared" si="52"/>
        <v>0</v>
      </c>
      <c r="AT223" s="39">
        <f t="shared" si="53"/>
        <v>0</v>
      </c>
      <c r="AU223" s="39">
        <f t="shared" si="54"/>
        <v>0</v>
      </c>
      <c r="AW223" s="45">
        <f t="shared" si="55"/>
        <v>0</v>
      </c>
      <c r="AX223" s="45">
        <f t="shared" si="56"/>
        <v>0</v>
      </c>
    </row>
    <row r="224" spans="1:50" x14ac:dyDescent="0.3">
      <c r="A224" s="32">
        <v>214</v>
      </c>
      <c r="B224" s="33"/>
      <c r="C224" s="33"/>
      <c r="D224" s="33"/>
      <c r="E224" s="33" t="s">
        <v>24</v>
      </c>
      <c r="F224" s="71" t="str">
        <f t="shared" si="47"/>
        <v>-</v>
      </c>
      <c r="G224" s="33"/>
      <c r="H224" s="33"/>
      <c r="I224" s="46"/>
      <c r="J224" s="35"/>
      <c r="K224" s="35"/>
      <c r="L224" s="36">
        <f t="shared" si="48"/>
        <v>0</v>
      </c>
      <c r="M224" s="33"/>
      <c r="AN224" s="47">
        <v>214</v>
      </c>
      <c r="AO224" s="42">
        <f t="shared" si="49"/>
        <v>0</v>
      </c>
      <c r="AP224" s="43">
        <f t="shared" si="50"/>
        <v>0</v>
      </c>
      <c r="AQ224" s="42">
        <f t="shared" si="51"/>
        <v>0</v>
      </c>
      <c r="AR224" s="44">
        <f t="shared" si="52"/>
        <v>0</v>
      </c>
      <c r="AT224" s="39">
        <f t="shared" si="53"/>
        <v>0</v>
      </c>
      <c r="AU224" s="39">
        <f t="shared" si="54"/>
        <v>0</v>
      </c>
      <c r="AW224" s="45">
        <f t="shared" si="55"/>
        <v>0</v>
      </c>
      <c r="AX224" s="45">
        <f t="shared" si="56"/>
        <v>0</v>
      </c>
    </row>
    <row r="225" spans="1:50" x14ac:dyDescent="0.3">
      <c r="A225" s="32">
        <v>215</v>
      </c>
      <c r="B225" s="33"/>
      <c r="C225" s="33"/>
      <c r="D225" s="33"/>
      <c r="E225" s="33" t="s">
        <v>24</v>
      </c>
      <c r="F225" s="71" t="str">
        <f t="shared" si="47"/>
        <v>-</v>
      </c>
      <c r="G225" s="33"/>
      <c r="H225" s="33"/>
      <c r="I225" s="46"/>
      <c r="J225" s="35"/>
      <c r="K225" s="35"/>
      <c r="L225" s="36">
        <f t="shared" si="48"/>
        <v>0</v>
      </c>
      <c r="M225" s="33"/>
      <c r="AN225" s="47">
        <v>215</v>
      </c>
      <c r="AO225" s="42">
        <f t="shared" si="49"/>
        <v>0</v>
      </c>
      <c r="AP225" s="43">
        <f t="shared" si="50"/>
        <v>0</v>
      </c>
      <c r="AQ225" s="42">
        <f t="shared" si="51"/>
        <v>0</v>
      </c>
      <c r="AR225" s="44">
        <f t="shared" si="52"/>
        <v>0</v>
      </c>
      <c r="AT225" s="39">
        <f t="shared" si="53"/>
        <v>0</v>
      </c>
      <c r="AU225" s="39">
        <f t="shared" si="54"/>
        <v>0</v>
      </c>
      <c r="AW225" s="45">
        <f t="shared" si="55"/>
        <v>0</v>
      </c>
      <c r="AX225" s="45">
        <f t="shared" si="56"/>
        <v>0</v>
      </c>
    </row>
    <row r="226" spans="1:50" x14ac:dyDescent="0.3">
      <c r="A226" s="32">
        <v>216</v>
      </c>
      <c r="B226" s="33"/>
      <c r="C226" s="33"/>
      <c r="D226" s="33"/>
      <c r="E226" s="33" t="s">
        <v>24</v>
      </c>
      <c r="F226" s="71" t="str">
        <f t="shared" si="47"/>
        <v>-</v>
      </c>
      <c r="G226" s="33"/>
      <c r="H226" s="33"/>
      <c r="I226" s="46"/>
      <c r="J226" s="35"/>
      <c r="K226" s="35"/>
      <c r="L226" s="36">
        <f t="shared" si="48"/>
        <v>0</v>
      </c>
      <c r="M226" s="33"/>
      <c r="AN226" s="47">
        <v>216</v>
      </c>
      <c r="AO226" s="42">
        <f t="shared" si="49"/>
        <v>0</v>
      </c>
      <c r="AP226" s="43">
        <f t="shared" si="50"/>
        <v>0</v>
      </c>
      <c r="AQ226" s="42">
        <f t="shared" si="51"/>
        <v>0</v>
      </c>
      <c r="AR226" s="44">
        <f t="shared" si="52"/>
        <v>0</v>
      </c>
      <c r="AT226" s="39">
        <f t="shared" si="53"/>
        <v>0</v>
      </c>
      <c r="AU226" s="39">
        <f t="shared" si="54"/>
        <v>0</v>
      </c>
      <c r="AW226" s="45">
        <f t="shared" si="55"/>
        <v>0</v>
      </c>
      <c r="AX226" s="45">
        <f t="shared" si="56"/>
        <v>0</v>
      </c>
    </row>
    <row r="227" spans="1:50" x14ac:dyDescent="0.3">
      <c r="A227" s="32">
        <v>217</v>
      </c>
      <c r="B227" s="33"/>
      <c r="C227" s="33"/>
      <c r="D227" s="33"/>
      <c r="E227" s="33" t="s">
        <v>24</v>
      </c>
      <c r="F227" s="71" t="str">
        <f t="shared" si="47"/>
        <v>-</v>
      </c>
      <c r="G227" s="33"/>
      <c r="H227" s="33"/>
      <c r="I227" s="46"/>
      <c r="J227" s="35"/>
      <c r="K227" s="35"/>
      <c r="L227" s="36">
        <f t="shared" si="48"/>
        <v>0</v>
      </c>
      <c r="M227" s="33"/>
      <c r="AN227" s="47">
        <v>217</v>
      </c>
      <c r="AO227" s="42">
        <f t="shared" si="49"/>
        <v>0</v>
      </c>
      <c r="AP227" s="43">
        <f t="shared" si="50"/>
        <v>0</v>
      </c>
      <c r="AQ227" s="42">
        <f t="shared" si="51"/>
        <v>0</v>
      </c>
      <c r="AR227" s="44">
        <f t="shared" si="52"/>
        <v>0</v>
      </c>
      <c r="AT227" s="39">
        <f t="shared" si="53"/>
        <v>0</v>
      </c>
      <c r="AU227" s="39">
        <f t="shared" si="54"/>
        <v>0</v>
      </c>
      <c r="AW227" s="45">
        <f t="shared" si="55"/>
        <v>0</v>
      </c>
      <c r="AX227" s="45">
        <f t="shared" si="56"/>
        <v>0</v>
      </c>
    </row>
    <row r="228" spans="1:50" x14ac:dyDescent="0.3">
      <c r="A228" s="32">
        <v>218</v>
      </c>
      <c r="B228" s="33"/>
      <c r="C228" s="33"/>
      <c r="D228" s="33"/>
      <c r="E228" s="33" t="s">
        <v>24</v>
      </c>
      <c r="F228" s="71" t="str">
        <f t="shared" si="47"/>
        <v>-</v>
      </c>
      <c r="G228" s="33"/>
      <c r="H228" s="33"/>
      <c r="I228" s="46"/>
      <c r="J228" s="35"/>
      <c r="K228" s="35"/>
      <c r="L228" s="36">
        <f t="shared" si="48"/>
        <v>0</v>
      </c>
      <c r="M228" s="33"/>
      <c r="AN228" s="47">
        <v>218</v>
      </c>
      <c r="AO228" s="42">
        <f t="shared" si="49"/>
        <v>0</v>
      </c>
      <c r="AP228" s="43">
        <f t="shared" si="50"/>
        <v>0</v>
      </c>
      <c r="AQ228" s="42">
        <f t="shared" si="51"/>
        <v>0</v>
      </c>
      <c r="AR228" s="44">
        <f t="shared" si="52"/>
        <v>0</v>
      </c>
      <c r="AT228" s="39">
        <f t="shared" si="53"/>
        <v>0</v>
      </c>
      <c r="AU228" s="39">
        <f t="shared" si="54"/>
        <v>0</v>
      </c>
      <c r="AW228" s="45">
        <f t="shared" si="55"/>
        <v>0</v>
      </c>
      <c r="AX228" s="45">
        <f t="shared" si="56"/>
        <v>0</v>
      </c>
    </row>
    <row r="229" spans="1:50" x14ac:dyDescent="0.3">
      <c r="A229" s="32">
        <v>219</v>
      </c>
      <c r="B229" s="33"/>
      <c r="C229" s="33"/>
      <c r="D229" s="33"/>
      <c r="E229" s="33" t="s">
        <v>24</v>
      </c>
      <c r="F229" s="71" t="str">
        <f t="shared" si="47"/>
        <v>-</v>
      </c>
      <c r="G229" s="33"/>
      <c r="H229" s="33"/>
      <c r="I229" s="46"/>
      <c r="J229" s="35"/>
      <c r="K229" s="35"/>
      <c r="L229" s="36">
        <f t="shared" si="48"/>
        <v>0</v>
      </c>
      <c r="M229" s="33"/>
      <c r="AN229" s="47">
        <v>219</v>
      </c>
      <c r="AO229" s="42">
        <f t="shared" si="49"/>
        <v>0</v>
      </c>
      <c r="AP229" s="43">
        <f t="shared" si="50"/>
        <v>0</v>
      </c>
      <c r="AQ229" s="42">
        <f t="shared" si="51"/>
        <v>0</v>
      </c>
      <c r="AR229" s="44">
        <f t="shared" si="52"/>
        <v>0</v>
      </c>
      <c r="AT229" s="39">
        <f t="shared" si="53"/>
        <v>0</v>
      </c>
      <c r="AU229" s="39">
        <f t="shared" si="54"/>
        <v>0</v>
      </c>
      <c r="AW229" s="45">
        <f t="shared" si="55"/>
        <v>0</v>
      </c>
      <c r="AX229" s="45">
        <f t="shared" si="56"/>
        <v>0</v>
      </c>
    </row>
    <row r="230" spans="1:50" x14ac:dyDescent="0.3">
      <c r="A230" s="32">
        <v>220</v>
      </c>
      <c r="B230" s="33"/>
      <c r="C230" s="33"/>
      <c r="D230" s="33"/>
      <c r="E230" s="33" t="s">
        <v>24</v>
      </c>
      <c r="F230" s="71" t="str">
        <f t="shared" si="47"/>
        <v>-</v>
      </c>
      <c r="G230" s="33"/>
      <c r="H230" s="33"/>
      <c r="I230" s="46"/>
      <c r="J230" s="35"/>
      <c r="K230" s="35"/>
      <c r="L230" s="36">
        <f t="shared" si="48"/>
        <v>0</v>
      </c>
      <c r="M230" s="33"/>
      <c r="AN230" s="47">
        <v>220</v>
      </c>
      <c r="AO230" s="42">
        <f t="shared" si="49"/>
        <v>0</v>
      </c>
      <c r="AP230" s="43">
        <f t="shared" si="50"/>
        <v>0</v>
      </c>
      <c r="AQ230" s="42">
        <f t="shared" si="51"/>
        <v>0</v>
      </c>
      <c r="AR230" s="44">
        <f t="shared" si="52"/>
        <v>0</v>
      </c>
      <c r="AT230" s="39">
        <f t="shared" si="53"/>
        <v>0</v>
      </c>
      <c r="AU230" s="39">
        <f t="shared" si="54"/>
        <v>0</v>
      </c>
      <c r="AW230" s="45">
        <f t="shared" si="55"/>
        <v>0</v>
      </c>
      <c r="AX230" s="45">
        <f t="shared" si="56"/>
        <v>0</v>
      </c>
    </row>
    <row r="231" spans="1:50" x14ac:dyDescent="0.3">
      <c r="A231" s="32">
        <v>221</v>
      </c>
      <c r="B231" s="33"/>
      <c r="C231" s="33"/>
      <c r="D231" s="33"/>
      <c r="E231" s="33" t="s">
        <v>24</v>
      </c>
      <c r="F231" s="71" t="str">
        <f t="shared" si="47"/>
        <v>-</v>
      </c>
      <c r="G231" s="33"/>
      <c r="H231" s="33"/>
      <c r="I231" s="46"/>
      <c r="J231" s="35"/>
      <c r="K231" s="35"/>
      <c r="L231" s="36">
        <f t="shared" si="48"/>
        <v>0</v>
      </c>
      <c r="M231" s="33"/>
      <c r="AN231" s="47">
        <v>221</v>
      </c>
      <c r="AO231" s="42">
        <f t="shared" si="49"/>
        <v>0</v>
      </c>
      <c r="AP231" s="43">
        <f t="shared" si="50"/>
        <v>0</v>
      </c>
      <c r="AQ231" s="42">
        <f t="shared" si="51"/>
        <v>0</v>
      </c>
      <c r="AR231" s="44">
        <f t="shared" si="52"/>
        <v>0</v>
      </c>
      <c r="AT231" s="39">
        <f t="shared" si="53"/>
        <v>0</v>
      </c>
      <c r="AU231" s="39">
        <f t="shared" si="54"/>
        <v>0</v>
      </c>
      <c r="AW231" s="45">
        <f t="shared" si="55"/>
        <v>0</v>
      </c>
      <c r="AX231" s="45">
        <f t="shared" si="56"/>
        <v>0</v>
      </c>
    </row>
    <row r="232" spans="1:50" x14ac:dyDescent="0.3">
      <c r="A232" s="32">
        <v>222</v>
      </c>
      <c r="B232" s="33"/>
      <c r="C232" s="33"/>
      <c r="D232" s="33"/>
      <c r="E232" s="33" t="s">
        <v>24</v>
      </c>
      <c r="F232" s="71" t="str">
        <f t="shared" si="47"/>
        <v>-</v>
      </c>
      <c r="G232" s="33"/>
      <c r="H232" s="33"/>
      <c r="I232" s="46"/>
      <c r="J232" s="35"/>
      <c r="K232" s="35"/>
      <c r="L232" s="36">
        <f t="shared" si="48"/>
        <v>0</v>
      </c>
      <c r="M232" s="33"/>
      <c r="AN232" s="47">
        <v>222</v>
      </c>
      <c r="AO232" s="42">
        <f t="shared" si="49"/>
        <v>0</v>
      </c>
      <c r="AP232" s="43">
        <f t="shared" si="50"/>
        <v>0</v>
      </c>
      <c r="AQ232" s="42">
        <f t="shared" si="51"/>
        <v>0</v>
      </c>
      <c r="AR232" s="44">
        <f t="shared" si="52"/>
        <v>0</v>
      </c>
      <c r="AT232" s="39">
        <f t="shared" si="53"/>
        <v>0</v>
      </c>
      <c r="AU232" s="39">
        <f t="shared" si="54"/>
        <v>0</v>
      </c>
      <c r="AW232" s="45">
        <f t="shared" si="55"/>
        <v>0</v>
      </c>
      <c r="AX232" s="45">
        <f t="shared" si="56"/>
        <v>0</v>
      </c>
    </row>
    <row r="233" spans="1:50" x14ac:dyDescent="0.3">
      <c r="A233" s="32">
        <v>223</v>
      </c>
      <c r="B233" s="33"/>
      <c r="C233" s="33"/>
      <c r="D233" s="33"/>
      <c r="E233" s="33" t="s">
        <v>24</v>
      </c>
      <c r="F233" s="71" t="str">
        <f t="shared" si="47"/>
        <v>-</v>
      </c>
      <c r="G233" s="33"/>
      <c r="H233" s="33"/>
      <c r="I233" s="46"/>
      <c r="J233" s="35"/>
      <c r="K233" s="35"/>
      <c r="L233" s="36">
        <f t="shared" si="48"/>
        <v>0</v>
      </c>
      <c r="M233" s="33"/>
      <c r="AN233" s="47">
        <v>223</v>
      </c>
      <c r="AO233" s="42">
        <f t="shared" si="49"/>
        <v>0</v>
      </c>
      <c r="AP233" s="43">
        <f t="shared" si="50"/>
        <v>0</v>
      </c>
      <c r="AQ233" s="42">
        <f t="shared" si="51"/>
        <v>0</v>
      </c>
      <c r="AR233" s="44">
        <f t="shared" si="52"/>
        <v>0</v>
      </c>
      <c r="AT233" s="39">
        <f t="shared" si="53"/>
        <v>0</v>
      </c>
      <c r="AU233" s="39">
        <f t="shared" si="54"/>
        <v>0</v>
      </c>
      <c r="AW233" s="45">
        <f t="shared" si="55"/>
        <v>0</v>
      </c>
      <c r="AX233" s="45">
        <f t="shared" si="56"/>
        <v>0</v>
      </c>
    </row>
    <row r="234" spans="1:50" x14ac:dyDescent="0.3">
      <c r="A234" s="32">
        <v>224</v>
      </c>
      <c r="B234" s="33"/>
      <c r="C234" s="33"/>
      <c r="D234" s="33"/>
      <c r="E234" s="33" t="s">
        <v>24</v>
      </c>
      <c r="F234" s="71" t="str">
        <f t="shared" si="47"/>
        <v>-</v>
      </c>
      <c r="G234" s="33"/>
      <c r="H234" s="33"/>
      <c r="I234" s="46"/>
      <c r="J234" s="35"/>
      <c r="K234" s="35"/>
      <c r="L234" s="36">
        <f t="shared" si="48"/>
        <v>0</v>
      </c>
      <c r="M234" s="33"/>
      <c r="AN234" s="47">
        <v>224</v>
      </c>
      <c r="AO234" s="42">
        <f t="shared" si="49"/>
        <v>0</v>
      </c>
      <c r="AP234" s="43">
        <f t="shared" si="50"/>
        <v>0</v>
      </c>
      <c r="AQ234" s="42">
        <f t="shared" si="51"/>
        <v>0</v>
      </c>
      <c r="AR234" s="44">
        <f t="shared" si="52"/>
        <v>0</v>
      </c>
      <c r="AT234" s="39">
        <f t="shared" si="53"/>
        <v>0</v>
      </c>
      <c r="AU234" s="39">
        <f t="shared" si="54"/>
        <v>0</v>
      </c>
      <c r="AW234" s="45">
        <f t="shared" si="55"/>
        <v>0</v>
      </c>
      <c r="AX234" s="45">
        <f t="shared" si="56"/>
        <v>0</v>
      </c>
    </row>
    <row r="235" spans="1:50" x14ac:dyDescent="0.3">
      <c r="A235" s="32">
        <v>225</v>
      </c>
      <c r="B235" s="33"/>
      <c r="C235" s="33"/>
      <c r="D235" s="33"/>
      <c r="E235" s="33" t="s">
        <v>24</v>
      </c>
      <c r="F235" s="71" t="str">
        <f t="shared" ref="F235:F298" si="57">IFERROR((VLOOKUP(E235,$AE$11:$AG$14,3,0)),"-")</f>
        <v>-</v>
      </c>
      <c r="G235" s="33"/>
      <c r="H235" s="33"/>
      <c r="I235" s="46"/>
      <c r="J235" s="35"/>
      <c r="K235" s="35"/>
      <c r="L235" s="36">
        <f t="shared" si="48"/>
        <v>0</v>
      </c>
      <c r="M235" s="33"/>
      <c r="AN235" s="47">
        <v>225</v>
      </c>
      <c r="AO235" s="42">
        <f t="shared" si="49"/>
        <v>0</v>
      </c>
      <c r="AP235" s="43">
        <f t="shared" si="50"/>
        <v>0</v>
      </c>
      <c r="AQ235" s="42">
        <f t="shared" si="51"/>
        <v>0</v>
      </c>
      <c r="AR235" s="44">
        <f t="shared" si="52"/>
        <v>0</v>
      </c>
      <c r="AT235" s="39">
        <f t="shared" si="53"/>
        <v>0</v>
      </c>
      <c r="AU235" s="39">
        <f t="shared" si="54"/>
        <v>0</v>
      </c>
      <c r="AW235" s="45">
        <f t="shared" si="55"/>
        <v>0</v>
      </c>
      <c r="AX235" s="45">
        <f t="shared" si="56"/>
        <v>0</v>
      </c>
    </row>
    <row r="236" spans="1:50" x14ac:dyDescent="0.3">
      <c r="A236" s="32">
        <v>226</v>
      </c>
      <c r="B236" s="33"/>
      <c r="C236" s="33"/>
      <c r="D236" s="33"/>
      <c r="E236" s="33" t="s">
        <v>24</v>
      </c>
      <c r="F236" s="71" t="str">
        <f t="shared" si="57"/>
        <v>-</v>
      </c>
      <c r="G236" s="33"/>
      <c r="H236" s="33"/>
      <c r="I236" s="46"/>
      <c r="J236" s="35"/>
      <c r="K236" s="35"/>
      <c r="L236" s="36">
        <f t="shared" si="48"/>
        <v>0</v>
      </c>
      <c r="M236" s="33"/>
      <c r="AN236" s="47">
        <v>226</v>
      </c>
      <c r="AO236" s="42">
        <f t="shared" si="49"/>
        <v>0</v>
      </c>
      <c r="AP236" s="43">
        <f t="shared" si="50"/>
        <v>0</v>
      </c>
      <c r="AQ236" s="42">
        <f t="shared" si="51"/>
        <v>0</v>
      </c>
      <c r="AR236" s="44">
        <f t="shared" si="52"/>
        <v>0</v>
      </c>
      <c r="AT236" s="39">
        <f t="shared" si="53"/>
        <v>0</v>
      </c>
      <c r="AU236" s="39">
        <f t="shared" si="54"/>
        <v>0</v>
      </c>
      <c r="AW236" s="45">
        <f t="shared" si="55"/>
        <v>0</v>
      </c>
      <c r="AX236" s="45">
        <f t="shared" si="56"/>
        <v>0</v>
      </c>
    </row>
    <row r="237" spans="1:50" x14ac:dyDescent="0.3">
      <c r="A237" s="32">
        <v>227</v>
      </c>
      <c r="B237" s="33"/>
      <c r="C237" s="33"/>
      <c r="D237" s="33"/>
      <c r="E237" s="33" t="s">
        <v>24</v>
      </c>
      <c r="F237" s="71" t="str">
        <f t="shared" si="57"/>
        <v>-</v>
      </c>
      <c r="G237" s="33"/>
      <c r="H237" s="33"/>
      <c r="I237" s="46"/>
      <c r="J237" s="35"/>
      <c r="K237" s="35"/>
      <c r="L237" s="36">
        <f t="shared" si="48"/>
        <v>0</v>
      </c>
      <c r="M237" s="33"/>
      <c r="AN237" s="47">
        <v>227</v>
      </c>
      <c r="AO237" s="42">
        <f t="shared" si="49"/>
        <v>0</v>
      </c>
      <c r="AP237" s="43">
        <f t="shared" si="50"/>
        <v>0</v>
      </c>
      <c r="AQ237" s="42">
        <f t="shared" si="51"/>
        <v>0</v>
      </c>
      <c r="AR237" s="44">
        <f t="shared" si="52"/>
        <v>0</v>
      </c>
      <c r="AT237" s="39">
        <f t="shared" si="53"/>
        <v>0</v>
      </c>
      <c r="AU237" s="39">
        <f t="shared" si="54"/>
        <v>0</v>
      </c>
      <c r="AW237" s="45">
        <f t="shared" si="55"/>
        <v>0</v>
      </c>
      <c r="AX237" s="45">
        <f t="shared" si="56"/>
        <v>0</v>
      </c>
    </row>
    <row r="238" spans="1:50" x14ac:dyDescent="0.3">
      <c r="A238" s="32">
        <v>228</v>
      </c>
      <c r="B238" s="33"/>
      <c r="C238" s="33"/>
      <c r="D238" s="33"/>
      <c r="E238" s="33" t="s">
        <v>24</v>
      </c>
      <c r="F238" s="71" t="str">
        <f t="shared" si="57"/>
        <v>-</v>
      </c>
      <c r="G238" s="33"/>
      <c r="H238" s="33"/>
      <c r="I238" s="46"/>
      <c r="J238" s="35"/>
      <c r="K238" s="35"/>
      <c r="L238" s="36">
        <f t="shared" si="48"/>
        <v>0</v>
      </c>
      <c r="M238" s="33"/>
      <c r="AN238" s="47">
        <v>228</v>
      </c>
      <c r="AO238" s="42">
        <f t="shared" si="49"/>
        <v>0</v>
      </c>
      <c r="AP238" s="43">
        <f t="shared" si="50"/>
        <v>0</v>
      </c>
      <c r="AQ238" s="42">
        <f t="shared" si="51"/>
        <v>0</v>
      </c>
      <c r="AR238" s="44">
        <f t="shared" si="52"/>
        <v>0</v>
      </c>
      <c r="AT238" s="39">
        <f t="shared" si="53"/>
        <v>0</v>
      </c>
      <c r="AU238" s="39">
        <f t="shared" si="54"/>
        <v>0</v>
      </c>
      <c r="AW238" s="45">
        <f t="shared" si="55"/>
        <v>0</v>
      </c>
      <c r="AX238" s="45">
        <f t="shared" si="56"/>
        <v>0</v>
      </c>
    </row>
    <row r="239" spans="1:50" x14ac:dyDescent="0.3">
      <c r="A239" s="32">
        <v>229</v>
      </c>
      <c r="B239" s="33"/>
      <c r="C239" s="33"/>
      <c r="D239" s="33"/>
      <c r="E239" s="33" t="s">
        <v>24</v>
      </c>
      <c r="F239" s="71" t="str">
        <f t="shared" si="57"/>
        <v>-</v>
      </c>
      <c r="G239" s="33"/>
      <c r="H239" s="33"/>
      <c r="I239" s="46"/>
      <c r="J239" s="35"/>
      <c r="K239" s="35"/>
      <c r="L239" s="36">
        <f t="shared" ref="L239:L302" si="58">IF($H$4="-",0,IF($H$4="VAREJO",AW239,IF($H$4="ATACADO",AX239,0)))</f>
        <v>0</v>
      </c>
      <c r="M239" s="33"/>
      <c r="AN239" s="47">
        <v>229</v>
      </c>
      <c r="AO239" s="42">
        <f t="shared" si="49"/>
        <v>0</v>
      </c>
      <c r="AP239" s="43">
        <f t="shared" si="50"/>
        <v>0</v>
      </c>
      <c r="AQ239" s="42">
        <f t="shared" si="51"/>
        <v>0</v>
      </c>
      <c r="AR239" s="44">
        <f t="shared" si="52"/>
        <v>0</v>
      </c>
      <c r="AT239" s="39">
        <f t="shared" si="53"/>
        <v>0</v>
      </c>
      <c r="AU239" s="39">
        <f t="shared" si="54"/>
        <v>0</v>
      </c>
      <c r="AW239" s="45">
        <f t="shared" si="55"/>
        <v>0</v>
      </c>
      <c r="AX239" s="45">
        <f t="shared" si="56"/>
        <v>0</v>
      </c>
    </row>
    <row r="240" spans="1:50" x14ac:dyDescent="0.3">
      <c r="A240" s="32">
        <v>230</v>
      </c>
      <c r="B240" s="33"/>
      <c r="C240" s="33"/>
      <c r="D240" s="33"/>
      <c r="E240" s="33" t="s">
        <v>24</v>
      </c>
      <c r="F240" s="71" t="str">
        <f t="shared" si="57"/>
        <v>-</v>
      </c>
      <c r="G240" s="33"/>
      <c r="H240" s="33"/>
      <c r="I240" s="46"/>
      <c r="J240" s="35"/>
      <c r="K240" s="35"/>
      <c r="L240" s="36">
        <f t="shared" si="58"/>
        <v>0</v>
      </c>
      <c r="M240" s="33"/>
      <c r="AN240" s="47">
        <v>230</v>
      </c>
      <c r="AO240" s="42">
        <f t="shared" si="49"/>
        <v>0</v>
      </c>
      <c r="AP240" s="43">
        <f t="shared" si="50"/>
        <v>0</v>
      </c>
      <c r="AQ240" s="42">
        <f t="shared" si="51"/>
        <v>0</v>
      </c>
      <c r="AR240" s="44">
        <f t="shared" si="52"/>
        <v>0</v>
      </c>
      <c r="AT240" s="39">
        <f t="shared" si="53"/>
        <v>0</v>
      </c>
      <c r="AU240" s="39">
        <f t="shared" si="54"/>
        <v>0</v>
      </c>
      <c r="AW240" s="45">
        <f t="shared" si="55"/>
        <v>0</v>
      </c>
      <c r="AX240" s="45">
        <f t="shared" si="56"/>
        <v>0</v>
      </c>
    </row>
    <row r="241" spans="1:50" x14ac:dyDescent="0.3">
      <c r="A241" s="32">
        <v>231</v>
      </c>
      <c r="B241" s="33"/>
      <c r="C241" s="33"/>
      <c r="D241" s="33"/>
      <c r="E241" s="33" t="s">
        <v>24</v>
      </c>
      <c r="F241" s="71" t="str">
        <f t="shared" si="57"/>
        <v>-</v>
      </c>
      <c r="G241" s="33"/>
      <c r="H241" s="33"/>
      <c r="I241" s="46"/>
      <c r="J241" s="35"/>
      <c r="K241" s="35"/>
      <c r="L241" s="36">
        <f t="shared" si="58"/>
        <v>0</v>
      </c>
      <c r="M241" s="33"/>
      <c r="AN241" s="47">
        <v>231</v>
      </c>
      <c r="AO241" s="42">
        <f t="shared" si="49"/>
        <v>0</v>
      </c>
      <c r="AP241" s="43">
        <f t="shared" si="50"/>
        <v>0</v>
      </c>
      <c r="AQ241" s="42">
        <f t="shared" si="51"/>
        <v>0</v>
      </c>
      <c r="AR241" s="44">
        <f t="shared" si="52"/>
        <v>0</v>
      </c>
      <c r="AT241" s="39">
        <f t="shared" si="53"/>
        <v>0</v>
      </c>
      <c r="AU241" s="39">
        <f t="shared" si="54"/>
        <v>0</v>
      </c>
      <c r="AW241" s="45">
        <f t="shared" si="55"/>
        <v>0</v>
      </c>
      <c r="AX241" s="45">
        <f t="shared" si="56"/>
        <v>0</v>
      </c>
    </row>
    <row r="242" spans="1:50" x14ac:dyDescent="0.3">
      <c r="A242" s="32">
        <v>232</v>
      </c>
      <c r="B242" s="33"/>
      <c r="C242" s="33"/>
      <c r="D242" s="33"/>
      <c r="E242" s="33" t="s">
        <v>24</v>
      </c>
      <c r="F242" s="71" t="str">
        <f t="shared" si="57"/>
        <v>-</v>
      </c>
      <c r="G242" s="33"/>
      <c r="H242" s="33"/>
      <c r="I242" s="46"/>
      <c r="J242" s="35"/>
      <c r="K242" s="35"/>
      <c r="L242" s="36">
        <f t="shared" si="58"/>
        <v>0</v>
      </c>
      <c r="M242" s="33"/>
      <c r="AN242" s="47">
        <v>232</v>
      </c>
      <c r="AO242" s="42">
        <f t="shared" si="49"/>
        <v>0</v>
      </c>
      <c r="AP242" s="43">
        <f t="shared" si="50"/>
        <v>0</v>
      </c>
      <c r="AQ242" s="42">
        <f t="shared" si="51"/>
        <v>0</v>
      </c>
      <c r="AR242" s="44">
        <f t="shared" si="52"/>
        <v>0</v>
      </c>
      <c r="AT242" s="39">
        <f t="shared" si="53"/>
        <v>0</v>
      </c>
      <c r="AU242" s="39">
        <f t="shared" si="54"/>
        <v>0</v>
      </c>
      <c r="AW242" s="45">
        <f t="shared" si="55"/>
        <v>0</v>
      </c>
      <c r="AX242" s="45">
        <f t="shared" si="56"/>
        <v>0</v>
      </c>
    </row>
    <row r="243" spans="1:50" x14ac:dyDescent="0.3">
      <c r="A243" s="32">
        <v>233</v>
      </c>
      <c r="B243" s="33"/>
      <c r="C243" s="33"/>
      <c r="D243" s="33"/>
      <c r="E243" s="33" t="s">
        <v>24</v>
      </c>
      <c r="F243" s="71" t="str">
        <f t="shared" si="57"/>
        <v>-</v>
      </c>
      <c r="G243" s="33"/>
      <c r="H243" s="33"/>
      <c r="I243" s="46"/>
      <c r="J243" s="35"/>
      <c r="K243" s="35"/>
      <c r="L243" s="36">
        <f t="shared" si="58"/>
        <v>0</v>
      </c>
      <c r="M243" s="33"/>
      <c r="AN243" s="47">
        <v>233</v>
      </c>
      <c r="AO243" s="42">
        <f t="shared" si="49"/>
        <v>0</v>
      </c>
      <c r="AP243" s="43">
        <f t="shared" si="50"/>
        <v>0</v>
      </c>
      <c r="AQ243" s="42">
        <f t="shared" si="51"/>
        <v>0</v>
      </c>
      <c r="AR243" s="44">
        <f t="shared" si="52"/>
        <v>0</v>
      </c>
      <c r="AT243" s="39">
        <f t="shared" si="53"/>
        <v>0</v>
      </c>
      <c r="AU243" s="39">
        <f t="shared" si="54"/>
        <v>0</v>
      </c>
      <c r="AW243" s="45">
        <f t="shared" si="55"/>
        <v>0</v>
      </c>
      <c r="AX243" s="45">
        <f t="shared" si="56"/>
        <v>0</v>
      </c>
    </row>
    <row r="244" spans="1:50" x14ac:dyDescent="0.3">
      <c r="A244" s="32">
        <v>234</v>
      </c>
      <c r="B244" s="33"/>
      <c r="C244" s="33"/>
      <c r="D244" s="33"/>
      <c r="E244" s="33" t="s">
        <v>24</v>
      </c>
      <c r="F244" s="71" t="str">
        <f t="shared" si="57"/>
        <v>-</v>
      </c>
      <c r="G244" s="33"/>
      <c r="H244" s="33"/>
      <c r="I244" s="46"/>
      <c r="J244" s="35"/>
      <c r="K244" s="35"/>
      <c r="L244" s="36">
        <f t="shared" si="58"/>
        <v>0</v>
      </c>
      <c r="M244" s="33"/>
      <c r="AN244" s="47">
        <v>234</v>
      </c>
      <c r="AO244" s="42">
        <f t="shared" si="49"/>
        <v>0</v>
      </c>
      <c r="AP244" s="43">
        <f t="shared" si="50"/>
        <v>0</v>
      </c>
      <c r="AQ244" s="42">
        <f t="shared" si="51"/>
        <v>0</v>
      </c>
      <c r="AR244" s="44">
        <f t="shared" si="52"/>
        <v>0</v>
      </c>
      <c r="AT244" s="39">
        <f t="shared" si="53"/>
        <v>0</v>
      </c>
      <c r="AU244" s="39">
        <f t="shared" si="54"/>
        <v>0</v>
      </c>
      <c r="AW244" s="45">
        <f t="shared" si="55"/>
        <v>0</v>
      </c>
      <c r="AX244" s="45">
        <f t="shared" si="56"/>
        <v>0</v>
      </c>
    </row>
    <row r="245" spans="1:50" x14ac:dyDescent="0.3">
      <c r="A245" s="32">
        <v>235</v>
      </c>
      <c r="B245" s="33"/>
      <c r="C245" s="33"/>
      <c r="D245" s="33"/>
      <c r="E245" s="33" t="s">
        <v>24</v>
      </c>
      <c r="F245" s="71" t="str">
        <f t="shared" si="57"/>
        <v>-</v>
      </c>
      <c r="G245" s="33"/>
      <c r="H245" s="33"/>
      <c r="I245" s="46"/>
      <c r="J245" s="35"/>
      <c r="K245" s="35"/>
      <c r="L245" s="36">
        <f t="shared" si="58"/>
        <v>0</v>
      </c>
      <c r="M245" s="33"/>
      <c r="AN245" s="47">
        <v>235</v>
      </c>
      <c r="AO245" s="42">
        <f t="shared" si="49"/>
        <v>0</v>
      </c>
      <c r="AP245" s="43">
        <f t="shared" si="50"/>
        <v>0</v>
      </c>
      <c r="AQ245" s="42">
        <f t="shared" si="51"/>
        <v>0</v>
      </c>
      <c r="AR245" s="44">
        <f t="shared" si="52"/>
        <v>0</v>
      </c>
      <c r="AT245" s="39">
        <f t="shared" si="53"/>
        <v>0</v>
      </c>
      <c r="AU245" s="39">
        <f t="shared" si="54"/>
        <v>0</v>
      </c>
      <c r="AW245" s="45">
        <f t="shared" si="55"/>
        <v>0</v>
      </c>
      <c r="AX245" s="45">
        <f t="shared" si="56"/>
        <v>0</v>
      </c>
    </row>
    <row r="246" spans="1:50" x14ac:dyDescent="0.3">
      <c r="A246" s="32">
        <v>236</v>
      </c>
      <c r="B246" s="33"/>
      <c r="C246" s="33"/>
      <c r="D246" s="33"/>
      <c r="E246" s="33" t="s">
        <v>24</v>
      </c>
      <c r="F246" s="71" t="str">
        <f t="shared" si="57"/>
        <v>-</v>
      </c>
      <c r="G246" s="33"/>
      <c r="H246" s="33"/>
      <c r="I246" s="46"/>
      <c r="J246" s="35"/>
      <c r="K246" s="35"/>
      <c r="L246" s="36">
        <f t="shared" si="58"/>
        <v>0</v>
      </c>
      <c r="M246" s="33"/>
      <c r="AN246" s="47">
        <v>236</v>
      </c>
      <c r="AO246" s="42">
        <f t="shared" si="49"/>
        <v>0</v>
      </c>
      <c r="AP246" s="43">
        <f t="shared" si="50"/>
        <v>0</v>
      </c>
      <c r="AQ246" s="42">
        <f t="shared" si="51"/>
        <v>0</v>
      </c>
      <c r="AR246" s="44">
        <f t="shared" si="52"/>
        <v>0</v>
      </c>
      <c r="AT246" s="39">
        <f t="shared" si="53"/>
        <v>0</v>
      </c>
      <c r="AU246" s="39">
        <f t="shared" si="54"/>
        <v>0</v>
      </c>
      <c r="AW246" s="45">
        <f t="shared" si="55"/>
        <v>0</v>
      </c>
      <c r="AX246" s="45">
        <f t="shared" si="56"/>
        <v>0</v>
      </c>
    </row>
    <row r="247" spans="1:50" x14ac:dyDescent="0.3">
      <c r="A247" s="32">
        <v>237</v>
      </c>
      <c r="B247" s="33"/>
      <c r="C247" s="33"/>
      <c r="D247" s="33"/>
      <c r="E247" s="33" t="s">
        <v>24</v>
      </c>
      <c r="F247" s="71" t="str">
        <f t="shared" si="57"/>
        <v>-</v>
      </c>
      <c r="G247" s="33"/>
      <c r="H247" s="33"/>
      <c r="I247" s="46"/>
      <c r="J247" s="35"/>
      <c r="K247" s="35"/>
      <c r="L247" s="36">
        <f t="shared" si="58"/>
        <v>0</v>
      </c>
      <c r="M247" s="33"/>
      <c r="AN247" s="47">
        <v>237</v>
      </c>
      <c r="AO247" s="42">
        <f t="shared" si="49"/>
        <v>0</v>
      </c>
      <c r="AP247" s="43">
        <f t="shared" si="50"/>
        <v>0</v>
      </c>
      <c r="AQ247" s="42">
        <f t="shared" si="51"/>
        <v>0</v>
      </c>
      <c r="AR247" s="44">
        <f t="shared" si="52"/>
        <v>0</v>
      </c>
      <c r="AT247" s="39">
        <f t="shared" si="53"/>
        <v>0</v>
      </c>
      <c r="AU247" s="39">
        <f t="shared" si="54"/>
        <v>0</v>
      </c>
      <c r="AW247" s="45">
        <f t="shared" si="55"/>
        <v>0</v>
      </c>
      <c r="AX247" s="45">
        <f t="shared" si="56"/>
        <v>0</v>
      </c>
    </row>
    <row r="248" spans="1:50" x14ac:dyDescent="0.3">
      <c r="A248" s="32">
        <v>238</v>
      </c>
      <c r="B248" s="33"/>
      <c r="C248" s="33"/>
      <c r="D248" s="33"/>
      <c r="E248" s="33" t="s">
        <v>24</v>
      </c>
      <c r="F248" s="71" t="str">
        <f t="shared" si="57"/>
        <v>-</v>
      </c>
      <c r="G248" s="33"/>
      <c r="H248" s="33"/>
      <c r="I248" s="46"/>
      <c r="J248" s="35"/>
      <c r="K248" s="35"/>
      <c r="L248" s="36">
        <f t="shared" si="58"/>
        <v>0</v>
      </c>
      <c r="M248" s="33"/>
      <c r="AN248" s="47">
        <v>238</v>
      </c>
      <c r="AO248" s="42">
        <f t="shared" si="49"/>
        <v>0</v>
      </c>
      <c r="AP248" s="43">
        <f t="shared" si="50"/>
        <v>0</v>
      </c>
      <c r="AQ248" s="42">
        <f t="shared" si="51"/>
        <v>0</v>
      </c>
      <c r="AR248" s="44">
        <f t="shared" si="52"/>
        <v>0</v>
      </c>
      <c r="AT248" s="39">
        <f t="shared" si="53"/>
        <v>0</v>
      </c>
      <c r="AU248" s="39">
        <f t="shared" si="54"/>
        <v>0</v>
      </c>
      <c r="AW248" s="45">
        <f t="shared" si="55"/>
        <v>0</v>
      </c>
      <c r="AX248" s="45">
        <f t="shared" si="56"/>
        <v>0</v>
      </c>
    </row>
    <row r="249" spans="1:50" x14ac:dyDescent="0.3">
      <c r="A249" s="32">
        <v>239</v>
      </c>
      <c r="B249" s="33"/>
      <c r="C249" s="33"/>
      <c r="D249" s="33"/>
      <c r="E249" s="33" t="s">
        <v>24</v>
      </c>
      <c r="F249" s="71" t="str">
        <f t="shared" si="57"/>
        <v>-</v>
      </c>
      <c r="G249" s="33"/>
      <c r="H249" s="33"/>
      <c r="I249" s="46"/>
      <c r="J249" s="35"/>
      <c r="K249" s="35"/>
      <c r="L249" s="36">
        <f t="shared" si="58"/>
        <v>0</v>
      </c>
      <c r="M249" s="33"/>
      <c r="AN249" s="47">
        <v>239</v>
      </c>
      <c r="AO249" s="42">
        <f t="shared" si="49"/>
        <v>0</v>
      </c>
      <c r="AP249" s="43">
        <f t="shared" si="50"/>
        <v>0</v>
      </c>
      <c r="AQ249" s="42">
        <f t="shared" si="51"/>
        <v>0</v>
      </c>
      <c r="AR249" s="44">
        <f t="shared" si="52"/>
        <v>0</v>
      </c>
      <c r="AT249" s="39">
        <f t="shared" si="53"/>
        <v>0</v>
      </c>
      <c r="AU249" s="39">
        <f t="shared" si="54"/>
        <v>0</v>
      </c>
      <c r="AW249" s="45">
        <f t="shared" si="55"/>
        <v>0</v>
      </c>
      <c r="AX249" s="45">
        <f t="shared" si="56"/>
        <v>0</v>
      </c>
    </row>
    <row r="250" spans="1:50" x14ac:dyDescent="0.3">
      <c r="A250" s="32">
        <v>240</v>
      </c>
      <c r="B250" s="33"/>
      <c r="C250" s="33"/>
      <c r="D250" s="33"/>
      <c r="E250" s="33" t="s">
        <v>24</v>
      </c>
      <c r="F250" s="71" t="str">
        <f t="shared" si="57"/>
        <v>-</v>
      </c>
      <c r="G250" s="33"/>
      <c r="H250" s="33"/>
      <c r="I250" s="46"/>
      <c r="J250" s="35"/>
      <c r="K250" s="35"/>
      <c r="L250" s="36">
        <f t="shared" si="58"/>
        <v>0</v>
      </c>
      <c r="M250" s="33"/>
      <c r="AN250" s="47">
        <v>240</v>
      </c>
      <c r="AO250" s="42">
        <f t="shared" si="49"/>
        <v>0</v>
      </c>
      <c r="AP250" s="43">
        <f t="shared" si="50"/>
        <v>0</v>
      </c>
      <c r="AQ250" s="42">
        <f t="shared" si="51"/>
        <v>0</v>
      </c>
      <c r="AR250" s="44">
        <f t="shared" si="52"/>
        <v>0</v>
      </c>
      <c r="AT250" s="39">
        <f t="shared" si="53"/>
        <v>0</v>
      </c>
      <c r="AU250" s="39">
        <f t="shared" si="54"/>
        <v>0</v>
      </c>
      <c r="AW250" s="45">
        <f t="shared" si="55"/>
        <v>0</v>
      </c>
      <c r="AX250" s="45">
        <f t="shared" si="56"/>
        <v>0</v>
      </c>
    </row>
    <row r="251" spans="1:50" x14ac:dyDescent="0.3">
      <c r="A251" s="32">
        <v>241</v>
      </c>
      <c r="B251" s="33"/>
      <c r="C251" s="33"/>
      <c r="D251" s="33"/>
      <c r="E251" s="33" t="s">
        <v>24</v>
      </c>
      <c r="F251" s="71" t="str">
        <f t="shared" si="57"/>
        <v>-</v>
      </c>
      <c r="G251" s="33"/>
      <c r="H251" s="33"/>
      <c r="I251" s="46"/>
      <c r="J251" s="35"/>
      <c r="K251" s="35"/>
      <c r="L251" s="36">
        <f t="shared" si="58"/>
        <v>0</v>
      </c>
      <c r="M251" s="33"/>
      <c r="AN251" s="47">
        <v>241</v>
      </c>
      <c r="AO251" s="42">
        <f t="shared" si="49"/>
        <v>0</v>
      </c>
      <c r="AP251" s="43">
        <f t="shared" si="50"/>
        <v>0</v>
      </c>
      <c r="AQ251" s="42">
        <f t="shared" si="51"/>
        <v>0</v>
      </c>
      <c r="AR251" s="44">
        <f t="shared" si="52"/>
        <v>0</v>
      </c>
      <c r="AT251" s="39">
        <f t="shared" si="53"/>
        <v>0</v>
      </c>
      <c r="AU251" s="39">
        <f t="shared" si="54"/>
        <v>0</v>
      </c>
      <c r="AW251" s="45">
        <f t="shared" si="55"/>
        <v>0</v>
      </c>
      <c r="AX251" s="45">
        <f t="shared" si="56"/>
        <v>0</v>
      </c>
    </row>
    <row r="252" spans="1:50" x14ac:dyDescent="0.3">
      <c r="A252" s="32">
        <v>242</v>
      </c>
      <c r="B252" s="33"/>
      <c r="C252" s="33"/>
      <c r="D252" s="33"/>
      <c r="E252" s="33" t="s">
        <v>24</v>
      </c>
      <c r="F252" s="71" t="str">
        <f t="shared" si="57"/>
        <v>-</v>
      </c>
      <c r="G252" s="33"/>
      <c r="H252" s="33"/>
      <c r="I252" s="46"/>
      <c r="J252" s="35"/>
      <c r="K252" s="35"/>
      <c r="L252" s="36">
        <f t="shared" si="58"/>
        <v>0</v>
      </c>
      <c r="M252" s="33"/>
      <c r="AN252" s="47">
        <v>242</v>
      </c>
      <c r="AO252" s="42">
        <f t="shared" si="49"/>
        <v>0</v>
      </c>
      <c r="AP252" s="43">
        <f t="shared" si="50"/>
        <v>0</v>
      </c>
      <c r="AQ252" s="42">
        <f t="shared" si="51"/>
        <v>0</v>
      </c>
      <c r="AR252" s="44">
        <f t="shared" si="52"/>
        <v>0</v>
      </c>
      <c r="AT252" s="39">
        <f t="shared" si="53"/>
        <v>0</v>
      </c>
      <c r="AU252" s="39">
        <f t="shared" si="54"/>
        <v>0</v>
      </c>
      <c r="AW252" s="45">
        <f t="shared" si="55"/>
        <v>0</v>
      </c>
      <c r="AX252" s="45">
        <f t="shared" si="56"/>
        <v>0</v>
      </c>
    </row>
    <row r="253" spans="1:50" x14ac:dyDescent="0.3">
      <c r="A253" s="32">
        <v>243</v>
      </c>
      <c r="B253" s="33"/>
      <c r="C253" s="33"/>
      <c r="D253" s="33"/>
      <c r="E253" s="33" t="s">
        <v>24</v>
      </c>
      <c r="F253" s="71" t="str">
        <f t="shared" si="57"/>
        <v>-</v>
      </c>
      <c r="G253" s="33"/>
      <c r="H253" s="33"/>
      <c r="I253" s="46"/>
      <c r="J253" s="35"/>
      <c r="K253" s="35"/>
      <c r="L253" s="36">
        <f t="shared" si="58"/>
        <v>0</v>
      </c>
      <c r="M253" s="33"/>
      <c r="AN253" s="47">
        <v>243</v>
      </c>
      <c r="AO253" s="42">
        <f t="shared" si="49"/>
        <v>0</v>
      </c>
      <c r="AP253" s="43">
        <f t="shared" si="50"/>
        <v>0</v>
      </c>
      <c r="AQ253" s="42">
        <f t="shared" si="51"/>
        <v>0</v>
      </c>
      <c r="AR253" s="44">
        <f t="shared" si="52"/>
        <v>0</v>
      </c>
      <c r="AT253" s="39">
        <f t="shared" si="53"/>
        <v>0</v>
      </c>
      <c r="AU253" s="39">
        <f t="shared" si="54"/>
        <v>0</v>
      </c>
      <c r="AW253" s="45">
        <f t="shared" si="55"/>
        <v>0</v>
      </c>
      <c r="AX253" s="45">
        <f t="shared" si="56"/>
        <v>0</v>
      </c>
    </row>
    <row r="254" spans="1:50" x14ac:dyDescent="0.3">
      <c r="A254" s="32">
        <v>244</v>
      </c>
      <c r="B254" s="33"/>
      <c r="C254" s="33"/>
      <c r="D254" s="33"/>
      <c r="E254" s="33" t="s">
        <v>24</v>
      </c>
      <c r="F254" s="71" t="str">
        <f t="shared" si="57"/>
        <v>-</v>
      </c>
      <c r="G254" s="33"/>
      <c r="H254" s="33"/>
      <c r="I254" s="46"/>
      <c r="J254" s="35"/>
      <c r="K254" s="35"/>
      <c r="L254" s="36">
        <f t="shared" si="58"/>
        <v>0</v>
      </c>
      <c r="M254" s="33"/>
      <c r="AN254" s="47">
        <v>244</v>
      </c>
      <c r="AO254" s="42">
        <f t="shared" si="49"/>
        <v>0</v>
      </c>
      <c r="AP254" s="43">
        <f t="shared" si="50"/>
        <v>0</v>
      </c>
      <c r="AQ254" s="42">
        <f t="shared" si="51"/>
        <v>0</v>
      </c>
      <c r="AR254" s="44">
        <f t="shared" si="52"/>
        <v>0</v>
      </c>
      <c r="AT254" s="39">
        <f t="shared" si="53"/>
        <v>0</v>
      </c>
      <c r="AU254" s="39">
        <f t="shared" si="54"/>
        <v>0</v>
      </c>
      <c r="AW254" s="45">
        <f t="shared" si="55"/>
        <v>0</v>
      </c>
      <c r="AX254" s="45">
        <f t="shared" si="56"/>
        <v>0</v>
      </c>
    </row>
    <row r="255" spans="1:50" x14ac:dyDescent="0.3">
      <c r="A255" s="32">
        <v>245</v>
      </c>
      <c r="B255" s="33"/>
      <c r="C255" s="33"/>
      <c r="D255" s="33"/>
      <c r="E255" s="33" t="s">
        <v>24</v>
      </c>
      <c r="F255" s="71" t="str">
        <f t="shared" si="57"/>
        <v>-</v>
      </c>
      <c r="G255" s="33"/>
      <c r="H255" s="33"/>
      <c r="I255" s="46"/>
      <c r="J255" s="35"/>
      <c r="K255" s="35"/>
      <c r="L255" s="36">
        <f t="shared" si="58"/>
        <v>0</v>
      </c>
      <c r="M255" s="33"/>
      <c r="AN255" s="47">
        <v>245</v>
      </c>
      <c r="AO255" s="42">
        <f t="shared" si="49"/>
        <v>0</v>
      </c>
      <c r="AP255" s="43">
        <f t="shared" si="50"/>
        <v>0</v>
      </c>
      <c r="AQ255" s="42">
        <f t="shared" si="51"/>
        <v>0</v>
      </c>
      <c r="AR255" s="44">
        <f t="shared" si="52"/>
        <v>0</v>
      </c>
      <c r="AT255" s="39">
        <f t="shared" si="53"/>
        <v>0</v>
      </c>
      <c r="AU255" s="39">
        <f t="shared" si="54"/>
        <v>0</v>
      </c>
      <c r="AW255" s="45">
        <f t="shared" si="55"/>
        <v>0</v>
      </c>
      <c r="AX255" s="45">
        <f t="shared" si="56"/>
        <v>0</v>
      </c>
    </row>
    <row r="256" spans="1:50" x14ac:dyDescent="0.3">
      <c r="A256" s="32">
        <v>246</v>
      </c>
      <c r="B256" s="33"/>
      <c r="C256" s="33"/>
      <c r="D256" s="33"/>
      <c r="E256" s="33" t="s">
        <v>24</v>
      </c>
      <c r="F256" s="71" t="str">
        <f t="shared" si="57"/>
        <v>-</v>
      </c>
      <c r="G256" s="33"/>
      <c r="H256" s="33"/>
      <c r="I256" s="46"/>
      <c r="J256" s="35"/>
      <c r="K256" s="35"/>
      <c r="L256" s="36">
        <f t="shared" si="58"/>
        <v>0</v>
      </c>
      <c r="M256" s="33"/>
      <c r="AN256" s="47">
        <v>246</v>
      </c>
      <c r="AO256" s="42">
        <f t="shared" si="49"/>
        <v>0</v>
      </c>
      <c r="AP256" s="43">
        <f t="shared" si="50"/>
        <v>0</v>
      </c>
      <c r="AQ256" s="42">
        <f t="shared" si="51"/>
        <v>0</v>
      </c>
      <c r="AR256" s="44">
        <f t="shared" si="52"/>
        <v>0</v>
      </c>
      <c r="AT256" s="39">
        <f t="shared" si="53"/>
        <v>0</v>
      </c>
      <c r="AU256" s="39">
        <f t="shared" si="54"/>
        <v>0</v>
      </c>
      <c r="AW256" s="45">
        <f t="shared" si="55"/>
        <v>0</v>
      </c>
      <c r="AX256" s="45">
        <f t="shared" si="56"/>
        <v>0</v>
      </c>
    </row>
    <row r="257" spans="1:50" x14ac:dyDescent="0.3">
      <c r="A257" s="32">
        <v>247</v>
      </c>
      <c r="B257" s="33"/>
      <c r="C257" s="33"/>
      <c r="D257" s="33"/>
      <c r="E257" s="33" t="s">
        <v>24</v>
      </c>
      <c r="F257" s="71" t="str">
        <f t="shared" si="57"/>
        <v>-</v>
      </c>
      <c r="G257" s="33"/>
      <c r="H257" s="33"/>
      <c r="I257" s="46"/>
      <c r="J257" s="35"/>
      <c r="K257" s="35"/>
      <c r="L257" s="36">
        <f t="shared" si="58"/>
        <v>0</v>
      </c>
      <c r="M257" s="33"/>
      <c r="AN257" s="47">
        <v>247</v>
      </c>
      <c r="AO257" s="42">
        <f t="shared" si="49"/>
        <v>0</v>
      </c>
      <c r="AP257" s="43">
        <f t="shared" si="50"/>
        <v>0</v>
      </c>
      <c r="AQ257" s="42">
        <f t="shared" si="51"/>
        <v>0</v>
      </c>
      <c r="AR257" s="44">
        <f t="shared" si="52"/>
        <v>0</v>
      </c>
      <c r="AT257" s="39">
        <f t="shared" si="53"/>
        <v>0</v>
      </c>
      <c r="AU257" s="39">
        <f t="shared" si="54"/>
        <v>0</v>
      </c>
      <c r="AW257" s="45">
        <f t="shared" si="55"/>
        <v>0</v>
      </c>
      <c r="AX257" s="45">
        <f t="shared" si="56"/>
        <v>0</v>
      </c>
    </row>
    <row r="258" spans="1:50" x14ac:dyDescent="0.3">
      <c r="A258" s="32">
        <v>248</v>
      </c>
      <c r="B258" s="33"/>
      <c r="C258" s="33"/>
      <c r="D258" s="33"/>
      <c r="E258" s="33" t="s">
        <v>24</v>
      </c>
      <c r="F258" s="71" t="str">
        <f t="shared" si="57"/>
        <v>-</v>
      </c>
      <c r="G258" s="33"/>
      <c r="H258" s="33"/>
      <c r="I258" s="46"/>
      <c r="J258" s="35"/>
      <c r="K258" s="35"/>
      <c r="L258" s="36">
        <f t="shared" si="58"/>
        <v>0</v>
      </c>
      <c r="M258" s="33"/>
      <c r="AN258" s="47">
        <v>248</v>
      </c>
      <c r="AO258" s="42">
        <f t="shared" si="49"/>
        <v>0</v>
      </c>
      <c r="AP258" s="43">
        <f t="shared" si="50"/>
        <v>0</v>
      </c>
      <c r="AQ258" s="42">
        <f t="shared" si="51"/>
        <v>0</v>
      </c>
      <c r="AR258" s="44">
        <f t="shared" si="52"/>
        <v>0</v>
      </c>
      <c r="AT258" s="39">
        <f t="shared" si="53"/>
        <v>0</v>
      </c>
      <c r="AU258" s="39">
        <f t="shared" si="54"/>
        <v>0</v>
      </c>
      <c r="AW258" s="45">
        <f t="shared" si="55"/>
        <v>0</v>
      </c>
      <c r="AX258" s="45">
        <f t="shared" si="56"/>
        <v>0</v>
      </c>
    </row>
    <row r="259" spans="1:50" x14ac:dyDescent="0.3">
      <c r="A259" s="32">
        <v>249</v>
      </c>
      <c r="B259" s="33"/>
      <c r="C259" s="33"/>
      <c r="D259" s="33"/>
      <c r="E259" s="33" t="s">
        <v>24</v>
      </c>
      <c r="F259" s="71" t="str">
        <f t="shared" si="57"/>
        <v>-</v>
      </c>
      <c r="G259" s="33"/>
      <c r="H259" s="33"/>
      <c r="I259" s="46"/>
      <c r="J259" s="35"/>
      <c r="K259" s="35"/>
      <c r="L259" s="36">
        <f t="shared" si="58"/>
        <v>0</v>
      </c>
      <c r="M259" s="33"/>
      <c r="AN259" s="47">
        <v>249</v>
      </c>
      <c r="AO259" s="42">
        <f t="shared" si="49"/>
        <v>0</v>
      </c>
      <c r="AP259" s="43">
        <f t="shared" si="50"/>
        <v>0</v>
      </c>
      <c r="AQ259" s="42">
        <f t="shared" si="51"/>
        <v>0</v>
      </c>
      <c r="AR259" s="44">
        <f t="shared" si="52"/>
        <v>0</v>
      </c>
      <c r="AT259" s="39">
        <f t="shared" si="53"/>
        <v>0</v>
      </c>
      <c r="AU259" s="39">
        <f t="shared" si="54"/>
        <v>0</v>
      </c>
      <c r="AW259" s="45">
        <f t="shared" si="55"/>
        <v>0</v>
      </c>
      <c r="AX259" s="45">
        <f t="shared" si="56"/>
        <v>0</v>
      </c>
    </row>
    <row r="260" spans="1:50" x14ac:dyDescent="0.3">
      <c r="A260" s="32">
        <v>250</v>
      </c>
      <c r="B260" s="33"/>
      <c r="C260" s="33"/>
      <c r="D260" s="33"/>
      <c r="E260" s="33" t="s">
        <v>24</v>
      </c>
      <c r="F260" s="71" t="str">
        <f t="shared" si="57"/>
        <v>-</v>
      </c>
      <c r="G260" s="33"/>
      <c r="H260" s="33"/>
      <c r="I260" s="46"/>
      <c r="J260" s="35"/>
      <c r="K260" s="35"/>
      <c r="L260" s="36">
        <f t="shared" si="58"/>
        <v>0</v>
      </c>
      <c r="M260" s="33"/>
      <c r="AN260" s="47">
        <v>250</v>
      </c>
      <c r="AO260" s="42">
        <f t="shared" si="49"/>
        <v>0</v>
      </c>
      <c r="AP260" s="43">
        <f t="shared" si="50"/>
        <v>0</v>
      </c>
      <c r="AQ260" s="42">
        <f t="shared" si="51"/>
        <v>0</v>
      </c>
      <c r="AR260" s="44">
        <f t="shared" si="52"/>
        <v>0</v>
      </c>
      <c r="AT260" s="39">
        <f t="shared" si="53"/>
        <v>0</v>
      </c>
      <c r="AU260" s="39">
        <f t="shared" si="54"/>
        <v>0</v>
      </c>
      <c r="AW260" s="45">
        <f t="shared" si="55"/>
        <v>0</v>
      </c>
      <c r="AX260" s="45">
        <f t="shared" si="56"/>
        <v>0</v>
      </c>
    </row>
    <row r="261" spans="1:50" x14ac:dyDescent="0.3">
      <c r="A261" s="32">
        <v>251</v>
      </c>
      <c r="B261" s="33"/>
      <c r="C261" s="33"/>
      <c r="D261" s="33"/>
      <c r="E261" s="33" t="s">
        <v>24</v>
      </c>
      <c r="F261" s="71" t="str">
        <f t="shared" si="57"/>
        <v>-</v>
      </c>
      <c r="G261" s="33"/>
      <c r="H261" s="33"/>
      <c r="I261" s="46"/>
      <c r="J261" s="35"/>
      <c r="K261" s="35"/>
      <c r="L261" s="36">
        <f t="shared" si="58"/>
        <v>0</v>
      </c>
      <c r="M261" s="33"/>
      <c r="AN261" s="47">
        <v>251</v>
      </c>
      <c r="AO261" s="42">
        <f t="shared" si="49"/>
        <v>0</v>
      </c>
      <c r="AP261" s="43">
        <f t="shared" si="50"/>
        <v>0</v>
      </c>
      <c r="AQ261" s="42">
        <f t="shared" si="51"/>
        <v>0</v>
      </c>
      <c r="AR261" s="44">
        <f t="shared" si="52"/>
        <v>0</v>
      </c>
      <c r="AT261" s="39">
        <f t="shared" si="53"/>
        <v>0</v>
      </c>
      <c r="AU261" s="39">
        <f t="shared" si="54"/>
        <v>0</v>
      </c>
      <c r="AW261" s="45">
        <f t="shared" si="55"/>
        <v>0</v>
      </c>
      <c r="AX261" s="45">
        <f t="shared" si="56"/>
        <v>0</v>
      </c>
    </row>
    <row r="262" spans="1:50" x14ac:dyDescent="0.3">
      <c r="A262" s="32">
        <v>252</v>
      </c>
      <c r="B262" s="33"/>
      <c r="C262" s="33"/>
      <c r="D262" s="33"/>
      <c r="E262" s="33" t="s">
        <v>24</v>
      </c>
      <c r="F262" s="71" t="str">
        <f t="shared" si="57"/>
        <v>-</v>
      </c>
      <c r="G262" s="33"/>
      <c r="H262" s="33"/>
      <c r="I262" s="46"/>
      <c r="J262" s="35"/>
      <c r="K262" s="35"/>
      <c r="L262" s="36">
        <f t="shared" si="58"/>
        <v>0</v>
      </c>
      <c r="M262" s="33"/>
      <c r="AN262" s="47">
        <v>252</v>
      </c>
      <c r="AO262" s="42">
        <f t="shared" si="49"/>
        <v>0</v>
      </c>
      <c r="AP262" s="43">
        <f t="shared" si="50"/>
        <v>0</v>
      </c>
      <c r="AQ262" s="42">
        <f t="shared" si="51"/>
        <v>0</v>
      </c>
      <c r="AR262" s="44">
        <f t="shared" si="52"/>
        <v>0</v>
      </c>
      <c r="AT262" s="39">
        <f t="shared" si="53"/>
        <v>0</v>
      </c>
      <c r="AU262" s="39">
        <f t="shared" si="54"/>
        <v>0</v>
      </c>
      <c r="AW262" s="45">
        <f t="shared" si="55"/>
        <v>0</v>
      </c>
      <c r="AX262" s="45">
        <f t="shared" si="56"/>
        <v>0</v>
      </c>
    </row>
    <row r="263" spans="1:50" x14ac:dyDescent="0.3">
      <c r="A263" s="32">
        <v>253</v>
      </c>
      <c r="B263" s="33"/>
      <c r="C263" s="33"/>
      <c r="D263" s="33"/>
      <c r="E263" s="33" t="s">
        <v>24</v>
      </c>
      <c r="F263" s="71" t="str">
        <f t="shared" si="57"/>
        <v>-</v>
      </c>
      <c r="G263" s="33"/>
      <c r="H263" s="33"/>
      <c r="I263" s="46"/>
      <c r="J263" s="35"/>
      <c r="K263" s="35"/>
      <c r="L263" s="36">
        <f t="shared" si="58"/>
        <v>0</v>
      </c>
      <c r="M263" s="33"/>
      <c r="AN263" s="47">
        <v>253</v>
      </c>
      <c r="AO263" s="42">
        <f t="shared" si="49"/>
        <v>0</v>
      </c>
      <c r="AP263" s="43">
        <f t="shared" si="50"/>
        <v>0</v>
      </c>
      <c r="AQ263" s="42">
        <f t="shared" si="51"/>
        <v>0</v>
      </c>
      <c r="AR263" s="44">
        <f t="shared" si="52"/>
        <v>0</v>
      </c>
      <c r="AT263" s="39">
        <f t="shared" si="53"/>
        <v>0</v>
      </c>
      <c r="AU263" s="39">
        <f t="shared" si="54"/>
        <v>0</v>
      </c>
      <c r="AW263" s="45">
        <f t="shared" si="55"/>
        <v>0</v>
      </c>
      <c r="AX263" s="45">
        <f t="shared" si="56"/>
        <v>0</v>
      </c>
    </row>
    <row r="264" spans="1:50" x14ac:dyDescent="0.3">
      <c r="A264" s="32">
        <v>254</v>
      </c>
      <c r="B264" s="33"/>
      <c r="C264" s="33"/>
      <c r="D264" s="33"/>
      <c r="E264" s="33" t="s">
        <v>24</v>
      </c>
      <c r="F264" s="71" t="str">
        <f t="shared" si="57"/>
        <v>-</v>
      </c>
      <c r="G264" s="33"/>
      <c r="H264" s="33"/>
      <c r="I264" s="46"/>
      <c r="J264" s="35"/>
      <c r="K264" s="35"/>
      <c r="L264" s="36">
        <f t="shared" si="58"/>
        <v>0</v>
      </c>
      <c r="M264" s="33"/>
      <c r="AN264" s="47">
        <v>254</v>
      </c>
      <c r="AO264" s="42">
        <f t="shared" si="49"/>
        <v>0</v>
      </c>
      <c r="AP264" s="43">
        <f t="shared" si="50"/>
        <v>0</v>
      </c>
      <c r="AQ264" s="42">
        <f t="shared" si="51"/>
        <v>0</v>
      </c>
      <c r="AR264" s="44">
        <f t="shared" si="52"/>
        <v>0</v>
      </c>
      <c r="AT264" s="39">
        <f t="shared" si="53"/>
        <v>0</v>
      </c>
      <c r="AU264" s="39">
        <f t="shared" si="54"/>
        <v>0</v>
      </c>
      <c r="AW264" s="45">
        <f t="shared" si="55"/>
        <v>0</v>
      </c>
      <c r="AX264" s="45">
        <f t="shared" si="56"/>
        <v>0</v>
      </c>
    </row>
    <row r="265" spans="1:50" x14ac:dyDescent="0.3">
      <c r="A265" s="32">
        <v>255</v>
      </c>
      <c r="B265" s="33"/>
      <c r="C265" s="33"/>
      <c r="D265" s="33"/>
      <c r="E265" s="33" t="s">
        <v>24</v>
      </c>
      <c r="F265" s="71" t="str">
        <f t="shared" si="57"/>
        <v>-</v>
      </c>
      <c r="G265" s="33"/>
      <c r="H265" s="33"/>
      <c r="I265" s="46"/>
      <c r="J265" s="35"/>
      <c r="K265" s="35"/>
      <c r="L265" s="36">
        <f t="shared" si="58"/>
        <v>0</v>
      </c>
      <c r="M265" s="33"/>
      <c r="AN265" s="47">
        <v>255</v>
      </c>
      <c r="AO265" s="42">
        <f t="shared" si="49"/>
        <v>0</v>
      </c>
      <c r="AP265" s="43">
        <f t="shared" si="50"/>
        <v>0</v>
      </c>
      <c r="AQ265" s="42">
        <f t="shared" si="51"/>
        <v>0</v>
      </c>
      <c r="AR265" s="44">
        <f t="shared" si="52"/>
        <v>0</v>
      </c>
      <c r="AT265" s="39">
        <f t="shared" si="53"/>
        <v>0</v>
      </c>
      <c r="AU265" s="39">
        <f t="shared" si="54"/>
        <v>0</v>
      </c>
      <c r="AW265" s="45">
        <f t="shared" si="55"/>
        <v>0</v>
      </c>
      <c r="AX265" s="45">
        <f t="shared" si="56"/>
        <v>0</v>
      </c>
    </row>
    <row r="266" spans="1:50" x14ac:dyDescent="0.3">
      <c r="A266" s="32">
        <v>256</v>
      </c>
      <c r="B266" s="33"/>
      <c r="C266" s="33"/>
      <c r="D266" s="33"/>
      <c r="E266" s="33" t="s">
        <v>24</v>
      </c>
      <c r="F266" s="71" t="str">
        <f t="shared" si="57"/>
        <v>-</v>
      </c>
      <c r="G266" s="33"/>
      <c r="H266" s="33"/>
      <c r="I266" s="46"/>
      <c r="J266" s="35"/>
      <c r="K266" s="35"/>
      <c r="L266" s="36">
        <f t="shared" si="58"/>
        <v>0</v>
      </c>
      <c r="M266" s="33"/>
      <c r="AN266" s="47">
        <v>256</v>
      </c>
      <c r="AO266" s="42">
        <f t="shared" si="49"/>
        <v>0</v>
      </c>
      <c r="AP266" s="43">
        <f t="shared" si="50"/>
        <v>0</v>
      </c>
      <c r="AQ266" s="42">
        <f t="shared" si="51"/>
        <v>0</v>
      </c>
      <c r="AR266" s="44">
        <f t="shared" si="52"/>
        <v>0</v>
      </c>
      <c r="AT266" s="39">
        <f t="shared" si="53"/>
        <v>0</v>
      </c>
      <c r="AU266" s="39">
        <f t="shared" si="54"/>
        <v>0</v>
      </c>
      <c r="AW266" s="45">
        <f t="shared" si="55"/>
        <v>0</v>
      </c>
      <c r="AX266" s="45">
        <f t="shared" si="56"/>
        <v>0</v>
      </c>
    </row>
    <row r="267" spans="1:50" x14ac:dyDescent="0.3">
      <c r="A267" s="32">
        <v>257</v>
      </c>
      <c r="B267" s="33"/>
      <c r="C267" s="33"/>
      <c r="D267" s="33"/>
      <c r="E267" s="33" t="s">
        <v>24</v>
      </c>
      <c r="F267" s="71" t="str">
        <f t="shared" si="57"/>
        <v>-</v>
      </c>
      <c r="G267" s="33"/>
      <c r="H267" s="33"/>
      <c r="I267" s="46"/>
      <c r="J267" s="35"/>
      <c r="K267" s="35"/>
      <c r="L267" s="36">
        <f t="shared" si="58"/>
        <v>0</v>
      </c>
      <c r="M267" s="33"/>
      <c r="AN267" s="47">
        <v>257</v>
      </c>
      <c r="AO267" s="42">
        <f t="shared" si="49"/>
        <v>0</v>
      </c>
      <c r="AP267" s="43">
        <f t="shared" si="50"/>
        <v>0</v>
      </c>
      <c r="AQ267" s="42">
        <f t="shared" si="51"/>
        <v>0</v>
      </c>
      <c r="AR267" s="44">
        <f t="shared" si="52"/>
        <v>0</v>
      </c>
      <c r="AT267" s="39">
        <f t="shared" si="53"/>
        <v>0</v>
      </c>
      <c r="AU267" s="39">
        <f t="shared" si="54"/>
        <v>0</v>
      </c>
      <c r="AW267" s="45">
        <f t="shared" si="55"/>
        <v>0</v>
      </c>
      <c r="AX267" s="45">
        <f t="shared" si="56"/>
        <v>0</v>
      </c>
    </row>
    <row r="268" spans="1:50" x14ac:dyDescent="0.3">
      <c r="A268" s="32">
        <v>258</v>
      </c>
      <c r="B268" s="33"/>
      <c r="C268" s="33"/>
      <c r="D268" s="33"/>
      <c r="E268" s="33" t="s">
        <v>24</v>
      </c>
      <c r="F268" s="71" t="str">
        <f t="shared" si="57"/>
        <v>-</v>
      </c>
      <c r="G268" s="33"/>
      <c r="H268" s="33"/>
      <c r="I268" s="46"/>
      <c r="J268" s="35"/>
      <c r="K268" s="35"/>
      <c r="L268" s="36">
        <f t="shared" si="58"/>
        <v>0</v>
      </c>
      <c r="M268" s="33"/>
      <c r="AN268" s="47">
        <v>258</v>
      </c>
      <c r="AO268" s="42">
        <f t="shared" si="49"/>
        <v>0</v>
      </c>
      <c r="AP268" s="43">
        <f t="shared" si="50"/>
        <v>0</v>
      </c>
      <c r="AQ268" s="42">
        <f t="shared" si="51"/>
        <v>0</v>
      </c>
      <c r="AR268" s="44">
        <f t="shared" si="52"/>
        <v>0</v>
      </c>
      <c r="AT268" s="39">
        <f t="shared" si="53"/>
        <v>0</v>
      </c>
      <c r="AU268" s="39">
        <f t="shared" si="54"/>
        <v>0</v>
      </c>
      <c r="AW268" s="45">
        <f t="shared" si="55"/>
        <v>0</v>
      </c>
      <c r="AX268" s="45">
        <f t="shared" si="56"/>
        <v>0</v>
      </c>
    </row>
    <row r="269" spans="1:50" x14ac:dyDescent="0.3">
      <c r="A269" s="32">
        <v>259</v>
      </c>
      <c r="B269" s="33"/>
      <c r="C269" s="33"/>
      <c r="D269" s="33"/>
      <c r="E269" s="33" t="s">
        <v>24</v>
      </c>
      <c r="F269" s="71" t="str">
        <f t="shared" si="57"/>
        <v>-</v>
      </c>
      <c r="G269" s="33"/>
      <c r="H269" s="33"/>
      <c r="I269" s="46"/>
      <c r="J269" s="35"/>
      <c r="K269" s="35"/>
      <c r="L269" s="36">
        <f t="shared" si="58"/>
        <v>0</v>
      </c>
      <c r="M269" s="33"/>
      <c r="AN269" s="47">
        <v>259</v>
      </c>
      <c r="AO269" s="42">
        <f t="shared" si="49"/>
        <v>0</v>
      </c>
      <c r="AP269" s="43">
        <f t="shared" si="50"/>
        <v>0</v>
      </c>
      <c r="AQ269" s="42">
        <f t="shared" si="51"/>
        <v>0</v>
      </c>
      <c r="AR269" s="44">
        <f t="shared" si="52"/>
        <v>0</v>
      </c>
      <c r="AT269" s="39">
        <f t="shared" si="53"/>
        <v>0</v>
      </c>
      <c r="AU269" s="39">
        <f t="shared" si="54"/>
        <v>0</v>
      </c>
      <c r="AW269" s="45">
        <f t="shared" si="55"/>
        <v>0</v>
      </c>
      <c r="AX269" s="45">
        <f t="shared" si="56"/>
        <v>0</v>
      </c>
    </row>
    <row r="270" spans="1:50" x14ac:dyDescent="0.3">
      <c r="A270" s="32">
        <v>260</v>
      </c>
      <c r="B270" s="33"/>
      <c r="C270" s="33"/>
      <c r="D270" s="33"/>
      <c r="E270" s="33" t="s">
        <v>24</v>
      </c>
      <c r="F270" s="71" t="str">
        <f t="shared" si="57"/>
        <v>-</v>
      </c>
      <c r="G270" s="33"/>
      <c r="H270" s="33"/>
      <c r="I270" s="46"/>
      <c r="J270" s="35"/>
      <c r="K270" s="35"/>
      <c r="L270" s="36">
        <f t="shared" si="58"/>
        <v>0</v>
      </c>
      <c r="M270" s="33"/>
      <c r="AN270" s="47">
        <v>260</v>
      </c>
      <c r="AO270" s="42">
        <f t="shared" si="49"/>
        <v>0</v>
      </c>
      <c r="AP270" s="43">
        <f t="shared" si="50"/>
        <v>0</v>
      </c>
      <c r="AQ270" s="42">
        <f t="shared" si="51"/>
        <v>0</v>
      </c>
      <c r="AR270" s="44">
        <f t="shared" si="52"/>
        <v>0</v>
      </c>
      <c r="AT270" s="39">
        <f t="shared" si="53"/>
        <v>0</v>
      </c>
      <c r="AU270" s="39">
        <f t="shared" si="54"/>
        <v>0</v>
      </c>
      <c r="AW270" s="45">
        <f t="shared" si="55"/>
        <v>0</v>
      </c>
      <c r="AX270" s="45">
        <f t="shared" si="56"/>
        <v>0</v>
      </c>
    </row>
    <row r="271" spans="1:50" x14ac:dyDescent="0.3">
      <c r="A271" s="32">
        <v>261</v>
      </c>
      <c r="B271" s="33"/>
      <c r="C271" s="33"/>
      <c r="D271" s="33"/>
      <c r="E271" s="33" t="s">
        <v>24</v>
      </c>
      <c r="F271" s="71" t="str">
        <f t="shared" si="57"/>
        <v>-</v>
      </c>
      <c r="G271" s="33"/>
      <c r="H271" s="33"/>
      <c r="I271" s="46"/>
      <c r="J271" s="35"/>
      <c r="K271" s="35"/>
      <c r="L271" s="36">
        <f t="shared" si="58"/>
        <v>0</v>
      </c>
      <c r="M271" s="33"/>
      <c r="AN271" s="47">
        <v>261</v>
      </c>
      <c r="AO271" s="42">
        <f t="shared" ref="AO271:AO334" si="59">I271+(I271*J271)+(I271*K271)</f>
        <v>0</v>
      </c>
      <c r="AP271" s="43">
        <f t="shared" ref="AP271:AP334" si="60">IFERROR(VLOOKUP(E271,$AE$11:$AK$14,4,0),0)</f>
        <v>0</v>
      </c>
      <c r="AQ271" s="42">
        <f t="shared" ref="AQ271:AQ334" si="61">(I271+(I271*J271)+(I271*K271))*AP271</f>
        <v>0</v>
      </c>
      <c r="AR271" s="44">
        <f t="shared" ref="AR271:AR334" si="62">AO271+AQ271</f>
        <v>0</v>
      </c>
      <c r="AT271" s="39">
        <f t="shared" ref="AT271:AT334" si="63">IFERROR((VLOOKUP(E271,$AE$11:$AJ$14,5,0)),0)</f>
        <v>0</v>
      </c>
      <c r="AU271" s="39">
        <f t="shared" ref="AU271:AU334" si="64">IFERROR((VLOOKUP(E271,$AE$11:$AJ$14,6,0)),0)</f>
        <v>0</v>
      </c>
      <c r="AW271" s="45">
        <f t="shared" ref="AW271:AW334" si="65">AR271*AT271</f>
        <v>0</v>
      </c>
      <c r="AX271" s="45">
        <f t="shared" ref="AX271:AX334" si="66">AR271*AU271</f>
        <v>0</v>
      </c>
    </row>
    <row r="272" spans="1:50" x14ac:dyDescent="0.3">
      <c r="A272" s="32">
        <v>262</v>
      </c>
      <c r="B272" s="33"/>
      <c r="C272" s="33"/>
      <c r="D272" s="33"/>
      <c r="E272" s="33" t="s">
        <v>24</v>
      </c>
      <c r="F272" s="71" t="str">
        <f t="shared" si="57"/>
        <v>-</v>
      </c>
      <c r="G272" s="33"/>
      <c r="H272" s="33"/>
      <c r="I272" s="46"/>
      <c r="J272" s="35"/>
      <c r="K272" s="35"/>
      <c r="L272" s="36">
        <f t="shared" si="58"/>
        <v>0</v>
      </c>
      <c r="M272" s="33"/>
      <c r="AN272" s="47">
        <v>262</v>
      </c>
      <c r="AO272" s="42">
        <f t="shared" si="59"/>
        <v>0</v>
      </c>
      <c r="AP272" s="43">
        <f t="shared" si="60"/>
        <v>0</v>
      </c>
      <c r="AQ272" s="42">
        <f t="shared" si="61"/>
        <v>0</v>
      </c>
      <c r="AR272" s="44">
        <f t="shared" si="62"/>
        <v>0</v>
      </c>
      <c r="AT272" s="39">
        <f t="shared" si="63"/>
        <v>0</v>
      </c>
      <c r="AU272" s="39">
        <f t="shared" si="64"/>
        <v>0</v>
      </c>
      <c r="AW272" s="45">
        <f t="shared" si="65"/>
        <v>0</v>
      </c>
      <c r="AX272" s="45">
        <f t="shared" si="66"/>
        <v>0</v>
      </c>
    </row>
    <row r="273" spans="1:50" x14ac:dyDescent="0.3">
      <c r="A273" s="32">
        <v>263</v>
      </c>
      <c r="B273" s="33"/>
      <c r="C273" s="33"/>
      <c r="D273" s="33"/>
      <c r="E273" s="33" t="s">
        <v>24</v>
      </c>
      <c r="F273" s="71" t="str">
        <f t="shared" si="57"/>
        <v>-</v>
      </c>
      <c r="G273" s="33"/>
      <c r="H273" s="33"/>
      <c r="I273" s="46"/>
      <c r="J273" s="35"/>
      <c r="K273" s="35"/>
      <c r="L273" s="36">
        <f t="shared" si="58"/>
        <v>0</v>
      </c>
      <c r="M273" s="33"/>
      <c r="AN273" s="47">
        <v>263</v>
      </c>
      <c r="AO273" s="42">
        <f t="shared" si="59"/>
        <v>0</v>
      </c>
      <c r="AP273" s="43">
        <f t="shared" si="60"/>
        <v>0</v>
      </c>
      <c r="AQ273" s="42">
        <f t="shared" si="61"/>
        <v>0</v>
      </c>
      <c r="AR273" s="44">
        <f t="shared" si="62"/>
        <v>0</v>
      </c>
      <c r="AT273" s="39">
        <f t="shared" si="63"/>
        <v>0</v>
      </c>
      <c r="AU273" s="39">
        <f t="shared" si="64"/>
        <v>0</v>
      </c>
      <c r="AW273" s="45">
        <f t="shared" si="65"/>
        <v>0</v>
      </c>
      <c r="AX273" s="45">
        <f t="shared" si="66"/>
        <v>0</v>
      </c>
    </row>
    <row r="274" spans="1:50" x14ac:dyDescent="0.3">
      <c r="A274" s="32">
        <v>264</v>
      </c>
      <c r="B274" s="33"/>
      <c r="C274" s="33"/>
      <c r="D274" s="33"/>
      <c r="E274" s="33" t="s">
        <v>24</v>
      </c>
      <c r="F274" s="71" t="str">
        <f t="shared" si="57"/>
        <v>-</v>
      </c>
      <c r="G274" s="33"/>
      <c r="H274" s="33"/>
      <c r="I274" s="46"/>
      <c r="J274" s="35"/>
      <c r="K274" s="35"/>
      <c r="L274" s="36">
        <f t="shared" si="58"/>
        <v>0</v>
      </c>
      <c r="M274" s="33"/>
      <c r="AN274" s="47">
        <v>264</v>
      </c>
      <c r="AO274" s="42">
        <f t="shared" si="59"/>
        <v>0</v>
      </c>
      <c r="AP274" s="43">
        <f t="shared" si="60"/>
        <v>0</v>
      </c>
      <c r="AQ274" s="42">
        <f t="shared" si="61"/>
        <v>0</v>
      </c>
      <c r="AR274" s="44">
        <f t="shared" si="62"/>
        <v>0</v>
      </c>
      <c r="AT274" s="39">
        <f t="shared" si="63"/>
        <v>0</v>
      </c>
      <c r="AU274" s="39">
        <f t="shared" si="64"/>
        <v>0</v>
      </c>
      <c r="AW274" s="45">
        <f t="shared" si="65"/>
        <v>0</v>
      </c>
      <c r="AX274" s="45">
        <f t="shared" si="66"/>
        <v>0</v>
      </c>
    </row>
    <row r="275" spans="1:50" x14ac:dyDescent="0.3">
      <c r="A275" s="32">
        <v>265</v>
      </c>
      <c r="B275" s="33"/>
      <c r="C275" s="33"/>
      <c r="D275" s="33"/>
      <c r="E275" s="33" t="s">
        <v>24</v>
      </c>
      <c r="F275" s="71" t="str">
        <f t="shared" si="57"/>
        <v>-</v>
      </c>
      <c r="G275" s="33"/>
      <c r="H275" s="33"/>
      <c r="I275" s="46"/>
      <c r="J275" s="35"/>
      <c r="K275" s="35"/>
      <c r="L275" s="36">
        <f t="shared" si="58"/>
        <v>0</v>
      </c>
      <c r="M275" s="33"/>
      <c r="AN275" s="47">
        <v>265</v>
      </c>
      <c r="AO275" s="42">
        <f t="shared" si="59"/>
        <v>0</v>
      </c>
      <c r="AP275" s="43">
        <f t="shared" si="60"/>
        <v>0</v>
      </c>
      <c r="AQ275" s="42">
        <f t="shared" si="61"/>
        <v>0</v>
      </c>
      <c r="AR275" s="44">
        <f t="shared" si="62"/>
        <v>0</v>
      </c>
      <c r="AT275" s="39">
        <f t="shared" si="63"/>
        <v>0</v>
      </c>
      <c r="AU275" s="39">
        <f t="shared" si="64"/>
        <v>0</v>
      </c>
      <c r="AW275" s="45">
        <f t="shared" si="65"/>
        <v>0</v>
      </c>
      <c r="AX275" s="45">
        <f t="shared" si="66"/>
        <v>0</v>
      </c>
    </row>
    <row r="276" spans="1:50" x14ac:dyDescent="0.3">
      <c r="A276" s="32">
        <v>266</v>
      </c>
      <c r="B276" s="33"/>
      <c r="C276" s="33"/>
      <c r="D276" s="33"/>
      <c r="E276" s="33" t="s">
        <v>24</v>
      </c>
      <c r="F276" s="71" t="str">
        <f t="shared" si="57"/>
        <v>-</v>
      </c>
      <c r="G276" s="33"/>
      <c r="H276" s="33"/>
      <c r="I276" s="46"/>
      <c r="J276" s="35"/>
      <c r="K276" s="35"/>
      <c r="L276" s="36">
        <f t="shared" si="58"/>
        <v>0</v>
      </c>
      <c r="M276" s="33"/>
      <c r="AN276" s="47">
        <v>266</v>
      </c>
      <c r="AO276" s="42">
        <f t="shared" si="59"/>
        <v>0</v>
      </c>
      <c r="AP276" s="43">
        <f t="shared" si="60"/>
        <v>0</v>
      </c>
      <c r="AQ276" s="42">
        <f t="shared" si="61"/>
        <v>0</v>
      </c>
      <c r="AR276" s="44">
        <f t="shared" si="62"/>
        <v>0</v>
      </c>
      <c r="AT276" s="39">
        <f t="shared" si="63"/>
        <v>0</v>
      </c>
      <c r="AU276" s="39">
        <f t="shared" si="64"/>
        <v>0</v>
      </c>
      <c r="AW276" s="45">
        <f t="shared" si="65"/>
        <v>0</v>
      </c>
      <c r="AX276" s="45">
        <f t="shared" si="66"/>
        <v>0</v>
      </c>
    </row>
    <row r="277" spans="1:50" x14ac:dyDescent="0.3">
      <c r="A277" s="32">
        <v>267</v>
      </c>
      <c r="B277" s="33"/>
      <c r="C277" s="33"/>
      <c r="D277" s="33"/>
      <c r="E277" s="33" t="s">
        <v>24</v>
      </c>
      <c r="F277" s="71" t="str">
        <f t="shared" si="57"/>
        <v>-</v>
      </c>
      <c r="G277" s="33"/>
      <c r="H277" s="33"/>
      <c r="I277" s="46"/>
      <c r="J277" s="35"/>
      <c r="K277" s="35"/>
      <c r="L277" s="36">
        <f t="shared" si="58"/>
        <v>0</v>
      </c>
      <c r="M277" s="33"/>
      <c r="AN277" s="47">
        <v>267</v>
      </c>
      <c r="AO277" s="42">
        <f t="shared" si="59"/>
        <v>0</v>
      </c>
      <c r="AP277" s="43">
        <f t="shared" si="60"/>
        <v>0</v>
      </c>
      <c r="AQ277" s="42">
        <f t="shared" si="61"/>
        <v>0</v>
      </c>
      <c r="AR277" s="44">
        <f t="shared" si="62"/>
        <v>0</v>
      </c>
      <c r="AT277" s="39">
        <f t="shared" si="63"/>
        <v>0</v>
      </c>
      <c r="AU277" s="39">
        <f t="shared" si="64"/>
        <v>0</v>
      </c>
      <c r="AW277" s="45">
        <f t="shared" si="65"/>
        <v>0</v>
      </c>
      <c r="AX277" s="45">
        <f t="shared" si="66"/>
        <v>0</v>
      </c>
    </row>
    <row r="278" spans="1:50" x14ac:dyDescent="0.3">
      <c r="A278" s="32">
        <v>268</v>
      </c>
      <c r="B278" s="33"/>
      <c r="C278" s="33"/>
      <c r="D278" s="33"/>
      <c r="E278" s="33" t="s">
        <v>24</v>
      </c>
      <c r="F278" s="71" t="str">
        <f t="shared" si="57"/>
        <v>-</v>
      </c>
      <c r="G278" s="33"/>
      <c r="H278" s="33"/>
      <c r="I278" s="46"/>
      <c r="J278" s="35"/>
      <c r="K278" s="35"/>
      <c r="L278" s="36">
        <f t="shared" si="58"/>
        <v>0</v>
      </c>
      <c r="M278" s="33"/>
      <c r="AN278" s="47">
        <v>268</v>
      </c>
      <c r="AO278" s="42">
        <f t="shared" si="59"/>
        <v>0</v>
      </c>
      <c r="AP278" s="43">
        <f t="shared" si="60"/>
        <v>0</v>
      </c>
      <c r="AQ278" s="42">
        <f t="shared" si="61"/>
        <v>0</v>
      </c>
      <c r="AR278" s="44">
        <f t="shared" si="62"/>
        <v>0</v>
      </c>
      <c r="AT278" s="39">
        <f t="shared" si="63"/>
        <v>0</v>
      </c>
      <c r="AU278" s="39">
        <f t="shared" si="64"/>
        <v>0</v>
      </c>
      <c r="AW278" s="45">
        <f t="shared" si="65"/>
        <v>0</v>
      </c>
      <c r="AX278" s="45">
        <f t="shared" si="66"/>
        <v>0</v>
      </c>
    </row>
    <row r="279" spans="1:50" x14ac:dyDescent="0.3">
      <c r="A279" s="32">
        <v>269</v>
      </c>
      <c r="B279" s="33"/>
      <c r="C279" s="33"/>
      <c r="D279" s="33"/>
      <c r="E279" s="33" t="s">
        <v>24</v>
      </c>
      <c r="F279" s="71" t="str">
        <f t="shared" si="57"/>
        <v>-</v>
      </c>
      <c r="G279" s="33"/>
      <c r="H279" s="33"/>
      <c r="I279" s="46"/>
      <c r="J279" s="35"/>
      <c r="K279" s="35"/>
      <c r="L279" s="36">
        <f t="shared" si="58"/>
        <v>0</v>
      </c>
      <c r="M279" s="33"/>
      <c r="AN279" s="47">
        <v>269</v>
      </c>
      <c r="AO279" s="42">
        <f t="shared" si="59"/>
        <v>0</v>
      </c>
      <c r="AP279" s="43">
        <f t="shared" si="60"/>
        <v>0</v>
      </c>
      <c r="AQ279" s="42">
        <f t="shared" si="61"/>
        <v>0</v>
      </c>
      <c r="AR279" s="44">
        <f t="shared" si="62"/>
        <v>0</v>
      </c>
      <c r="AT279" s="39">
        <f t="shared" si="63"/>
        <v>0</v>
      </c>
      <c r="AU279" s="39">
        <f t="shared" si="64"/>
        <v>0</v>
      </c>
      <c r="AW279" s="45">
        <f t="shared" si="65"/>
        <v>0</v>
      </c>
      <c r="AX279" s="45">
        <f t="shared" si="66"/>
        <v>0</v>
      </c>
    </row>
    <row r="280" spans="1:50" x14ac:dyDescent="0.3">
      <c r="A280" s="32">
        <v>270</v>
      </c>
      <c r="B280" s="33"/>
      <c r="C280" s="33"/>
      <c r="D280" s="33"/>
      <c r="E280" s="33" t="s">
        <v>24</v>
      </c>
      <c r="F280" s="71" t="str">
        <f t="shared" si="57"/>
        <v>-</v>
      </c>
      <c r="G280" s="33"/>
      <c r="H280" s="33"/>
      <c r="I280" s="46"/>
      <c r="J280" s="35"/>
      <c r="K280" s="35"/>
      <c r="L280" s="36">
        <f t="shared" si="58"/>
        <v>0</v>
      </c>
      <c r="M280" s="33"/>
      <c r="AN280" s="47">
        <v>270</v>
      </c>
      <c r="AO280" s="42">
        <f t="shared" si="59"/>
        <v>0</v>
      </c>
      <c r="AP280" s="43">
        <f t="shared" si="60"/>
        <v>0</v>
      </c>
      <c r="AQ280" s="42">
        <f t="shared" si="61"/>
        <v>0</v>
      </c>
      <c r="AR280" s="44">
        <f t="shared" si="62"/>
        <v>0</v>
      </c>
      <c r="AT280" s="39">
        <f t="shared" si="63"/>
        <v>0</v>
      </c>
      <c r="AU280" s="39">
        <f t="shared" si="64"/>
        <v>0</v>
      </c>
      <c r="AW280" s="45">
        <f t="shared" si="65"/>
        <v>0</v>
      </c>
      <c r="AX280" s="45">
        <f t="shared" si="66"/>
        <v>0</v>
      </c>
    </row>
    <row r="281" spans="1:50" x14ac:dyDescent="0.3">
      <c r="A281" s="32">
        <v>271</v>
      </c>
      <c r="B281" s="33"/>
      <c r="C281" s="33"/>
      <c r="D281" s="33"/>
      <c r="E281" s="33" t="s">
        <v>24</v>
      </c>
      <c r="F281" s="71" t="str">
        <f t="shared" si="57"/>
        <v>-</v>
      </c>
      <c r="G281" s="33"/>
      <c r="H281" s="33"/>
      <c r="I281" s="46"/>
      <c r="J281" s="35"/>
      <c r="K281" s="35"/>
      <c r="L281" s="36">
        <f t="shared" si="58"/>
        <v>0</v>
      </c>
      <c r="M281" s="33"/>
      <c r="AN281" s="47">
        <v>271</v>
      </c>
      <c r="AO281" s="42">
        <f t="shared" si="59"/>
        <v>0</v>
      </c>
      <c r="AP281" s="43">
        <f t="shared" si="60"/>
        <v>0</v>
      </c>
      <c r="AQ281" s="42">
        <f t="shared" si="61"/>
        <v>0</v>
      </c>
      <c r="AR281" s="44">
        <f t="shared" si="62"/>
        <v>0</v>
      </c>
      <c r="AT281" s="39">
        <f t="shared" si="63"/>
        <v>0</v>
      </c>
      <c r="AU281" s="39">
        <f t="shared" si="64"/>
        <v>0</v>
      </c>
      <c r="AW281" s="45">
        <f t="shared" si="65"/>
        <v>0</v>
      </c>
      <c r="AX281" s="45">
        <f t="shared" si="66"/>
        <v>0</v>
      </c>
    </row>
    <row r="282" spans="1:50" x14ac:dyDescent="0.3">
      <c r="A282" s="32">
        <v>272</v>
      </c>
      <c r="B282" s="33"/>
      <c r="C282" s="33"/>
      <c r="D282" s="33"/>
      <c r="E282" s="33" t="s">
        <v>24</v>
      </c>
      <c r="F282" s="71" t="str">
        <f t="shared" si="57"/>
        <v>-</v>
      </c>
      <c r="G282" s="33"/>
      <c r="H282" s="33"/>
      <c r="I282" s="46"/>
      <c r="J282" s="35"/>
      <c r="K282" s="35"/>
      <c r="L282" s="36">
        <f t="shared" si="58"/>
        <v>0</v>
      </c>
      <c r="M282" s="33"/>
      <c r="AN282" s="47">
        <v>272</v>
      </c>
      <c r="AO282" s="42">
        <f t="shared" si="59"/>
        <v>0</v>
      </c>
      <c r="AP282" s="43">
        <f t="shared" si="60"/>
        <v>0</v>
      </c>
      <c r="AQ282" s="42">
        <f t="shared" si="61"/>
        <v>0</v>
      </c>
      <c r="AR282" s="44">
        <f t="shared" si="62"/>
        <v>0</v>
      </c>
      <c r="AT282" s="39">
        <f t="shared" si="63"/>
        <v>0</v>
      </c>
      <c r="AU282" s="39">
        <f t="shared" si="64"/>
        <v>0</v>
      </c>
      <c r="AW282" s="45">
        <f t="shared" si="65"/>
        <v>0</v>
      </c>
      <c r="AX282" s="45">
        <f t="shared" si="66"/>
        <v>0</v>
      </c>
    </row>
    <row r="283" spans="1:50" x14ac:dyDescent="0.3">
      <c r="A283" s="32">
        <v>273</v>
      </c>
      <c r="B283" s="33"/>
      <c r="C283" s="33"/>
      <c r="D283" s="33"/>
      <c r="E283" s="33" t="s">
        <v>24</v>
      </c>
      <c r="F283" s="71" t="str">
        <f t="shared" si="57"/>
        <v>-</v>
      </c>
      <c r="G283" s="33"/>
      <c r="H283" s="33"/>
      <c r="I283" s="46"/>
      <c r="J283" s="35"/>
      <c r="K283" s="35"/>
      <c r="L283" s="36">
        <f t="shared" si="58"/>
        <v>0</v>
      </c>
      <c r="M283" s="33"/>
      <c r="AN283" s="47">
        <v>273</v>
      </c>
      <c r="AO283" s="42">
        <f t="shared" si="59"/>
        <v>0</v>
      </c>
      <c r="AP283" s="43">
        <f t="shared" si="60"/>
        <v>0</v>
      </c>
      <c r="AQ283" s="42">
        <f t="shared" si="61"/>
        <v>0</v>
      </c>
      <c r="AR283" s="44">
        <f t="shared" si="62"/>
        <v>0</v>
      </c>
      <c r="AT283" s="39">
        <f t="shared" si="63"/>
        <v>0</v>
      </c>
      <c r="AU283" s="39">
        <f t="shared" si="64"/>
        <v>0</v>
      </c>
      <c r="AW283" s="45">
        <f t="shared" si="65"/>
        <v>0</v>
      </c>
      <c r="AX283" s="45">
        <f t="shared" si="66"/>
        <v>0</v>
      </c>
    </row>
    <row r="284" spans="1:50" x14ac:dyDescent="0.3">
      <c r="A284" s="32">
        <v>274</v>
      </c>
      <c r="B284" s="33"/>
      <c r="C284" s="33"/>
      <c r="D284" s="33"/>
      <c r="E284" s="33" t="s">
        <v>24</v>
      </c>
      <c r="F284" s="71" t="str">
        <f t="shared" si="57"/>
        <v>-</v>
      </c>
      <c r="G284" s="33"/>
      <c r="H284" s="33"/>
      <c r="I284" s="46"/>
      <c r="J284" s="35"/>
      <c r="K284" s="35"/>
      <c r="L284" s="36">
        <f t="shared" si="58"/>
        <v>0</v>
      </c>
      <c r="M284" s="33"/>
      <c r="AN284" s="47">
        <v>274</v>
      </c>
      <c r="AO284" s="42">
        <f t="shared" si="59"/>
        <v>0</v>
      </c>
      <c r="AP284" s="43">
        <f t="shared" si="60"/>
        <v>0</v>
      </c>
      <c r="AQ284" s="42">
        <f t="shared" si="61"/>
        <v>0</v>
      </c>
      <c r="AR284" s="44">
        <f t="shared" si="62"/>
        <v>0</v>
      </c>
      <c r="AT284" s="39">
        <f t="shared" si="63"/>
        <v>0</v>
      </c>
      <c r="AU284" s="39">
        <f t="shared" si="64"/>
        <v>0</v>
      </c>
      <c r="AW284" s="45">
        <f t="shared" si="65"/>
        <v>0</v>
      </c>
      <c r="AX284" s="45">
        <f t="shared" si="66"/>
        <v>0</v>
      </c>
    </row>
    <row r="285" spans="1:50" x14ac:dyDescent="0.3">
      <c r="A285" s="32">
        <v>275</v>
      </c>
      <c r="B285" s="33"/>
      <c r="C285" s="33"/>
      <c r="D285" s="33"/>
      <c r="E285" s="33" t="s">
        <v>24</v>
      </c>
      <c r="F285" s="71" t="str">
        <f t="shared" si="57"/>
        <v>-</v>
      </c>
      <c r="G285" s="33"/>
      <c r="H285" s="33"/>
      <c r="I285" s="46"/>
      <c r="J285" s="35"/>
      <c r="K285" s="35"/>
      <c r="L285" s="36">
        <f t="shared" si="58"/>
        <v>0</v>
      </c>
      <c r="M285" s="33"/>
      <c r="AN285" s="47">
        <v>275</v>
      </c>
      <c r="AO285" s="42">
        <f t="shared" si="59"/>
        <v>0</v>
      </c>
      <c r="AP285" s="43">
        <f t="shared" si="60"/>
        <v>0</v>
      </c>
      <c r="AQ285" s="42">
        <f t="shared" si="61"/>
        <v>0</v>
      </c>
      <c r="AR285" s="44">
        <f t="shared" si="62"/>
        <v>0</v>
      </c>
      <c r="AT285" s="39">
        <f t="shared" si="63"/>
        <v>0</v>
      </c>
      <c r="AU285" s="39">
        <f t="shared" si="64"/>
        <v>0</v>
      </c>
      <c r="AW285" s="45">
        <f t="shared" si="65"/>
        <v>0</v>
      </c>
      <c r="AX285" s="45">
        <f t="shared" si="66"/>
        <v>0</v>
      </c>
    </row>
    <row r="286" spans="1:50" x14ac:dyDescent="0.3">
      <c r="A286" s="32">
        <v>276</v>
      </c>
      <c r="B286" s="33"/>
      <c r="C286" s="33"/>
      <c r="D286" s="33"/>
      <c r="E286" s="33" t="s">
        <v>24</v>
      </c>
      <c r="F286" s="71" t="str">
        <f t="shared" si="57"/>
        <v>-</v>
      </c>
      <c r="G286" s="33"/>
      <c r="H286" s="33"/>
      <c r="I286" s="46"/>
      <c r="J286" s="35"/>
      <c r="K286" s="35"/>
      <c r="L286" s="36">
        <f t="shared" si="58"/>
        <v>0</v>
      </c>
      <c r="M286" s="33"/>
      <c r="AN286" s="47">
        <v>276</v>
      </c>
      <c r="AO286" s="42">
        <f t="shared" si="59"/>
        <v>0</v>
      </c>
      <c r="AP286" s="43">
        <f t="shared" si="60"/>
        <v>0</v>
      </c>
      <c r="AQ286" s="42">
        <f t="shared" si="61"/>
        <v>0</v>
      </c>
      <c r="AR286" s="44">
        <f t="shared" si="62"/>
        <v>0</v>
      </c>
      <c r="AT286" s="39">
        <f t="shared" si="63"/>
        <v>0</v>
      </c>
      <c r="AU286" s="39">
        <f t="shared" si="64"/>
        <v>0</v>
      </c>
      <c r="AW286" s="45">
        <f t="shared" si="65"/>
        <v>0</v>
      </c>
      <c r="AX286" s="45">
        <f t="shared" si="66"/>
        <v>0</v>
      </c>
    </row>
    <row r="287" spans="1:50" x14ac:dyDescent="0.3">
      <c r="A287" s="32">
        <v>277</v>
      </c>
      <c r="B287" s="33"/>
      <c r="C287" s="33"/>
      <c r="D287" s="33"/>
      <c r="E287" s="33" t="s">
        <v>24</v>
      </c>
      <c r="F287" s="71" t="str">
        <f t="shared" si="57"/>
        <v>-</v>
      </c>
      <c r="G287" s="33"/>
      <c r="H287" s="33"/>
      <c r="I287" s="46"/>
      <c r="J287" s="35"/>
      <c r="K287" s="35"/>
      <c r="L287" s="36">
        <f t="shared" si="58"/>
        <v>0</v>
      </c>
      <c r="M287" s="33"/>
      <c r="AN287" s="47">
        <v>277</v>
      </c>
      <c r="AO287" s="42">
        <f t="shared" si="59"/>
        <v>0</v>
      </c>
      <c r="AP287" s="43">
        <f t="shared" si="60"/>
        <v>0</v>
      </c>
      <c r="AQ287" s="42">
        <f t="shared" si="61"/>
        <v>0</v>
      </c>
      <c r="AR287" s="44">
        <f t="shared" si="62"/>
        <v>0</v>
      </c>
      <c r="AT287" s="39">
        <f t="shared" si="63"/>
        <v>0</v>
      </c>
      <c r="AU287" s="39">
        <f t="shared" si="64"/>
        <v>0</v>
      </c>
      <c r="AW287" s="45">
        <f t="shared" si="65"/>
        <v>0</v>
      </c>
      <c r="AX287" s="45">
        <f t="shared" si="66"/>
        <v>0</v>
      </c>
    </row>
    <row r="288" spans="1:50" x14ac:dyDescent="0.3">
      <c r="A288" s="32">
        <v>278</v>
      </c>
      <c r="B288" s="33"/>
      <c r="C288" s="33"/>
      <c r="D288" s="33"/>
      <c r="E288" s="33" t="s">
        <v>24</v>
      </c>
      <c r="F288" s="71" t="str">
        <f t="shared" si="57"/>
        <v>-</v>
      </c>
      <c r="G288" s="33"/>
      <c r="H288" s="33"/>
      <c r="I288" s="46"/>
      <c r="J288" s="35"/>
      <c r="K288" s="35"/>
      <c r="L288" s="36">
        <f t="shared" si="58"/>
        <v>0</v>
      </c>
      <c r="M288" s="33"/>
      <c r="AN288" s="47">
        <v>278</v>
      </c>
      <c r="AO288" s="42">
        <f t="shared" si="59"/>
        <v>0</v>
      </c>
      <c r="AP288" s="43">
        <f t="shared" si="60"/>
        <v>0</v>
      </c>
      <c r="AQ288" s="42">
        <f t="shared" si="61"/>
        <v>0</v>
      </c>
      <c r="AR288" s="44">
        <f t="shared" si="62"/>
        <v>0</v>
      </c>
      <c r="AT288" s="39">
        <f t="shared" si="63"/>
        <v>0</v>
      </c>
      <c r="AU288" s="39">
        <f t="shared" si="64"/>
        <v>0</v>
      </c>
      <c r="AW288" s="45">
        <f t="shared" si="65"/>
        <v>0</v>
      </c>
      <c r="AX288" s="45">
        <f t="shared" si="66"/>
        <v>0</v>
      </c>
    </row>
    <row r="289" spans="1:50" x14ac:dyDescent="0.3">
      <c r="A289" s="32">
        <v>279</v>
      </c>
      <c r="B289" s="33"/>
      <c r="C289" s="33"/>
      <c r="D289" s="33"/>
      <c r="E289" s="33" t="s">
        <v>24</v>
      </c>
      <c r="F289" s="71" t="str">
        <f t="shared" si="57"/>
        <v>-</v>
      </c>
      <c r="G289" s="33"/>
      <c r="H289" s="33"/>
      <c r="I289" s="46"/>
      <c r="J289" s="35"/>
      <c r="K289" s="35"/>
      <c r="L289" s="36">
        <f t="shared" si="58"/>
        <v>0</v>
      </c>
      <c r="M289" s="33"/>
      <c r="AN289" s="47">
        <v>279</v>
      </c>
      <c r="AO289" s="42">
        <f t="shared" si="59"/>
        <v>0</v>
      </c>
      <c r="AP289" s="43">
        <f t="shared" si="60"/>
        <v>0</v>
      </c>
      <c r="AQ289" s="42">
        <f t="shared" si="61"/>
        <v>0</v>
      </c>
      <c r="AR289" s="44">
        <f t="shared" si="62"/>
        <v>0</v>
      </c>
      <c r="AT289" s="39">
        <f t="shared" si="63"/>
        <v>0</v>
      </c>
      <c r="AU289" s="39">
        <f t="shared" si="64"/>
        <v>0</v>
      </c>
      <c r="AW289" s="45">
        <f t="shared" si="65"/>
        <v>0</v>
      </c>
      <c r="AX289" s="45">
        <f t="shared" si="66"/>
        <v>0</v>
      </c>
    </row>
    <row r="290" spans="1:50" x14ac:dyDescent="0.3">
      <c r="A290" s="32">
        <v>280</v>
      </c>
      <c r="B290" s="33"/>
      <c r="C290" s="33"/>
      <c r="D290" s="33"/>
      <c r="E290" s="33" t="s">
        <v>24</v>
      </c>
      <c r="F290" s="71" t="str">
        <f t="shared" si="57"/>
        <v>-</v>
      </c>
      <c r="G290" s="33"/>
      <c r="H290" s="33"/>
      <c r="I290" s="46"/>
      <c r="J290" s="35"/>
      <c r="K290" s="35"/>
      <c r="L290" s="36">
        <f t="shared" si="58"/>
        <v>0</v>
      </c>
      <c r="M290" s="33"/>
      <c r="AN290" s="47">
        <v>280</v>
      </c>
      <c r="AO290" s="42">
        <f t="shared" si="59"/>
        <v>0</v>
      </c>
      <c r="AP290" s="43">
        <f t="shared" si="60"/>
        <v>0</v>
      </c>
      <c r="AQ290" s="42">
        <f t="shared" si="61"/>
        <v>0</v>
      </c>
      <c r="AR290" s="44">
        <f t="shared" si="62"/>
        <v>0</v>
      </c>
      <c r="AT290" s="39">
        <f t="shared" si="63"/>
        <v>0</v>
      </c>
      <c r="AU290" s="39">
        <f t="shared" si="64"/>
        <v>0</v>
      </c>
      <c r="AW290" s="45">
        <f t="shared" si="65"/>
        <v>0</v>
      </c>
      <c r="AX290" s="45">
        <f t="shared" si="66"/>
        <v>0</v>
      </c>
    </row>
    <row r="291" spans="1:50" x14ac:dyDescent="0.3">
      <c r="A291" s="32">
        <v>281</v>
      </c>
      <c r="B291" s="33"/>
      <c r="C291" s="33"/>
      <c r="D291" s="33"/>
      <c r="E291" s="33" t="s">
        <v>24</v>
      </c>
      <c r="F291" s="71" t="str">
        <f t="shared" si="57"/>
        <v>-</v>
      </c>
      <c r="G291" s="33"/>
      <c r="H291" s="33"/>
      <c r="I291" s="46"/>
      <c r="J291" s="35"/>
      <c r="K291" s="35"/>
      <c r="L291" s="36">
        <f t="shared" si="58"/>
        <v>0</v>
      </c>
      <c r="M291" s="33"/>
      <c r="AN291" s="47">
        <v>281</v>
      </c>
      <c r="AO291" s="42">
        <f t="shared" si="59"/>
        <v>0</v>
      </c>
      <c r="AP291" s="43">
        <f t="shared" si="60"/>
        <v>0</v>
      </c>
      <c r="AQ291" s="42">
        <f t="shared" si="61"/>
        <v>0</v>
      </c>
      <c r="AR291" s="44">
        <f t="shared" si="62"/>
        <v>0</v>
      </c>
      <c r="AT291" s="39">
        <f t="shared" si="63"/>
        <v>0</v>
      </c>
      <c r="AU291" s="39">
        <f t="shared" si="64"/>
        <v>0</v>
      </c>
      <c r="AW291" s="45">
        <f t="shared" si="65"/>
        <v>0</v>
      </c>
      <c r="AX291" s="45">
        <f t="shared" si="66"/>
        <v>0</v>
      </c>
    </row>
    <row r="292" spans="1:50" x14ac:dyDescent="0.3">
      <c r="A292" s="32">
        <v>282</v>
      </c>
      <c r="B292" s="33"/>
      <c r="C292" s="33"/>
      <c r="D292" s="33"/>
      <c r="E292" s="33" t="s">
        <v>24</v>
      </c>
      <c r="F292" s="71" t="str">
        <f t="shared" si="57"/>
        <v>-</v>
      </c>
      <c r="G292" s="33"/>
      <c r="H292" s="33"/>
      <c r="I292" s="46"/>
      <c r="J292" s="35"/>
      <c r="K292" s="35"/>
      <c r="L292" s="36">
        <f t="shared" si="58"/>
        <v>0</v>
      </c>
      <c r="M292" s="33"/>
      <c r="AN292" s="47">
        <v>282</v>
      </c>
      <c r="AO292" s="42">
        <f t="shared" si="59"/>
        <v>0</v>
      </c>
      <c r="AP292" s="43">
        <f t="shared" si="60"/>
        <v>0</v>
      </c>
      <c r="AQ292" s="42">
        <f t="shared" si="61"/>
        <v>0</v>
      </c>
      <c r="AR292" s="44">
        <f t="shared" si="62"/>
        <v>0</v>
      </c>
      <c r="AT292" s="39">
        <f t="shared" si="63"/>
        <v>0</v>
      </c>
      <c r="AU292" s="39">
        <f t="shared" si="64"/>
        <v>0</v>
      </c>
      <c r="AW292" s="45">
        <f t="shared" si="65"/>
        <v>0</v>
      </c>
      <c r="AX292" s="45">
        <f t="shared" si="66"/>
        <v>0</v>
      </c>
    </row>
    <row r="293" spans="1:50" x14ac:dyDescent="0.3">
      <c r="A293" s="32">
        <v>283</v>
      </c>
      <c r="B293" s="33"/>
      <c r="C293" s="33"/>
      <c r="D293" s="33"/>
      <c r="E293" s="33" t="s">
        <v>24</v>
      </c>
      <c r="F293" s="71" t="str">
        <f t="shared" si="57"/>
        <v>-</v>
      </c>
      <c r="G293" s="33"/>
      <c r="H293" s="33"/>
      <c r="I293" s="46"/>
      <c r="J293" s="35"/>
      <c r="K293" s="35"/>
      <c r="L293" s="36">
        <f t="shared" si="58"/>
        <v>0</v>
      </c>
      <c r="M293" s="33"/>
      <c r="AN293" s="47">
        <v>283</v>
      </c>
      <c r="AO293" s="42">
        <f t="shared" si="59"/>
        <v>0</v>
      </c>
      <c r="AP293" s="43">
        <f t="shared" si="60"/>
        <v>0</v>
      </c>
      <c r="AQ293" s="42">
        <f t="shared" si="61"/>
        <v>0</v>
      </c>
      <c r="AR293" s="44">
        <f t="shared" si="62"/>
        <v>0</v>
      </c>
      <c r="AT293" s="39">
        <f t="shared" si="63"/>
        <v>0</v>
      </c>
      <c r="AU293" s="39">
        <f t="shared" si="64"/>
        <v>0</v>
      </c>
      <c r="AW293" s="45">
        <f t="shared" si="65"/>
        <v>0</v>
      </c>
      <c r="AX293" s="45">
        <f t="shared" si="66"/>
        <v>0</v>
      </c>
    </row>
    <row r="294" spans="1:50" x14ac:dyDescent="0.3">
      <c r="A294" s="32">
        <v>284</v>
      </c>
      <c r="B294" s="33"/>
      <c r="C294" s="33"/>
      <c r="D294" s="33"/>
      <c r="E294" s="33" t="s">
        <v>24</v>
      </c>
      <c r="F294" s="71" t="str">
        <f t="shared" si="57"/>
        <v>-</v>
      </c>
      <c r="G294" s="33"/>
      <c r="H294" s="33"/>
      <c r="I294" s="46"/>
      <c r="J294" s="35"/>
      <c r="K294" s="35"/>
      <c r="L294" s="36">
        <f t="shared" si="58"/>
        <v>0</v>
      </c>
      <c r="M294" s="33"/>
      <c r="AN294" s="47">
        <v>284</v>
      </c>
      <c r="AO294" s="42">
        <f t="shared" si="59"/>
        <v>0</v>
      </c>
      <c r="AP294" s="43">
        <f t="shared" si="60"/>
        <v>0</v>
      </c>
      <c r="AQ294" s="42">
        <f t="shared" si="61"/>
        <v>0</v>
      </c>
      <c r="AR294" s="44">
        <f t="shared" si="62"/>
        <v>0</v>
      </c>
      <c r="AT294" s="39">
        <f t="shared" si="63"/>
        <v>0</v>
      </c>
      <c r="AU294" s="39">
        <f t="shared" si="64"/>
        <v>0</v>
      </c>
      <c r="AW294" s="45">
        <f t="shared" si="65"/>
        <v>0</v>
      </c>
      <c r="AX294" s="45">
        <f t="shared" si="66"/>
        <v>0</v>
      </c>
    </row>
    <row r="295" spans="1:50" x14ac:dyDescent="0.3">
      <c r="A295" s="32">
        <v>285</v>
      </c>
      <c r="B295" s="33"/>
      <c r="C295" s="33"/>
      <c r="D295" s="33"/>
      <c r="E295" s="33" t="s">
        <v>24</v>
      </c>
      <c r="F295" s="71" t="str">
        <f t="shared" si="57"/>
        <v>-</v>
      </c>
      <c r="G295" s="33"/>
      <c r="H295" s="33"/>
      <c r="I295" s="46"/>
      <c r="J295" s="35"/>
      <c r="K295" s="35"/>
      <c r="L295" s="36">
        <f t="shared" si="58"/>
        <v>0</v>
      </c>
      <c r="M295" s="33"/>
      <c r="AN295" s="47">
        <v>285</v>
      </c>
      <c r="AO295" s="42">
        <f t="shared" si="59"/>
        <v>0</v>
      </c>
      <c r="AP295" s="43">
        <f t="shared" si="60"/>
        <v>0</v>
      </c>
      <c r="AQ295" s="42">
        <f t="shared" si="61"/>
        <v>0</v>
      </c>
      <c r="AR295" s="44">
        <f t="shared" si="62"/>
        <v>0</v>
      </c>
      <c r="AT295" s="39">
        <f t="shared" si="63"/>
        <v>0</v>
      </c>
      <c r="AU295" s="39">
        <f t="shared" si="64"/>
        <v>0</v>
      </c>
      <c r="AW295" s="45">
        <f t="shared" si="65"/>
        <v>0</v>
      </c>
      <c r="AX295" s="45">
        <f t="shared" si="66"/>
        <v>0</v>
      </c>
    </row>
    <row r="296" spans="1:50" x14ac:dyDescent="0.3">
      <c r="A296" s="32">
        <v>286</v>
      </c>
      <c r="B296" s="33"/>
      <c r="C296" s="33"/>
      <c r="D296" s="33"/>
      <c r="E296" s="33" t="s">
        <v>24</v>
      </c>
      <c r="F296" s="71" t="str">
        <f t="shared" si="57"/>
        <v>-</v>
      </c>
      <c r="G296" s="33"/>
      <c r="H296" s="33"/>
      <c r="I296" s="46"/>
      <c r="J296" s="35"/>
      <c r="K296" s="35"/>
      <c r="L296" s="36">
        <f t="shared" si="58"/>
        <v>0</v>
      </c>
      <c r="M296" s="33"/>
      <c r="AN296" s="47">
        <v>286</v>
      </c>
      <c r="AO296" s="42">
        <f t="shared" si="59"/>
        <v>0</v>
      </c>
      <c r="AP296" s="43">
        <f t="shared" si="60"/>
        <v>0</v>
      </c>
      <c r="AQ296" s="42">
        <f t="shared" si="61"/>
        <v>0</v>
      </c>
      <c r="AR296" s="44">
        <f t="shared" si="62"/>
        <v>0</v>
      </c>
      <c r="AT296" s="39">
        <f t="shared" si="63"/>
        <v>0</v>
      </c>
      <c r="AU296" s="39">
        <f t="shared" si="64"/>
        <v>0</v>
      </c>
      <c r="AW296" s="45">
        <f t="shared" si="65"/>
        <v>0</v>
      </c>
      <c r="AX296" s="45">
        <f t="shared" si="66"/>
        <v>0</v>
      </c>
    </row>
    <row r="297" spans="1:50" x14ac:dyDescent="0.3">
      <c r="A297" s="32">
        <v>287</v>
      </c>
      <c r="B297" s="33"/>
      <c r="C297" s="33"/>
      <c r="D297" s="33"/>
      <c r="E297" s="33" t="s">
        <v>24</v>
      </c>
      <c r="F297" s="71" t="str">
        <f t="shared" si="57"/>
        <v>-</v>
      </c>
      <c r="G297" s="33"/>
      <c r="H297" s="33"/>
      <c r="I297" s="46"/>
      <c r="J297" s="35"/>
      <c r="K297" s="35"/>
      <c r="L297" s="36">
        <f t="shared" si="58"/>
        <v>0</v>
      </c>
      <c r="M297" s="33"/>
      <c r="AN297" s="47">
        <v>287</v>
      </c>
      <c r="AO297" s="42">
        <f t="shared" si="59"/>
        <v>0</v>
      </c>
      <c r="AP297" s="43">
        <f t="shared" si="60"/>
        <v>0</v>
      </c>
      <c r="AQ297" s="42">
        <f t="shared" si="61"/>
        <v>0</v>
      </c>
      <c r="AR297" s="44">
        <f t="shared" si="62"/>
        <v>0</v>
      </c>
      <c r="AT297" s="39">
        <f t="shared" si="63"/>
        <v>0</v>
      </c>
      <c r="AU297" s="39">
        <f t="shared" si="64"/>
        <v>0</v>
      </c>
      <c r="AW297" s="45">
        <f t="shared" si="65"/>
        <v>0</v>
      </c>
      <c r="AX297" s="45">
        <f t="shared" si="66"/>
        <v>0</v>
      </c>
    </row>
    <row r="298" spans="1:50" x14ac:dyDescent="0.3">
      <c r="A298" s="32">
        <v>288</v>
      </c>
      <c r="B298" s="33"/>
      <c r="C298" s="33"/>
      <c r="D298" s="33"/>
      <c r="E298" s="33" t="s">
        <v>24</v>
      </c>
      <c r="F298" s="71" t="str">
        <f t="shared" si="57"/>
        <v>-</v>
      </c>
      <c r="G298" s="33"/>
      <c r="H298" s="33"/>
      <c r="I298" s="46"/>
      <c r="J298" s="35"/>
      <c r="K298" s="35"/>
      <c r="L298" s="36">
        <f t="shared" si="58"/>
        <v>0</v>
      </c>
      <c r="M298" s="33"/>
      <c r="AN298" s="47">
        <v>288</v>
      </c>
      <c r="AO298" s="42">
        <f t="shared" si="59"/>
        <v>0</v>
      </c>
      <c r="AP298" s="43">
        <f t="shared" si="60"/>
        <v>0</v>
      </c>
      <c r="AQ298" s="42">
        <f t="shared" si="61"/>
        <v>0</v>
      </c>
      <c r="AR298" s="44">
        <f t="shared" si="62"/>
        <v>0</v>
      </c>
      <c r="AT298" s="39">
        <f t="shared" si="63"/>
        <v>0</v>
      </c>
      <c r="AU298" s="39">
        <f t="shared" si="64"/>
        <v>0</v>
      </c>
      <c r="AW298" s="45">
        <f t="shared" si="65"/>
        <v>0</v>
      </c>
      <c r="AX298" s="45">
        <f t="shared" si="66"/>
        <v>0</v>
      </c>
    </row>
    <row r="299" spans="1:50" x14ac:dyDescent="0.3">
      <c r="A299" s="32">
        <v>289</v>
      </c>
      <c r="B299" s="33"/>
      <c r="C299" s="33"/>
      <c r="D299" s="33"/>
      <c r="E299" s="33" t="s">
        <v>24</v>
      </c>
      <c r="F299" s="71" t="str">
        <f t="shared" ref="F299:F362" si="67">IFERROR((VLOOKUP(E299,$AE$11:$AG$14,3,0)),"-")</f>
        <v>-</v>
      </c>
      <c r="G299" s="33"/>
      <c r="H299" s="33"/>
      <c r="I299" s="46"/>
      <c r="J299" s="35"/>
      <c r="K299" s="35"/>
      <c r="L299" s="36">
        <f t="shared" si="58"/>
        <v>0</v>
      </c>
      <c r="M299" s="33"/>
      <c r="AN299" s="47">
        <v>289</v>
      </c>
      <c r="AO299" s="42">
        <f t="shared" si="59"/>
        <v>0</v>
      </c>
      <c r="AP299" s="43">
        <f t="shared" si="60"/>
        <v>0</v>
      </c>
      <c r="AQ299" s="42">
        <f t="shared" si="61"/>
        <v>0</v>
      </c>
      <c r="AR299" s="44">
        <f t="shared" si="62"/>
        <v>0</v>
      </c>
      <c r="AT299" s="39">
        <f t="shared" si="63"/>
        <v>0</v>
      </c>
      <c r="AU299" s="39">
        <f t="shared" si="64"/>
        <v>0</v>
      </c>
      <c r="AW299" s="45">
        <f t="shared" si="65"/>
        <v>0</v>
      </c>
      <c r="AX299" s="45">
        <f t="shared" si="66"/>
        <v>0</v>
      </c>
    </row>
    <row r="300" spans="1:50" x14ac:dyDescent="0.3">
      <c r="A300" s="32">
        <v>290</v>
      </c>
      <c r="B300" s="33"/>
      <c r="C300" s="33"/>
      <c r="D300" s="33"/>
      <c r="E300" s="33" t="s">
        <v>24</v>
      </c>
      <c r="F300" s="71" t="str">
        <f t="shared" si="67"/>
        <v>-</v>
      </c>
      <c r="G300" s="33"/>
      <c r="H300" s="33"/>
      <c r="I300" s="46"/>
      <c r="J300" s="35"/>
      <c r="K300" s="35"/>
      <c r="L300" s="36">
        <f t="shared" si="58"/>
        <v>0</v>
      </c>
      <c r="M300" s="33"/>
      <c r="AN300" s="47">
        <v>290</v>
      </c>
      <c r="AO300" s="42">
        <f t="shared" si="59"/>
        <v>0</v>
      </c>
      <c r="AP300" s="43">
        <f t="shared" si="60"/>
        <v>0</v>
      </c>
      <c r="AQ300" s="42">
        <f t="shared" si="61"/>
        <v>0</v>
      </c>
      <c r="AR300" s="44">
        <f t="shared" si="62"/>
        <v>0</v>
      </c>
      <c r="AT300" s="39">
        <f t="shared" si="63"/>
        <v>0</v>
      </c>
      <c r="AU300" s="39">
        <f t="shared" si="64"/>
        <v>0</v>
      </c>
      <c r="AW300" s="45">
        <f t="shared" si="65"/>
        <v>0</v>
      </c>
      <c r="AX300" s="45">
        <f t="shared" si="66"/>
        <v>0</v>
      </c>
    </row>
    <row r="301" spans="1:50" x14ac:dyDescent="0.3">
      <c r="A301" s="32">
        <v>291</v>
      </c>
      <c r="B301" s="33"/>
      <c r="C301" s="33"/>
      <c r="D301" s="33"/>
      <c r="E301" s="33" t="s">
        <v>24</v>
      </c>
      <c r="F301" s="71" t="str">
        <f t="shared" si="67"/>
        <v>-</v>
      </c>
      <c r="G301" s="33"/>
      <c r="H301" s="33"/>
      <c r="I301" s="46"/>
      <c r="J301" s="35"/>
      <c r="K301" s="35"/>
      <c r="L301" s="36">
        <f t="shared" si="58"/>
        <v>0</v>
      </c>
      <c r="M301" s="33"/>
      <c r="AN301" s="47">
        <v>291</v>
      </c>
      <c r="AO301" s="42">
        <f t="shared" si="59"/>
        <v>0</v>
      </c>
      <c r="AP301" s="43">
        <f t="shared" si="60"/>
        <v>0</v>
      </c>
      <c r="AQ301" s="42">
        <f t="shared" si="61"/>
        <v>0</v>
      </c>
      <c r="AR301" s="44">
        <f t="shared" si="62"/>
        <v>0</v>
      </c>
      <c r="AT301" s="39">
        <f t="shared" si="63"/>
        <v>0</v>
      </c>
      <c r="AU301" s="39">
        <f t="shared" si="64"/>
        <v>0</v>
      </c>
      <c r="AW301" s="45">
        <f t="shared" si="65"/>
        <v>0</v>
      </c>
      <c r="AX301" s="45">
        <f t="shared" si="66"/>
        <v>0</v>
      </c>
    </row>
    <row r="302" spans="1:50" x14ac:dyDescent="0.3">
      <c r="A302" s="32">
        <v>292</v>
      </c>
      <c r="B302" s="33"/>
      <c r="C302" s="33"/>
      <c r="D302" s="33"/>
      <c r="E302" s="33" t="s">
        <v>24</v>
      </c>
      <c r="F302" s="71" t="str">
        <f t="shared" si="67"/>
        <v>-</v>
      </c>
      <c r="G302" s="33"/>
      <c r="H302" s="33"/>
      <c r="I302" s="46"/>
      <c r="J302" s="35"/>
      <c r="K302" s="35"/>
      <c r="L302" s="36">
        <f t="shared" si="58"/>
        <v>0</v>
      </c>
      <c r="M302" s="33"/>
      <c r="AN302" s="47">
        <v>292</v>
      </c>
      <c r="AO302" s="42">
        <f t="shared" si="59"/>
        <v>0</v>
      </c>
      <c r="AP302" s="43">
        <f t="shared" si="60"/>
        <v>0</v>
      </c>
      <c r="AQ302" s="42">
        <f t="shared" si="61"/>
        <v>0</v>
      </c>
      <c r="AR302" s="44">
        <f t="shared" si="62"/>
        <v>0</v>
      </c>
      <c r="AT302" s="39">
        <f t="shared" si="63"/>
        <v>0</v>
      </c>
      <c r="AU302" s="39">
        <f t="shared" si="64"/>
        <v>0</v>
      </c>
      <c r="AW302" s="45">
        <f t="shared" si="65"/>
        <v>0</v>
      </c>
      <c r="AX302" s="45">
        <f t="shared" si="66"/>
        <v>0</v>
      </c>
    </row>
    <row r="303" spans="1:50" x14ac:dyDescent="0.3">
      <c r="A303" s="32">
        <v>293</v>
      </c>
      <c r="B303" s="33"/>
      <c r="C303" s="33"/>
      <c r="D303" s="33"/>
      <c r="E303" s="33" t="s">
        <v>24</v>
      </c>
      <c r="F303" s="71" t="str">
        <f t="shared" si="67"/>
        <v>-</v>
      </c>
      <c r="G303" s="33"/>
      <c r="H303" s="33"/>
      <c r="I303" s="46"/>
      <c r="J303" s="35"/>
      <c r="K303" s="35"/>
      <c r="L303" s="36">
        <f t="shared" ref="L303:L366" si="68">IF($H$4="-",0,IF($H$4="VAREJO",AW303,IF($H$4="ATACADO",AX303,0)))</f>
        <v>0</v>
      </c>
      <c r="M303" s="33"/>
      <c r="AN303" s="47">
        <v>293</v>
      </c>
      <c r="AO303" s="42">
        <f t="shared" si="59"/>
        <v>0</v>
      </c>
      <c r="AP303" s="43">
        <f t="shared" si="60"/>
        <v>0</v>
      </c>
      <c r="AQ303" s="42">
        <f t="shared" si="61"/>
        <v>0</v>
      </c>
      <c r="AR303" s="44">
        <f t="shared" si="62"/>
        <v>0</v>
      </c>
      <c r="AT303" s="39">
        <f t="shared" si="63"/>
        <v>0</v>
      </c>
      <c r="AU303" s="39">
        <f t="shared" si="64"/>
        <v>0</v>
      </c>
      <c r="AW303" s="45">
        <f t="shared" si="65"/>
        <v>0</v>
      </c>
      <c r="AX303" s="45">
        <f t="shared" si="66"/>
        <v>0</v>
      </c>
    </row>
    <row r="304" spans="1:50" x14ac:dyDescent="0.3">
      <c r="A304" s="32">
        <v>294</v>
      </c>
      <c r="B304" s="33"/>
      <c r="C304" s="33"/>
      <c r="D304" s="33"/>
      <c r="E304" s="33" t="s">
        <v>24</v>
      </c>
      <c r="F304" s="71" t="str">
        <f t="shared" si="67"/>
        <v>-</v>
      </c>
      <c r="G304" s="33"/>
      <c r="H304" s="33"/>
      <c r="I304" s="46"/>
      <c r="J304" s="35"/>
      <c r="K304" s="35"/>
      <c r="L304" s="36">
        <f t="shared" si="68"/>
        <v>0</v>
      </c>
      <c r="M304" s="33"/>
      <c r="AN304" s="47">
        <v>294</v>
      </c>
      <c r="AO304" s="42">
        <f t="shared" si="59"/>
        <v>0</v>
      </c>
      <c r="AP304" s="43">
        <f t="shared" si="60"/>
        <v>0</v>
      </c>
      <c r="AQ304" s="42">
        <f t="shared" si="61"/>
        <v>0</v>
      </c>
      <c r="AR304" s="44">
        <f t="shared" si="62"/>
        <v>0</v>
      </c>
      <c r="AT304" s="39">
        <f t="shared" si="63"/>
        <v>0</v>
      </c>
      <c r="AU304" s="39">
        <f t="shared" si="64"/>
        <v>0</v>
      </c>
      <c r="AW304" s="45">
        <f t="shared" si="65"/>
        <v>0</v>
      </c>
      <c r="AX304" s="45">
        <f t="shared" si="66"/>
        <v>0</v>
      </c>
    </row>
    <row r="305" spans="1:50" x14ac:dyDescent="0.3">
      <c r="A305" s="32">
        <v>295</v>
      </c>
      <c r="B305" s="33"/>
      <c r="C305" s="33"/>
      <c r="D305" s="33"/>
      <c r="E305" s="33" t="s">
        <v>24</v>
      </c>
      <c r="F305" s="71" t="str">
        <f t="shared" si="67"/>
        <v>-</v>
      </c>
      <c r="G305" s="33"/>
      <c r="H305" s="33"/>
      <c r="I305" s="46"/>
      <c r="J305" s="35"/>
      <c r="K305" s="35"/>
      <c r="L305" s="36">
        <f t="shared" si="68"/>
        <v>0</v>
      </c>
      <c r="M305" s="33"/>
      <c r="AN305" s="47">
        <v>295</v>
      </c>
      <c r="AO305" s="42">
        <f t="shared" si="59"/>
        <v>0</v>
      </c>
      <c r="AP305" s="43">
        <f t="shared" si="60"/>
        <v>0</v>
      </c>
      <c r="AQ305" s="42">
        <f t="shared" si="61"/>
        <v>0</v>
      </c>
      <c r="AR305" s="44">
        <f t="shared" si="62"/>
        <v>0</v>
      </c>
      <c r="AT305" s="39">
        <f t="shared" si="63"/>
        <v>0</v>
      </c>
      <c r="AU305" s="39">
        <f t="shared" si="64"/>
        <v>0</v>
      </c>
      <c r="AW305" s="45">
        <f t="shared" si="65"/>
        <v>0</v>
      </c>
      <c r="AX305" s="45">
        <f t="shared" si="66"/>
        <v>0</v>
      </c>
    </row>
    <row r="306" spans="1:50" x14ac:dyDescent="0.3">
      <c r="A306" s="32">
        <v>296</v>
      </c>
      <c r="B306" s="33"/>
      <c r="C306" s="33"/>
      <c r="D306" s="33"/>
      <c r="E306" s="33" t="s">
        <v>24</v>
      </c>
      <c r="F306" s="71" t="str">
        <f t="shared" si="67"/>
        <v>-</v>
      </c>
      <c r="G306" s="33"/>
      <c r="H306" s="33"/>
      <c r="I306" s="46"/>
      <c r="J306" s="35"/>
      <c r="K306" s="35"/>
      <c r="L306" s="36">
        <f t="shared" si="68"/>
        <v>0</v>
      </c>
      <c r="M306" s="33"/>
      <c r="AN306" s="47">
        <v>296</v>
      </c>
      <c r="AO306" s="42">
        <f t="shared" si="59"/>
        <v>0</v>
      </c>
      <c r="AP306" s="43">
        <f t="shared" si="60"/>
        <v>0</v>
      </c>
      <c r="AQ306" s="42">
        <f t="shared" si="61"/>
        <v>0</v>
      </c>
      <c r="AR306" s="44">
        <f t="shared" si="62"/>
        <v>0</v>
      </c>
      <c r="AT306" s="39">
        <f t="shared" si="63"/>
        <v>0</v>
      </c>
      <c r="AU306" s="39">
        <f t="shared" si="64"/>
        <v>0</v>
      </c>
      <c r="AW306" s="45">
        <f t="shared" si="65"/>
        <v>0</v>
      </c>
      <c r="AX306" s="45">
        <f t="shared" si="66"/>
        <v>0</v>
      </c>
    </row>
    <row r="307" spans="1:50" x14ac:dyDescent="0.3">
      <c r="A307" s="32">
        <v>297</v>
      </c>
      <c r="B307" s="33"/>
      <c r="C307" s="33"/>
      <c r="D307" s="33"/>
      <c r="E307" s="33" t="s">
        <v>24</v>
      </c>
      <c r="F307" s="71" t="str">
        <f t="shared" si="67"/>
        <v>-</v>
      </c>
      <c r="G307" s="33"/>
      <c r="H307" s="33"/>
      <c r="I307" s="46"/>
      <c r="J307" s="35"/>
      <c r="K307" s="35"/>
      <c r="L307" s="36">
        <f t="shared" si="68"/>
        <v>0</v>
      </c>
      <c r="M307" s="33"/>
      <c r="AN307" s="47">
        <v>297</v>
      </c>
      <c r="AO307" s="42">
        <f t="shared" si="59"/>
        <v>0</v>
      </c>
      <c r="AP307" s="43">
        <f t="shared" si="60"/>
        <v>0</v>
      </c>
      <c r="AQ307" s="42">
        <f t="shared" si="61"/>
        <v>0</v>
      </c>
      <c r="AR307" s="44">
        <f t="shared" si="62"/>
        <v>0</v>
      </c>
      <c r="AT307" s="39">
        <f t="shared" si="63"/>
        <v>0</v>
      </c>
      <c r="AU307" s="39">
        <f t="shared" si="64"/>
        <v>0</v>
      </c>
      <c r="AW307" s="45">
        <f t="shared" si="65"/>
        <v>0</v>
      </c>
      <c r="AX307" s="45">
        <f t="shared" si="66"/>
        <v>0</v>
      </c>
    </row>
    <row r="308" spans="1:50" x14ac:dyDescent="0.3">
      <c r="A308" s="32">
        <v>298</v>
      </c>
      <c r="B308" s="33"/>
      <c r="C308" s="33"/>
      <c r="D308" s="33"/>
      <c r="E308" s="33" t="s">
        <v>24</v>
      </c>
      <c r="F308" s="71" t="str">
        <f t="shared" si="67"/>
        <v>-</v>
      </c>
      <c r="G308" s="33"/>
      <c r="H308" s="33"/>
      <c r="I308" s="46"/>
      <c r="J308" s="35"/>
      <c r="K308" s="35"/>
      <c r="L308" s="36">
        <f t="shared" si="68"/>
        <v>0</v>
      </c>
      <c r="M308" s="33"/>
      <c r="AN308" s="47">
        <v>298</v>
      </c>
      <c r="AO308" s="42">
        <f t="shared" si="59"/>
        <v>0</v>
      </c>
      <c r="AP308" s="43">
        <f t="shared" si="60"/>
        <v>0</v>
      </c>
      <c r="AQ308" s="42">
        <f t="shared" si="61"/>
        <v>0</v>
      </c>
      <c r="AR308" s="44">
        <f t="shared" si="62"/>
        <v>0</v>
      </c>
      <c r="AT308" s="39">
        <f t="shared" si="63"/>
        <v>0</v>
      </c>
      <c r="AU308" s="39">
        <f t="shared" si="64"/>
        <v>0</v>
      </c>
      <c r="AW308" s="45">
        <f t="shared" si="65"/>
        <v>0</v>
      </c>
      <c r="AX308" s="45">
        <f t="shared" si="66"/>
        <v>0</v>
      </c>
    </row>
    <row r="309" spans="1:50" x14ac:dyDescent="0.3">
      <c r="A309" s="32">
        <v>299</v>
      </c>
      <c r="B309" s="33"/>
      <c r="C309" s="33"/>
      <c r="D309" s="33"/>
      <c r="E309" s="33" t="s">
        <v>24</v>
      </c>
      <c r="F309" s="71" t="str">
        <f t="shared" si="67"/>
        <v>-</v>
      </c>
      <c r="G309" s="33"/>
      <c r="H309" s="33"/>
      <c r="I309" s="46"/>
      <c r="J309" s="35"/>
      <c r="K309" s="35"/>
      <c r="L309" s="36">
        <f t="shared" si="68"/>
        <v>0</v>
      </c>
      <c r="M309" s="33"/>
      <c r="AN309" s="47">
        <v>299</v>
      </c>
      <c r="AO309" s="42">
        <f t="shared" si="59"/>
        <v>0</v>
      </c>
      <c r="AP309" s="43">
        <f t="shared" si="60"/>
        <v>0</v>
      </c>
      <c r="AQ309" s="42">
        <f t="shared" si="61"/>
        <v>0</v>
      </c>
      <c r="AR309" s="44">
        <f t="shared" si="62"/>
        <v>0</v>
      </c>
      <c r="AT309" s="39">
        <f t="shared" si="63"/>
        <v>0</v>
      </c>
      <c r="AU309" s="39">
        <f t="shared" si="64"/>
        <v>0</v>
      </c>
      <c r="AW309" s="45">
        <f t="shared" si="65"/>
        <v>0</v>
      </c>
      <c r="AX309" s="45">
        <f t="shared" si="66"/>
        <v>0</v>
      </c>
    </row>
    <row r="310" spans="1:50" x14ac:dyDescent="0.3">
      <c r="A310" s="32">
        <v>300</v>
      </c>
      <c r="B310" s="33"/>
      <c r="C310" s="33"/>
      <c r="D310" s="33"/>
      <c r="E310" s="33" t="s">
        <v>24</v>
      </c>
      <c r="F310" s="71" t="str">
        <f t="shared" si="67"/>
        <v>-</v>
      </c>
      <c r="G310" s="33"/>
      <c r="H310" s="33"/>
      <c r="I310" s="46"/>
      <c r="J310" s="35"/>
      <c r="K310" s="35"/>
      <c r="L310" s="36">
        <f t="shared" si="68"/>
        <v>0</v>
      </c>
      <c r="M310" s="33"/>
      <c r="AN310" s="47">
        <v>300</v>
      </c>
      <c r="AO310" s="42">
        <f t="shared" si="59"/>
        <v>0</v>
      </c>
      <c r="AP310" s="43">
        <f t="shared" si="60"/>
        <v>0</v>
      </c>
      <c r="AQ310" s="42">
        <f t="shared" si="61"/>
        <v>0</v>
      </c>
      <c r="AR310" s="44">
        <f t="shared" si="62"/>
        <v>0</v>
      </c>
      <c r="AT310" s="39">
        <f t="shared" si="63"/>
        <v>0</v>
      </c>
      <c r="AU310" s="39">
        <f t="shared" si="64"/>
        <v>0</v>
      </c>
      <c r="AW310" s="45">
        <f t="shared" si="65"/>
        <v>0</v>
      </c>
      <c r="AX310" s="45">
        <f t="shared" si="66"/>
        <v>0</v>
      </c>
    </row>
    <row r="311" spans="1:50" x14ac:dyDescent="0.3">
      <c r="A311" s="32">
        <v>301</v>
      </c>
      <c r="B311" s="33"/>
      <c r="C311" s="33"/>
      <c r="D311" s="33"/>
      <c r="E311" s="33" t="s">
        <v>24</v>
      </c>
      <c r="F311" s="71" t="str">
        <f t="shared" si="67"/>
        <v>-</v>
      </c>
      <c r="G311" s="33"/>
      <c r="H311" s="33"/>
      <c r="I311" s="46"/>
      <c r="J311" s="35"/>
      <c r="K311" s="35"/>
      <c r="L311" s="36">
        <f t="shared" si="68"/>
        <v>0</v>
      </c>
      <c r="M311" s="33"/>
      <c r="AN311" s="47">
        <v>301</v>
      </c>
      <c r="AO311" s="42">
        <f t="shared" si="59"/>
        <v>0</v>
      </c>
      <c r="AP311" s="43">
        <f t="shared" si="60"/>
        <v>0</v>
      </c>
      <c r="AQ311" s="42">
        <f t="shared" si="61"/>
        <v>0</v>
      </c>
      <c r="AR311" s="44">
        <f t="shared" si="62"/>
        <v>0</v>
      </c>
      <c r="AT311" s="39">
        <f t="shared" si="63"/>
        <v>0</v>
      </c>
      <c r="AU311" s="39">
        <f t="shared" si="64"/>
        <v>0</v>
      </c>
      <c r="AW311" s="45">
        <f t="shared" si="65"/>
        <v>0</v>
      </c>
      <c r="AX311" s="45">
        <f t="shared" si="66"/>
        <v>0</v>
      </c>
    </row>
    <row r="312" spans="1:50" x14ac:dyDescent="0.3">
      <c r="A312" s="32">
        <v>302</v>
      </c>
      <c r="B312" s="33"/>
      <c r="C312" s="33"/>
      <c r="D312" s="33"/>
      <c r="E312" s="33" t="s">
        <v>24</v>
      </c>
      <c r="F312" s="71" t="str">
        <f t="shared" si="67"/>
        <v>-</v>
      </c>
      <c r="G312" s="33"/>
      <c r="H312" s="33"/>
      <c r="I312" s="46"/>
      <c r="J312" s="35"/>
      <c r="K312" s="35"/>
      <c r="L312" s="36">
        <f t="shared" si="68"/>
        <v>0</v>
      </c>
      <c r="M312" s="33"/>
      <c r="AN312" s="47">
        <v>302</v>
      </c>
      <c r="AO312" s="42">
        <f t="shared" si="59"/>
        <v>0</v>
      </c>
      <c r="AP312" s="43">
        <f t="shared" si="60"/>
        <v>0</v>
      </c>
      <c r="AQ312" s="42">
        <f t="shared" si="61"/>
        <v>0</v>
      </c>
      <c r="AR312" s="44">
        <f t="shared" si="62"/>
        <v>0</v>
      </c>
      <c r="AT312" s="39">
        <f t="shared" si="63"/>
        <v>0</v>
      </c>
      <c r="AU312" s="39">
        <f t="shared" si="64"/>
        <v>0</v>
      </c>
      <c r="AW312" s="45">
        <f t="shared" si="65"/>
        <v>0</v>
      </c>
      <c r="AX312" s="45">
        <f t="shared" si="66"/>
        <v>0</v>
      </c>
    </row>
    <row r="313" spans="1:50" x14ac:dyDescent="0.3">
      <c r="A313" s="32">
        <v>303</v>
      </c>
      <c r="B313" s="33"/>
      <c r="C313" s="33"/>
      <c r="D313" s="33"/>
      <c r="E313" s="33" t="s">
        <v>24</v>
      </c>
      <c r="F313" s="71" t="str">
        <f t="shared" si="67"/>
        <v>-</v>
      </c>
      <c r="G313" s="33"/>
      <c r="H313" s="33"/>
      <c r="I313" s="46"/>
      <c r="J313" s="35"/>
      <c r="K313" s="35"/>
      <c r="L313" s="36">
        <f t="shared" si="68"/>
        <v>0</v>
      </c>
      <c r="M313" s="33"/>
      <c r="AN313" s="47">
        <v>303</v>
      </c>
      <c r="AO313" s="42">
        <f t="shared" si="59"/>
        <v>0</v>
      </c>
      <c r="AP313" s="43">
        <f t="shared" si="60"/>
        <v>0</v>
      </c>
      <c r="AQ313" s="42">
        <f t="shared" si="61"/>
        <v>0</v>
      </c>
      <c r="AR313" s="44">
        <f t="shared" si="62"/>
        <v>0</v>
      </c>
      <c r="AT313" s="39">
        <f t="shared" si="63"/>
        <v>0</v>
      </c>
      <c r="AU313" s="39">
        <f t="shared" si="64"/>
        <v>0</v>
      </c>
      <c r="AW313" s="45">
        <f t="shared" si="65"/>
        <v>0</v>
      </c>
      <c r="AX313" s="45">
        <f t="shared" si="66"/>
        <v>0</v>
      </c>
    </row>
    <row r="314" spans="1:50" x14ac:dyDescent="0.3">
      <c r="A314" s="32">
        <v>304</v>
      </c>
      <c r="B314" s="33"/>
      <c r="C314" s="33"/>
      <c r="D314" s="33"/>
      <c r="E314" s="33" t="s">
        <v>24</v>
      </c>
      <c r="F314" s="71" t="str">
        <f t="shared" si="67"/>
        <v>-</v>
      </c>
      <c r="G314" s="33"/>
      <c r="H314" s="33"/>
      <c r="I314" s="46"/>
      <c r="J314" s="35"/>
      <c r="K314" s="35"/>
      <c r="L314" s="36">
        <f t="shared" si="68"/>
        <v>0</v>
      </c>
      <c r="M314" s="33"/>
      <c r="AN314" s="47">
        <v>304</v>
      </c>
      <c r="AO314" s="42">
        <f t="shared" si="59"/>
        <v>0</v>
      </c>
      <c r="AP314" s="43">
        <f t="shared" si="60"/>
        <v>0</v>
      </c>
      <c r="AQ314" s="42">
        <f t="shared" si="61"/>
        <v>0</v>
      </c>
      <c r="AR314" s="44">
        <f t="shared" si="62"/>
        <v>0</v>
      </c>
      <c r="AT314" s="39">
        <f t="shared" si="63"/>
        <v>0</v>
      </c>
      <c r="AU314" s="39">
        <f t="shared" si="64"/>
        <v>0</v>
      </c>
      <c r="AW314" s="45">
        <f t="shared" si="65"/>
        <v>0</v>
      </c>
      <c r="AX314" s="45">
        <f t="shared" si="66"/>
        <v>0</v>
      </c>
    </row>
    <row r="315" spans="1:50" x14ac:dyDescent="0.3">
      <c r="A315" s="32">
        <v>305</v>
      </c>
      <c r="B315" s="33"/>
      <c r="C315" s="33"/>
      <c r="D315" s="33"/>
      <c r="E315" s="33" t="s">
        <v>24</v>
      </c>
      <c r="F315" s="71" t="str">
        <f t="shared" si="67"/>
        <v>-</v>
      </c>
      <c r="G315" s="33"/>
      <c r="H315" s="33"/>
      <c r="I315" s="46"/>
      <c r="J315" s="35"/>
      <c r="K315" s="35"/>
      <c r="L315" s="36">
        <f t="shared" si="68"/>
        <v>0</v>
      </c>
      <c r="M315" s="33"/>
      <c r="AN315" s="47">
        <v>305</v>
      </c>
      <c r="AO315" s="42">
        <f t="shared" si="59"/>
        <v>0</v>
      </c>
      <c r="AP315" s="43">
        <f t="shared" si="60"/>
        <v>0</v>
      </c>
      <c r="AQ315" s="42">
        <f t="shared" si="61"/>
        <v>0</v>
      </c>
      <c r="AR315" s="44">
        <f t="shared" si="62"/>
        <v>0</v>
      </c>
      <c r="AT315" s="39">
        <f t="shared" si="63"/>
        <v>0</v>
      </c>
      <c r="AU315" s="39">
        <f t="shared" si="64"/>
        <v>0</v>
      </c>
      <c r="AW315" s="45">
        <f t="shared" si="65"/>
        <v>0</v>
      </c>
      <c r="AX315" s="45">
        <f t="shared" si="66"/>
        <v>0</v>
      </c>
    </row>
    <row r="316" spans="1:50" x14ac:dyDescent="0.3">
      <c r="A316" s="32">
        <v>306</v>
      </c>
      <c r="B316" s="33"/>
      <c r="C316" s="33"/>
      <c r="D316" s="33"/>
      <c r="E316" s="33" t="s">
        <v>24</v>
      </c>
      <c r="F316" s="71" t="str">
        <f t="shared" si="67"/>
        <v>-</v>
      </c>
      <c r="G316" s="33"/>
      <c r="H316" s="33"/>
      <c r="I316" s="46"/>
      <c r="J316" s="35"/>
      <c r="K316" s="35"/>
      <c r="L316" s="36">
        <f t="shared" si="68"/>
        <v>0</v>
      </c>
      <c r="M316" s="33"/>
      <c r="AN316" s="47">
        <v>306</v>
      </c>
      <c r="AO316" s="42">
        <f t="shared" si="59"/>
        <v>0</v>
      </c>
      <c r="AP316" s="43">
        <f t="shared" si="60"/>
        <v>0</v>
      </c>
      <c r="AQ316" s="42">
        <f t="shared" si="61"/>
        <v>0</v>
      </c>
      <c r="AR316" s="44">
        <f t="shared" si="62"/>
        <v>0</v>
      </c>
      <c r="AT316" s="39">
        <f t="shared" si="63"/>
        <v>0</v>
      </c>
      <c r="AU316" s="39">
        <f t="shared" si="64"/>
        <v>0</v>
      </c>
      <c r="AW316" s="45">
        <f t="shared" si="65"/>
        <v>0</v>
      </c>
      <c r="AX316" s="45">
        <f t="shared" si="66"/>
        <v>0</v>
      </c>
    </row>
    <row r="317" spans="1:50" x14ac:dyDescent="0.3">
      <c r="A317" s="32">
        <v>307</v>
      </c>
      <c r="B317" s="33"/>
      <c r="C317" s="33"/>
      <c r="D317" s="33"/>
      <c r="E317" s="33" t="s">
        <v>24</v>
      </c>
      <c r="F317" s="71" t="str">
        <f t="shared" si="67"/>
        <v>-</v>
      </c>
      <c r="G317" s="33"/>
      <c r="H317" s="33"/>
      <c r="I317" s="46"/>
      <c r="J317" s="35"/>
      <c r="K317" s="35"/>
      <c r="L317" s="36">
        <f t="shared" si="68"/>
        <v>0</v>
      </c>
      <c r="M317" s="33"/>
      <c r="AN317" s="47">
        <v>307</v>
      </c>
      <c r="AO317" s="42">
        <f t="shared" si="59"/>
        <v>0</v>
      </c>
      <c r="AP317" s="43">
        <f t="shared" si="60"/>
        <v>0</v>
      </c>
      <c r="AQ317" s="42">
        <f t="shared" si="61"/>
        <v>0</v>
      </c>
      <c r="AR317" s="44">
        <f t="shared" si="62"/>
        <v>0</v>
      </c>
      <c r="AT317" s="39">
        <f t="shared" si="63"/>
        <v>0</v>
      </c>
      <c r="AU317" s="39">
        <f t="shared" si="64"/>
        <v>0</v>
      </c>
      <c r="AW317" s="45">
        <f t="shared" si="65"/>
        <v>0</v>
      </c>
      <c r="AX317" s="45">
        <f t="shared" si="66"/>
        <v>0</v>
      </c>
    </row>
    <row r="318" spans="1:50" x14ac:dyDescent="0.3">
      <c r="A318" s="32">
        <v>308</v>
      </c>
      <c r="B318" s="33"/>
      <c r="C318" s="33"/>
      <c r="D318" s="33"/>
      <c r="E318" s="33" t="s">
        <v>24</v>
      </c>
      <c r="F318" s="71" t="str">
        <f t="shared" si="67"/>
        <v>-</v>
      </c>
      <c r="G318" s="33"/>
      <c r="H318" s="33"/>
      <c r="I318" s="46"/>
      <c r="J318" s="35"/>
      <c r="K318" s="35"/>
      <c r="L318" s="36">
        <f t="shared" si="68"/>
        <v>0</v>
      </c>
      <c r="M318" s="33"/>
      <c r="AN318" s="47">
        <v>308</v>
      </c>
      <c r="AO318" s="42">
        <f t="shared" si="59"/>
        <v>0</v>
      </c>
      <c r="AP318" s="43">
        <f t="shared" si="60"/>
        <v>0</v>
      </c>
      <c r="AQ318" s="42">
        <f t="shared" si="61"/>
        <v>0</v>
      </c>
      <c r="AR318" s="44">
        <f t="shared" si="62"/>
        <v>0</v>
      </c>
      <c r="AT318" s="39">
        <f t="shared" si="63"/>
        <v>0</v>
      </c>
      <c r="AU318" s="39">
        <f t="shared" si="64"/>
        <v>0</v>
      </c>
      <c r="AW318" s="45">
        <f t="shared" si="65"/>
        <v>0</v>
      </c>
      <c r="AX318" s="45">
        <f t="shared" si="66"/>
        <v>0</v>
      </c>
    </row>
    <row r="319" spans="1:50" x14ac:dyDescent="0.3">
      <c r="A319" s="32">
        <v>309</v>
      </c>
      <c r="B319" s="33"/>
      <c r="C319" s="33"/>
      <c r="D319" s="33"/>
      <c r="E319" s="33" t="s">
        <v>24</v>
      </c>
      <c r="F319" s="71" t="str">
        <f t="shared" si="67"/>
        <v>-</v>
      </c>
      <c r="G319" s="33"/>
      <c r="H319" s="33"/>
      <c r="I319" s="46"/>
      <c r="J319" s="35"/>
      <c r="K319" s="35"/>
      <c r="L319" s="36">
        <f t="shared" si="68"/>
        <v>0</v>
      </c>
      <c r="M319" s="33"/>
      <c r="AN319" s="47">
        <v>309</v>
      </c>
      <c r="AO319" s="42">
        <f t="shared" si="59"/>
        <v>0</v>
      </c>
      <c r="AP319" s="43">
        <f t="shared" si="60"/>
        <v>0</v>
      </c>
      <c r="AQ319" s="42">
        <f t="shared" si="61"/>
        <v>0</v>
      </c>
      <c r="AR319" s="44">
        <f t="shared" si="62"/>
        <v>0</v>
      </c>
      <c r="AT319" s="39">
        <f t="shared" si="63"/>
        <v>0</v>
      </c>
      <c r="AU319" s="39">
        <f t="shared" si="64"/>
        <v>0</v>
      </c>
      <c r="AW319" s="45">
        <f t="shared" si="65"/>
        <v>0</v>
      </c>
      <c r="AX319" s="45">
        <f t="shared" si="66"/>
        <v>0</v>
      </c>
    </row>
    <row r="320" spans="1:50" x14ac:dyDescent="0.3">
      <c r="A320" s="32">
        <v>310</v>
      </c>
      <c r="B320" s="33"/>
      <c r="C320" s="33"/>
      <c r="D320" s="33"/>
      <c r="E320" s="33" t="s">
        <v>24</v>
      </c>
      <c r="F320" s="71" t="str">
        <f t="shared" si="67"/>
        <v>-</v>
      </c>
      <c r="G320" s="33"/>
      <c r="H320" s="33"/>
      <c r="I320" s="46"/>
      <c r="J320" s="35"/>
      <c r="K320" s="35"/>
      <c r="L320" s="36">
        <f t="shared" si="68"/>
        <v>0</v>
      </c>
      <c r="M320" s="33"/>
      <c r="AN320" s="47">
        <v>310</v>
      </c>
      <c r="AO320" s="42">
        <f t="shared" si="59"/>
        <v>0</v>
      </c>
      <c r="AP320" s="43">
        <f t="shared" si="60"/>
        <v>0</v>
      </c>
      <c r="AQ320" s="42">
        <f t="shared" si="61"/>
        <v>0</v>
      </c>
      <c r="AR320" s="44">
        <f t="shared" si="62"/>
        <v>0</v>
      </c>
      <c r="AT320" s="39">
        <f t="shared" si="63"/>
        <v>0</v>
      </c>
      <c r="AU320" s="39">
        <f t="shared" si="64"/>
        <v>0</v>
      </c>
      <c r="AW320" s="45">
        <f t="shared" si="65"/>
        <v>0</v>
      </c>
      <c r="AX320" s="45">
        <f t="shared" si="66"/>
        <v>0</v>
      </c>
    </row>
    <row r="321" spans="1:50" x14ac:dyDescent="0.3">
      <c r="A321" s="32">
        <v>311</v>
      </c>
      <c r="B321" s="33"/>
      <c r="C321" s="33"/>
      <c r="D321" s="33"/>
      <c r="E321" s="33" t="s">
        <v>24</v>
      </c>
      <c r="F321" s="71" t="str">
        <f t="shared" si="67"/>
        <v>-</v>
      </c>
      <c r="G321" s="33"/>
      <c r="H321" s="33"/>
      <c r="I321" s="46"/>
      <c r="J321" s="35"/>
      <c r="K321" s="35"/>
      <c r="L321" s="36">
        <f t="shared" si="68"/>
        <v>0</v>
      </c>
      <c r="M321" s="33"/>
      <c r="AN321" s="47">
        <v>311</v>
      </c>
      <c r="AO321" s="42">
        <f t="shared" si="59"/>
        <v>0</v>
      </c>
      <c r="AP321" s="43">
        <f t="shared" si="60"/>
        <v>0</v>
      </c>
      <c r="AQ321" s="42">
        <f t="shared" si="61"/>
        <v>0</v>
      </c>
      <c r="AR321" s="44">
        <f t="shared" si="62"/>
        <v>0</v>
      </c>
      <c r="AT321" s="39">
        <f t="shared" si="63"/>
        <v>0</v>
      </c>
      <c r="AU321" s="39">
        <f t="shared" si="64"/>
        <v>0</v>
      </c>
      <c r="AW321" s="45">
        <f t="shared" si="65"/>
        <v>0</v>
      </c>
      <c r="AX321" s="45">
        <f t="shared" si="66"/>
        <v>0</v>
      </c>
    </row>
    <row r="322" spans="1:50" x14ac:dyDescent="0.3">
      <c r="A322" s="32">
        <v>312</v>
      </c>
      <c r="B322" s="33"/>
      <c r="C322" s="33"/>
      <c r="D322" s="33"/>
      <c r="E322" s="33" t="s">
        <v>24</v>
      </c>
      <c r="F322" s="71" t="str">
        <f t="shared" si="67"/>
        <v>-</v>
      </c>
      <c r="G322" s="33"/>
      <c r="H322" s="33"/>
      <c r="I322" s="46"/>
      <c r="J322" s="35"/>
      <c r="K322" s="35"/>
      <c r="L322" s="36">
        <f t="shared" si="68"/>
        <v>0</v>
      </c>
      <c r="M322" s="33"/>
      <c r="AN322" s="47">
        <v>312</v>
      </c>
      <c r="AO322" s="42">
        <f t="shared" si="59"/>
        <v>0</v>
      </c>
      <c r="AP322" s="43">
        <f t="shared" si="60"/>
        <v>0</v>
      </c>
      <c r="AQ322" s="42">
        <f t="shared" si="61"/>
        <v>0</v>
      </c>
      <c r="AR322" s="44">
        <f t="shared" si="62"/>
        <v>0</v>
      </c>
      <c r="AT322" s="39">
        <f t="shared" si="63"/>
        <v>0</v>
      </c>
      <c r="AU322" s="39">
        <f t="shared" si="64"/>
        <v>0</v>
      </c>
      <c r="AW322" s="45">
        <f t="shared" si="65"/>
        <v>0</v>
      </c>
      <c r="AX322" s="45">
        <f t="shared" si="66"/>
        <v>0</v>
      </c>
    </row>
    <row r="323" spans="1:50" x14ac:dyDescent="0.3">
      <c r="A323" s="32">
        <v>313</v>
      </c>
      <c r="B323" s="33"/>
      <c r="C323" s="33"/>
      <c r="D323" s="33"/>
      <c r="E323" s="33" t="s">
        <v>24</v>
      </c>
      <c r="F323" s="71" t="str">
        <f t="shared" si="67"/>
        <v>-</v>
      </c>
      <c r="G323" s="33"/>
      <c r="H323" s="33"/>
      <c r="I323" s="46"/>
      <c r="J323" s="35"/>
      <c r="K323" s="35"/>
      <c r="L323" s="36">
        <f t="shared" si="68"/>
        <v>0</v>
      </c>
      <c r="M323" s="33"/>
      <c r="AN323" s="47">
        <v>313</v>
      </c>
      <c r="AO323" s="42">
        <f t="shared" si="59"/>
        <v>0</v>
      </c>
      <c r="AP323" s="43">
        <f t="shared" si="60"/>
        <v>0</v>
      </c>
      <c r="AQ323" s="42">
        <f t="shared" si="61"/>
        <v>0</v>
      </c>
      <c r="AR323" s="44">
        <f t="shared" si="62"/>
        <v>0</v>
      </c>
      <c r="AT323" s="39">
        <f t="shared" si="63"/>
        <v>0</v>
      </c>
      <c r="AU323" s="39">
        <f t="shared" si="64"/>
        <v>0</v>
      </c>
      <c r="AW323" s="45">
        <f t="shared" si="65"/>
        <v>0</v>
      </c>
      <c r="AX323" s="45">
        <f t="shared" si="66"/>
        <v>0</v>
      </c>
    </row>
    <row r="324" spans="1:50" x14ac:dyDescent="0.3">
      <c r="A324" s="32">
        <v>314</v>
      </c>
      <c r="B324" s="33"/>
      <c r="C324" s="33"/>
      <c r="D324" s="33"/>
      <c r="E324" s="33" t="s">
        <v>24</v>
      </c>
      <c r="F324" s="71" t="str">
        <f t="shared" si="67"/>
        <v>-</v>
      </c>
      <c r="G324" s="33"/>
      <c r="H324" s="33"/>
      <c r="I324" s="46"/>
      <c r="J324" s="35"/>
      <c r="K324" s="35"/>
      <c r="L324" s="36">
        <f t="shared" si="68"/>
        <v>0</v>
      </c>
      <c r="M324" s="33"/>
      <c r="AN324" s="47">
        <v>314</v>
      </c>
      <c r="AO324" s="42">
        <f t="shared" si="59"/>
        <v>0</v>
      </c>
      <c r="AP324" s="43">
        <f t="shared" si="60"/>
        <v>0</v>
      </c>
      <c r="AQ324" s="42">
        <f t="shared" si="61"/>
        <v>0</v>
      </c>
      <c r="AR324" s="44">
        <f t="shared" si="62"/>
        <v>0</v>
      </c>
      <c r="AT324" s="39">
        <f t="shared" si="63"/>
        <v>0</v>
      </c>
      <c r="AU324" s="39">
        <f t="shared" si="64"/>
        <v>0</v>
      </c>
      <c r="AW324" s="45">
        <f t="shared" si="65"/>
        <v>0</v>
      </c>
      <c r="AX324" s="45">
        <f t="shared" si="66"/>
        <v>0</v>
      </c>
    </row>
    <row r="325" spans="1:50" x14ac:dyDescent="0.3">
      <c r="A325" s="32">
        <v>315</v>
      </c>
      <c r="B325" s="33"/>
      <c r="C325" s="33"/>
      <c r="D325" s="33"/>
      <c r="E325" s="33" t="s">
        <v>24</v>
      </c>
      <c r="F325" s="71" t="str">
        <f t="shared" si="67"/>
        <v>-</v>
      </c>
      <c r="G325" s="33"/>
      <c r="H325" s="33"/>
      <c r="I325" s="46"/>
      <c r="J325" s="35"/>
      <c r="K325" s="35"/>
      <c r="L325" s="36">
        <f t="shared" si="68"/>
        <v>0</v>
      </c>
      <c r="M325" s="33"/>
      <c r="AN325" s="47">
        <v>315</v>
      </c>
      <c r="AO325" s="42">
        <f t="shared" si="59"/>
        <v>0</v>
      </c>
      <c r="AP325" s="43">
        <f t="shared" si="60"/>
        <v>0</v>
      </c>
      <c r="AQ325" s="42">
        <f t="shared" si="61"/>
        <v>0</v>
      </c>
      <c r="AR325" s="44">
        <f t="shared" si="62"/>
        <v>0</v>
      </c>
      <c r="AT325" s="39">
        <f t="shared" si="63"/>
        <v>0</v>
      </c>
      <c r="AU325" s="39">
        <f t="shared" si="64"/>
        <v>0</v>
      </c>
      <c r="AW325" s="45">
        <f t="shared" si="65"/>
        <v>0</v>
      </c>
      <c r="AX325" s="45">
        <f t="shared" si="66"/>
        <v>0</v>
      </c>
    </row>
    <row r="326" spans="1:50" x14ac:dyDescent="0.3">
      <c r="A326" s="32">
        <v>316</v>
      </c>
      <c r="B326" s="33"/>
      <c r="C326" s="33"/>
      <c r="D326" s="33"/>
      <c r="E326" s="33" t="s">
        <v>24</v>
      </c>
      <c r="F326" s="71" t="str">
        <f t="shared" si="67"/>
        <v>-</v>
      </c>
      <c r="G326" s="33"/>
      <c r="H326" s="33"/>
      <c r="I326" s="46"/>
      <c r="J326" s="35"/>
      <c r="K326" s="35"/>
      <c r="L326" s="36">
        <f t="shared" si="68"/>
        <v>0</v>
      </c>
      <c r="M326" s="33"/>
      <c r="AN326" s="47">
        <v>316</v>
      </c>
      <c r="AO326" s="42">
        <f t="shared" si="59"/>
        <v>0</v>
      </c>
      <c r="AP326" s="43">
        <f t="shared" si="60"/>
        <v>0</v>
      </c>
      <c r="AQ326" s="42">
        <f t="shared" si="61"/>
        <v>0</v>
      </c>
      <c r="AR326" s="44">
        <f t="shared" si="62"/>
        <v>0</v>
      </c>
      <c r="AT326" s="39">
        <f t="shared" si="63"/>
        <v>0</v>
      </c>
      <c r="AU326" s="39">
        <f t="shared" si="64"/>
        <v>0</v>
      </c>
      <c r="AW326" s="45">
        <f t="shared" si="65"/>
        <v>0</v>
      </c>
      <c r="AX326" s="45">
        <f t="shared" si="66"/>
        <v>0</v>
      </c>
    </row>
    <row r="327" spans="1:50" x14ac:dyDescent="0.3">
      <c r="A327" s="32">
        <v>317</v>
      </c>
      <c r="B327" s="33"/>
      <c r="C327" s="33"/>
      <c r="D327" s="33"/>
      <c r="E327" s="33" t="s">
        <v>24</v>
      </c>
      <c r="F327" s="71" t="str">
        <f t="shared" si="67"/>
        <v>-</v>
      </c>
      <c r="G327" s="33"/>
      <c r="H327" s="33"/>
      <c r="I327" s="46"/>
      <c r="J327" s="35"/>
      <c r="K327" s="35"/>
      <c r="L327" s="36">
        <f t="shared" si="68"/>
        <v>0</v>
      </c>
      <c r="M327" s="33"/>
      <c r="AN327" s="47">
        <v>317</v>
      </c>
      <c r="AO327" s="42">
        <f t="shared" si="59"/>
        <v>0</v>
      </c>
      <c r="AP327" s="43">
        <f t="shared" si="60"/>
        <v>0</v>
      </c>
      <c r="AQ327" s="42">
        <f t="shared" si="61"/>
        <v>0</v>
      </c>
      <c r="AR327" s="44">
        <f t="shared" si="62"/>
        <v>0</v>
      </c>
      <c r="AT327" s="39">
        <f t="shared" si="63"/>
        <v>0</v>
      </c>
      <c r="AU327" s="39">
        <f t="shared" si="64"/>
        <v>0</v>
      </c>
      <c r="AW327" s="45">
        <f t="shared" si="65"/>
        <v>0</v>
      </c>
      <c r="AX327" s="45">
        <f t="shared" si="66"/>
        <v>0</v>
      </c>
    </row>
    <row r="328" spans="1:50" x14ac:dyDescent="0.3">
      <c r="A328" s="32">
        <v>318</v>
      </c>
      <c r="B328" s="33"/>
      <c r="C328" s="33"/>
      <c r="D328" s="33"/>
      <c r="E328" s="33" t="s">
        <v>24</v>
      </c>
      <c r="F328" s="71" t="str">
        <f t="shared" si="67"/>
        <v>-</v>
      </c>
      <c r="G328" s="33"/>
      <c r="H328" s="33"/>
      <c r="I328" s="46"/>
      <c r="J328" s="35"/>
      <c r="K328" s="35"/>
      <c r="L328" s="36">
        <f t="shared" si="68"/>
        <v>0</v>
      </c>
      <c r="M328" s="33"/>
      <c r="AN328" s="47">
        <v>318</v>
      </c>
      <c r="AO328" s="42">
        <f t="shared" si="59"/>
        <v>0</v>
      </c>
      <c r="AP328" s="43">
        <f t="shared" si="60"/>
        <v>0</v>
      </c>
      <c r="AQ328" s="42">
        <f t="shared" si="61"/>
        <v>0</v>
      </c>
      <c r="AR328" s="44">
        <f t="shared" si="62"/>
        <v>0</v>
      </c>
      <c r="AT328" s="39">
        <f t="shared" si="63"/>
        <v>0</v>
      </c>
      <c r="AU328" s="39">
        <f t="shared" si="64"/>
        <v>0</v>
      </c>
      <c r="AW328" s="45">
        <f t="shared" si="65"/>
        <v>0</v>
      </c>
      <c r="AX328" s="45">
        <f t="shared" si="66"/>
        <v>0</v>
      </c>
    </row>
    <row r="329" spans="1:50" x14ac:dyDescent="0.3">
      <c r="A329" s="32">
        <v>319</v>
      </c>
      <c r="B329" s="33"/>
      <c r="C329" s="33"/>
      <c r="D329" s="33"/>
      <c r="E329" s="33" t="s">
        <v>24</v>
      </c>
      <c r="F329" s="71" t="str">
        <f t="shared" si="67"/>
        <v>-</v>
      </c>
      <c r="G329" s="33"/>
      <c r="H329" s="33"/>
      <c r="I329" s="46"/>
      <c r="J329" s="35"/>
      <c r="K329" s="35"/>
      <c r="L329" s="36">
        <f t="shared" si="68"/>
        <v>0</v>
      </c>
      <c r="M329" s="33"/>
      <c r="AN329" s="47">
        <v>319</v>
      </c>
      <c r="AO329" s="42">
        <f t="shared" si="59"/>
        <v>0</v>
      </c>
      <c r="AP329" s="43">
        <f t="shared" si="60"/>
        <v>0</v>
      </c>
      <c r="AQ329" s="42">
        <f t="shared" si="61"/>
        <v>0</v>
      </c>
      <c r="AR329" s="44">
        <f t="shared" si="62"/>
        <v>0</v>
      </c>
      <c r="AT329" s="39">
        <f t="shared" si="63"/>
        <v>0</v>
      </c>
      <c r="AU329" s="39">
        <f t="shared" si="64"/>
        <v>0</v>
      </c>
      <c r="AW329" s="45">
        <f t="shared" si="65"/>
        <v>0</v>
      </c>
      <c r="AX329" s="45">
        <f t="shared" si="66"/>
        <v>0</v>
      </c>
    </row>
    <row r="330" spans="1:50" x14ac:dyDescent="0.3">
      <c r="A330" s="32">
        <v>320</v>
      </c>
      <c r="B330" s="33"/>
      <c r="C330" s="33"/>
      <c r="D330" s="33"/>
      <c r="E330" s="33" t="s">
        <v>24</v>
      </c>
      <c r="F330" s="71" t="str">
        <f t="shared" si="67"/>
        <v>-</v>
      </c>
      <c r="G330" s="33"/>
      <c r="H330" s="33"/>
      <c r="I330" s="46"/>
      <c r="J330" s="35"/>
      <c r="K330" s="35"/>
      <c r="L330" s="36">
        <f t="shared" si="68"/>
        <v>0</v>
      </c>
      <c r="M330" s="33"/>
      <c r="AN330" s="47">
        <v>320</v>
      </c>
      <c r="AO330" s="42">
        <f t="shared" si="59"/>
        <v>0</v>
      </c>
      <c r="AP330" s="43">
        <f t="shared" si="60"/>
        <v>0</v>
      </c>
      <c r="AQ330" s="42">
        <f t="shared" si="61"/>
        <v>0</v>
      </c>
      <c r="AR330" s="44">
        <f t="shared" si="62"/>
        <v>0</v>
      </c>
      <c r="AT330" s="39">
        <f t="shared" si="63"/>
        <v>0</v>
      </c>
      <c r="AU330" s="39">
        <f t="shared" si="64"/>
        <v>0</v>
      </c>
      <c r="AW330" s="45">
        <f t="shared" si="65"/>
        <v>0</v>
      </c>
      <c r="AX330" s="45">
        <f t="shared" si="66"/>
        <v>0</v>
      </c>
    </row>
    <row r="331" spans="1:50" x14ac:dyDescent="0.3">
      <c r="A331" s="32">
        <v>321</v>
      </c>
      <c r="B331" s="33"/>
      <c r="C331" s="33"/>
      <c r="D331" s="33"/>
      <c r="E331" s="33" t="s">
        <v>24</v>
      </c>
      <c r="F331" s="71" t="str">
        <f t="shared" si="67"/>
        <v>-</v>
      </c>
      <c r="G331" s="33"/>
      <c r="H331" s="33"/>
      <c r="I331" s="46"/>
      <c r="J331" s="35"/>
      <c r="K331" s="35"/>
      <c r="L331" s="36">
        <f t="shared" si="68"/>
        <v>0</v>
      </c>
      <c r="M331" s="33"/>
      <c r="AN331" s="47">
        <v>321</v>
      </c>
      <c r="AO331" s="42">
        <f t="shared" si="59"/>
        <v>0</v>
      </c>
      <c r="AP331" s="43">
        <f t="shared" si="60"/>
        <v>0</v>
      </c>
      <c r="AQ331" s="42">
        <f t="shared" si="61"/>
        <v>0</v>
      </c>
      <c r="AR331" s="44">
        <f t="shared" si="62"/>
        <v>0</v>
      </c>
      <c r="AT331" s="39">
        <f t="shared" si="63"/>
        <v>0</v>
      </c>
      <c r="AU331" s="39">
        <f t="shared" si="64"/>
        <v>0</v>
      </c>
      <c r="AW331" s="45">
        <f t="shared" si="65"/>
        <v>0</v>
      </c>
      <c r="AX331" s="45">
        <f t="shared" si="66"/>
        <v>0</v>
      </c>
    </row>
    <row r="332" spans="1:50" x14ac:dyDescent="0.3">
      <c r="A332" s="32">
        <v>322</v>
      </c>
      <c r="B332" s="33"/>
      <c r="C332" s="33"/>
      <c r="D332" s="33"/>
      <c r="E332" s="33" t="s">
        <v>24</v>
      </c>
      <c r="F332" s="71" t="str">
        <f t="shared" si="67"/>
        <v>-</v>
      </c>
      <c r="G332" s="33"/>
      <c r="H332" s="33"/>
      <c r="I332" s="46"/>
      <c r="J332" s="35"/>
      <c r="K332" s="35"/>
      <c r="L332" s="36">
        <f t="shared" si="68"/>
        <v>0</v>
      </c>
      <c r="M332" s="33"/>
      <c r="AN332" s="47">
        <v>322</v>
      </c>
      <c r="AO332" s="42">
        <f t="shared" si="59"/>
        <v>0</v>
      </c>
      <c r="AP332" s="43">
        <f t="shared" si="60"/>
        <v>0</v>
      </c>
      <c r="AQ332" s="42">
        <f t="shared" si="61"/>
        <v>0</v>
      </c>
      <c r="AR332" s="44">
        <f t="shared" si="62"/>
        <v>0</v>
      </c>
      <c r="AT332" s="39">
        <f t="shared" si="63"/>
        <v>0</v>
      </c>
      <c r="AU332" s="39">
        <f t="shared" si="64"/>
        <v>0</v>
      </c>
      <c r="AW332" s="45">
        <f t="shared" si="65"/>
        <v>0</v>
      </c>
      <c r="AX332" s="45">
        <f t="shared" si="66"/>
        <v>0</v>
      </c>
    </row>
    <row r="333" spans="1:50" x14ac:dyDescent="0.3">
      <c r="A333" s="32">
        <v>323</v>
      </c>
      <c r="B333" s="33"/>
      <c r="C333" s="33"/>
      <c r="D333" s="33"/>
      <c r="E333" s="33" t="s">
        <v>24</v>
      </c>
      <c r="F333" s="71" t="str">
        <f t="shared" si="67"/>
        <v>-</v>
      </c>
      <c r="G333" s="33"/>
      <c r="H333" s="33"/>
      <c r="I333" s="46"/>
      <c r="J333" s="35"/>
      <c r="K333" s="35"/>
      <c r="L333" s="36">
        <f t="shared" si="68"/>
        <v>0</v>
      </c>
      <c r="M333" s="33"/>
      <c r="AN333" s="47">
        <v>323</v>
      </c>
      <c r="AO333" s="42">
        <f t="shared" si="59"/>
        <v>0</v>
      </c>
      <c r="AP333" s="43">
        <f t="shared" si="60"/>
        <v>0</v>
      </c>
      <c r="AQ333" s="42">
        <f t="shared" si="61"/>
        <v>0</v>
      </c>
      <c r="AR333" s="44">
        <f t="shared" si="62"/>
        <v>0</v>
      </c>
      <c r="AT333" s="39">
        <f t="shared" si="63"/>
        <v>0</v>
      </c>
      <c r="AU333" s="39">
        <f t="shared" si="64"/>
        <v>0</v>
      </c>
      <c r="AW333" s="45">
        <f t="shared" si="65"/>
        <v>0</v>
      </c>
      <c r="AX333" s="45">
        <f t="shared" si="66"/>
        <v>0</v>
      </c>
    </row>
    <row r="334" spans="1:50" x14ac:dyDescent="0.3">
      <c r="A334" s="32">
        <v>324</v>
      </c>
      <c r="B334" s="33"/>
      <c r="C334" s="33"/>
      <c r="D334" s="33"/>
      <c r="E334" s="33" t="s">
        <v>24</v>
      </c>
      <c r="F334" s="71" t="str">
        <f t="shared" si="67"/>
        <v>-</v>
      </c>
      <c r="G334" s="33"/>
      <c r="H334" s="33"/>
      <c r="I334" s="46"/>
      <c r="J334" s="35"/>
      <c r="K334" s="35"/>
      <c r="L334" s="36">
        <f t="shared" si="68"/>
        <v>0</v>
      </c>
      <c r="M334" s="33"/>
      <c r="AN334" s="47">
        <v>324</v>
      </c>
      <c r="AO334" s="42">
        <f t="shared" si="59"/>
        <v>0</v>
      </c>
      <c r="AP334" s="43">
        <f t="shared" si="60"/>
        <v>0</v>
      </c>
      <c r="AQ334" s="42">
        <f t="shared" si="61"/>
        <v>0</v>
      </c>
      <c r="AR334" s="44">
        <f t="shared" si="62"/>
        <v>0</v>
      </c>
      <c r="AT334" s="39">
        <f t="shared" si="63"/>
        <v>0</v>
      </c>
      <c r="AU334" s="39">
        <f t="shared" si="64"/>
        <v>0</v>
      </c>
      <c r="AW334" s="45">
        <f t="shared" si="65"/>
        <v>0</v>
      </c>
      <c r="AX334" s="45">
        <f t="shared" si="66"/>
        <v>0</v>
      </c>
    </row>
    <row r="335" spans="1:50" x14ac:dyDescent="0.3">
      <c r="A335" s="32">
        <v>325</v>
      </c>
      <c r="B335" s="33"/>
      <c r="C335" s="33"/>
      <c r="D335" s="33"/>
      <c r="E335" s="33" t="s">
        <v>24</v>
      </c>
      <c r="F335" s="71" t="str">
        <f t="shared" si="67"/>
        <v>-</v>
      </c>
      <c r="G335" s="33"/>
      <c r="H335" s="33"/>
      <c r="I335" s="46"/>
      <c r="J335" s="35"/>
      <c r="K335" s="35"/>
      <c r="L335" s="36">
        <f t="shared" si="68"/>
        <v>0</v>
      </c>
      <c r="M335" s="33"/>
      <c r="AN335" s="47">
        <v>325</v>
      </c>
      <c r="AO335" s="42">
        <f t="shared" ref="AO335:AO398" si="69">I335+(I335*J335)+(I335*K335)</f>
        <v>0</v>
      </c>
      <c r="AP335" s="43">
        <f t="shared" ref="AP335:AP398" si="70">IFERROR(VLOOKUP(E335,$AE$11:$AK$14,4,0),0)</f>
        <v>0</v>
      </c>
      <c r="AQ335" s="42">
        <f t="shared" ref="AQ335:AQ398" si="71">(I335+(I335*J335)+(I335*K335))*AP335</f>
        <v>0</v>
      </c>
      <c r="AR335" s="44">
        <f t="shared" ref="AR335:AR398" si="72">AO335+AQ335</f>
        <v>0</v>
      </c>
      <c r="AT335" s="39">
        <f t="shared" ref="AT335:AT398" si="73">IFERROR((VLOOKUP(E335,$AE$11:$AJ$14,5,0)),0)</f>
        <v>0</v>
      </c>
      <c r="AU335" s="39">
        <f t="shared" ref="AU335:AU398" si="74">IFERROR((VLOOKUP(E335,$AE$11:$AJ$14,6,0)),0)</f>
        <v>0</v>
      </c>
      <c r="AW335" s="45">
        <f t="shared" ref="AW335:AW398" si="75">AR335*AT335</f>
        <v>0</v>
      </c>
      <c r="AX335" s="45">
        <f t="shared" ref="AX335:AX398" si="76">AR335*AU335</f>
        <v>0</v>
      </c>
    </row>
    <row r="336" spans="1:50" x14ac:dyDescent="0.3">
      <c r="A336" s="32">
        <v>326</v>
      </c>
      <c r="B336" s="33"/>
      <c r="C336" s="33"/>
      <c r="D336" s="33"/>
      <c r="E336" s="33" t="s">
        <v>24</v>
      </c>
      <c r="F336" s="71" t="str">
        <f t="shared" si="67"/>
        <v>-</v>
      </c>
      <c r="G336" s="33"/>
      <c r="H336" s="33"/>
      <c r="I336" s="46"/>
      <c r="J336" s="35"/>
      <c r="K336" s="35"/>
      <c r="L336" s="36">
        <f t="shared" si="68"/>
        <v>0</v>
      </c>
      <c r="M336" s="33"/>
      <c r="AN336" s="47">
        <v>326</v>
      </c>
      <c r="AO336" s="42">
        <f t="shared" si="69"/>
        <v>0</v>
      </c>
      <c r="AP336" s="43">
        <f t="shared" si="70"/>
        <v>0</v>
      </c>
      <c r="AQ336" s="42">
        <f t="shared" si="71"/>
        <v>0</v>
      </c>
      <c r="AR336" s="44">
        <f t="shared" si="72"/>
        <v>0</v>
      </c>
      <c r="AT336" s="39">
        <f t="shared" si="73"/>
        <v>0</v>
      </c>
      <c r="AU336" s="39">
        <f t="shared" si="74"/>
        <v>0</v>
      </c>
      <c r="AW336" s="45">
        <f t="shared" si="75"/>
        <v>0</v>
      </c>
      <c r="AX336" s="45">
        <f t="shared" si="76"/>
        <v>0</v>
      </c>
    </row>
    <row r="337" spans="1:50" x14ac:dyDescent="0.3">
      <c r="A337" s="32">
        <v>327</v>
      </c>
      <c r="B337" s="33"/>
      <c r="C337" s="33"/>
      <c r="D337" s="33"/>
      <c r="E337" s="33" t="s">
        <v>24</v>
      </c>
      <c r="F337" s="71" t="str">
        <f t="shared" si="67"/>
        <v>-</v>
      </c>
      <c r="G337" s="33"/>
      <c r="H337" s="33"/>
      <c r="I337" s="46"/>
      <c r="J337" s="35"/>
      <c r="K337" s="35"/>
      <c r="L337" s="36">
        <f t="shared" si="68"/>
        <v>0</v>
      </c>
      <c r="M337" s="33"/>
      <c r="AN337" s="47">
        <v>327</v>
      </c>
      <c r="AO337" s="42">
        <f t="shared" si="69"/>
        <v>0</v>
      </c>
      <c r="AP337" s="43">
        <f t="shared" si="70"/>
        <v>0</v>
      </c>
      <c r="AQ337" s="42">
        <f t="shared" si="71"/>
        <v>0</v>
      </c>
      <c r="AR337" s="44">
        <f t="shared" si="72"/>
        <v>0</v>
      </c>
      <c r="AT337" s="39">
        <f t="shared" si="73"/>
        <v>0</v>
      </c>
      <c r="AU337" s="39">
        <f t="shared" si="74"/>
        <v>0</v>
      </c>
      <c r="AW337" s="45">
        <f t="shared" si="75"/>
        <v>0</v>
      </c>
      <c r="AX337" s="45">
        <f t="shared" si="76"/>
        <v>0</v>
      </c>
    </row>
    <row r="338" spans="1:50" x14ac:dyDescent="0.3">
      <c r="A338" s="32">
        <v>328</v>
      </c>
      <c r="B338" s="33"/>
      <c r="C338" s="33"/>
      <c r="D338" s="33"/>
      <c r="E338" s="33" t="s">
        <v>24</v>
      </c>
      <c r="F338" s="71" t="str">
        <f t="shared" si="67"/>
        <v>-</v>
      </c>
      <c r="G338" s="33"/>
      <c r="H338" s="33"/>
      <c r="I338" s="46"/>
      <c r="J338" s="35"/>
      <c r="K338" s="35"/>
      <c r="L338" s="36">
        <f t="shared" si="68"/>
        <v>0</v>
      </c>
      <c r="M338" s="33"/>
      <c r="AN338" s="47">
        <v>328</v>
      </c>
      <c r="AO338" s="42">
        <f t="shared" si="69"/>
        <v>0</v>
      </c>
      <c r="AP338" s="43">
        <f t="shared" si="70"/>
        <v>0</v>
      </c>
      <c r="AQ338" s="42">
        <f t="shared" si="71"/>
        <v>0</v>
      </c>
      <c r="AR338" s="44">
        <f t="shared" si="72"/>
        <v>0</v>
      </c>
      <c r="AT338" s="39">
        <f t="shared" si="73"/>
        <v>0</v>
      </c>
      <c r="AU338" s="39">
        <f t="shared" si="74"/>
        <v>0</v>
      </c>
      <c r="AW338" s="45">
        <f t="shared" si="75"/>
        <v>0</v>
      </c>
      <c r="AX338" s="45">
        <f t="shared" si="76"/>
        <v>0</v>
      </c>
    </row>
    <row r="339" spans="1:50" x14ac:dyDescent="0.3">
      <c r="A339" s="32">
        <v>329</v>
      </c>
      <c r="B339" s="33"/>
      <c r="C339" s="33"/>
      <c r="D339" s="33"/>
      <c r="E339" s="33" t="s">
        <v>24</v>
      </c>
      <c r="F339" s="71" t="str">
        <f t="shared" si="67"/>
        <v>-</v>
      </c>
      <c r="G339" s="33"/>
      <c r="H339" s="33"/>
      <c r="I339" s="46"/>
      <c r="J339" s="35"/>
      <c r="K339" s="35"/>
      <c r="L339" s="36">
        <f t="shared" si="68"/>
        <v>0</v>
      </c>
      <c r="M339" s="33"/>
      <c r="AN339" s="47">
        <v>329</v>
      </c>
      <c r="AO339" s="42">
        <f t="shared" si="69"/>
        <v>0</v>
      </c>
      <c r="AP339" s="43">
        <f t="shared" si="70"/>
        <v>0</v>
      </c>
      <c r="AQ339" s="42">
        <f t="shared" si="71"/>
        <v>0</v>
      </c>
      <c r="AR339" s="44">
        <f t="shared" si="72"/>
        <v>0</v>
      </c>
      <c r="AT339" s="39">
        <f t="shared" si="73"/>
        <v>0</v>
      </c>
      <c r="AU339" s="39">
        <f t="shared" si="74"/>
        <v>0</v>
      </c>
      <c r="AW339" s="45">
        <f t="shared" si="75"/>
        <v>0</v>
      </c>
      <c r="AX339" s="45">
        <f t="shared" si="76"/>
        <v>0</v>
      </c>
    </row>
    <row r="340" spans="1:50" x14ac:dyDescent="0.3">
      <c r="A340" s="32">
        <v>330</v>
      </c>
      <c r="B340" s="33"/>
      <c r="C340" s="33"/>
      <c r="D340" s="33"/>
      <c r="E340" s="33" t="s">
        <v>24</v>
      </c>
      <c r="F340" s="71" t="str">
        <f t="shared" si="67"/>
        <v>-</v>
      </c>
      <c r="G340" s="33"/>
      <c r="H340" s="33"/>
      <c r="I340" s="46"/>
      <c r="J340" s="35"/>
      <c r="K340" s="35"/>
      <c r="L340" s="36">
        <f t="shared" si="68"/>
        <v>0</v>
      </c>
      <c r="M340" s="33"/>
      <c r="AN340" s="47">
        <v>330</v>
      </c>
      <c r="AO340" s="42">
        <f t="shared" si="69"/>
        <v>0</v>
      </c>
      <c r="AP340" s="43">
        <f t="shared" si="70"/>
        <v>0</v>
      </c>
      <c r="AQ340" s="42">
        <f t="shared" si="71"/>
        <v>0</v>
      </c>
      <c r="AR340" s="44">
        <f t="shared" si="72"/>
        <v>0</v>
      </c>
      <c r="AT340" s="39">
        <f t="shared" si="73"/>
        <v>0</v>
      </c>
      <c r="AU340" s="39">
        <f t="shared" si="74"/>
        <v>0</v>
      </c>
      <c r="AW340" s="45">
        <f t="shared" si="75"/>
        <v>0</v>
      </c>
      <c r="AX340" s="45">
        <f t="shared" si="76"/>
        <v>0</v>
      </c>
    </row>
    <row r="341" spans="1:50" x14ac:dyDescent="0.3">
      <c r="A341" s="32">
        <v>331</v>
      </c>
      <c r="B341" s="33"/>
      <c r="C341" s="33"/>
      <c r="D341" s="33"/>
      <c r="E341" s="33" t="s">
        <v>24</v>
      </c>
      <c r="F341" s="71" t="str">
        <f t="shared" si="67"/>
        <v>-</v>
      </c>
      <c r="G341" s="33"/>
      <c r="H341" s="33"/>
      <c r="I341" s="46"/>
      <c r="J341" s="35"/>
      <c r="K341" s="35"/>
      <c r="L341" s="36">
        <f t="shared" si="68"/>
        <v>0</v>
      </c>
      <c r="M341" s="33"/>
      <c r="AN341" s="47">
        <v>331</v>
      </c>
      <c r="AO341" s="42">
        <f t="shared" si="69"/>
        <v>0</v>
      </c>
      <c r="AP341" s="43">
        <f t="shared" si="70"/>
        <v>0</v>
      </c>
      <c r="AQ341" s="42">
        <f t="shared" si="71"/>
        <v>0</v>
      </c>
      <c r="AR341" s="44">
        <f t="shared" si="72"/>
        <v>0</v>
      </c>
      <c r="AT341" s="39">
        <f t="shared" si="73"/>
        <v>0</v>
      </c>
      <c r="AU341" s="39">
        <f t="shared" si="74"/>
        <v>0</v>
      </c>
      <c r="AW341" s="45">
        <f t="shared" si="75"/>
        <v>0</v>
      </c>
      <c r="AX341" s="45">
        <f t="shared" si="76"/>
        <v>0</v>
      </c>
    </row>
    <row r="342" spans="1:50" x14ac:dyDescent="0.3">
      <c r="A342" s="32">
        <v>332</v>
      </c>
      <c r="B342" s="33"/>
      <c r="C342" s="33"/>
      <c r="D342" s="33"/>
      <c r="E342" s="33" t="s">
        <v>24</v>
      </c>
      <c r="F342" s="71" t="str">
        <f t="shared" si="67"/>
        <v>-</v>
      </c>
      <c r="G342" s="33"/>
      <c r="H342" s="33"/>
      <c r="I342" s="46"/>
      <c r="J342" s="35"/>
      <c r="K342" s="35"/>
      <c r="L342" s="36">
        <f t="shared" si="68"/>
        <v>0</v>
      </c>
      <c r="M342" s="33"/>
      <c r="AN342" s="47">
        <v>332</v>
      </c>
      <c r="AO342" s="42">
        <f t="shared" si="69"/>
        <v>0</v>
      </c>
      <c r="AP342" s="43">
        <f t="shared" si="70"/>
        <v>0</v>
      </c>
      <c r="AQ342" s="42">
        <f t="shared" si="71"/>
        <v>0</v>
      </c>
      <c r="AR342" s="44">
        <f t="shared" si="72"/>
        <v>0</v>
      </c>
      <c r="AT342" s="39">
        <f t="shared" si="73"/>
        <v>0</v>
      </c>
      <c r="AU342" s="39">
        <f t="shared" si="74"/>
        <v>0</v>
      </c>
      <c r="AW342" s="45">
        <f t="shared" si="75"/>
        <v>0</v>
      </c>
      <c r="AX342" s="45">
        <f t="shared" si="76"/>
        <v>0</v>
      </c>
    </row>
    <row r="343" spans="1:50" x14ac:dyDescent="0.3">
      <c r="A343" s="32">
        <v>333</v>
      </c>
      <c r="B343" s="33"/>
      <c r="C343" s="33"/>
      <c r="D343" s="33"/>
      <c r="E343" s="33" t="s">
        <v>24</v>
      </c>
      <c r="F343" s="71" t="str">
        <f t="shared" si="67"/>
        <v>-</v>
      </c>
      <c r="G343" s="33"/>
      <c r="H343" s="33"/>
      <c r="I343" s="46"/>
      <c r="J343" s="35"/>
      <c r="K343" s="35"/>
      <c r="L343" s="36">
        <f t="shared" si="68"/>
        <v>0</v>
      </c>
      <c r="M343" s="33"/>
      <c r="AN343" s="47">
        <v>333</v>
      </c>
      <c r="AO343" s="42">
        <f t="shared" si="69"/>
        <v>0</v>
      </c>
      <c r="AP343" s="43">
        <f t="shared" si="70"/>
        <v>0</v>
      </c>
      <c r="AQ343" s="42">
        <f t="shared" si="71"/>
        <v>0</v>
      </c>
      <c r="AR343" s="44">
        <f t="shared" si="72"/>
        <v>0</v>
      </c>
      <c r="AT343" s="39">
        <f t="shared" si="73"/>
        <v>0</v>
      </c>
      <c r="AU343" s="39">
        <f t="shared" si="74"/>
        <v>0</v>
      </c>
      <c r="AW343" s="45">
        <f t="shared" si="75"/>
        <v>0</v>
      </c>
      <c r="AX343" s="45">
        <f t="shared" si="76"/>
        <v>0</v>
      </c>
    </row>
    <row r="344" spans="1:50" x14ac:dyDescent="0.3">
      <c r="A344" s="32">
        <v>334</v>
      </c>
      <c r="B344" s="33"/>
      <c r="C344" s="33"/>
      <c r="D344" s="33"/>
      <c r="E344" s="33" t="s">
        <v>24</v>
      </c>
      <c r="F344" s="71" t="str">
        <f t="shared" si="67"/>
        <v>-</v>
      </c>
      <c r="G344" s="33"/>
      <c r="H344" s="33"/>
      <c r="I344" s="46"/>
      <c r="J344" s="35"/>
      <c r="K344" s="35"/>
      <c r="L344" s="36">
        <f t="shared" si="68"/>
        <v>0</v>
      </c>
      <c r="M344" s="33"/>
      <c r="AN344" s="47">
        <v>334</v>
      </c>
      <c r="AO344" s="42">
        <f t="shared" si="69"/>
        <v>0</v>
      </c>
      <c r="AP344" s="43">
        <f t="shared" si="70"/>
        <v>0</v>
      </c>
      <c r="AQ344" s="42">
        <f t="shared" si="71"/>
        <v>0</v>
      </c>
      <c r="AR344" s="44">
        <f t="shared" si="72"/>
        <v>0</v>
      </c>
      <c r="AT344" s="39">
        <f t="shared" si="73"/>
        <v>0</v>
      </c>
      <c r="AU344" s="39">
        <f t="shared" si="74"/>
        <v>0</v>
      </c>
      <c r="AW344" s="45">
        <f t="shared" si="75"/>
        <v>0</v>
      </c>
      <c r="AX344" s="45">
        <f t="shared" si="76"/>
        <v>0</v>
      </c>
    </row>
    <row r="345" spans="1:50" x14ac:dyDescent="0.3">
      <c r="A345" s="32">
        <v>335</v>
      </c>
      <c r="B345" s="33"/>
      <c r="C345" s="33"/>
      <c r="D345" s="33"/>
      <c r="E345" s="33" t="s">
        <v>24</v>
      </c>
      <c r="F345" s="71" t="str">
        <f t="shared" si="67"/>
        <v>-</v>
      </c>
      <c r="G345" s="33"/>
      <c r="H345" s="33"/>
      <c r="I345" s="46"/>
      <c r="J345" s="35"/>
      <c r="K345" s="35"/>
      <c r="L345" s="36">
        <f t="shared" si="68"/>
        <v>0</v>
      </c>
      <c r="M345" s="33"/>
      <c r="AN345" s="47">
        <v>335</v>
      </c>
      <c r="AO345" s="42">
        <f t="shared" si="69"/>
        <v>0</v>
      </c>
      <c r="AP345" s="43">
        <f t="shared" si="70"/>
        <v>0</v>
      </c>
      <c r="AQ345" s="42">
        <f t="shared" si="71"/>
        <v>0</v>
      </c>
      <c r="AR345" s="44">
        <f t="shared" si="72"/>
        <v>0</v>
      </c>
      <c r="AT345" s="39">
        <f t="shared" si="73"/>
        <v>0</v>
      </c>
      <c r="AU345" s="39">
        <f t="shared" si="74"/>
        <v>0</v>
      </c>
      <c r="AW345" s="45">
        <f t="shared" si="75"/>
        <v>0</v>
      </c>
      <c r="AX345" s="45">
        <f t="shared" si="76"/>
        <v>0</v>
      </c>
    </row>
    <row r="346" spans="1:50" x14ac:dyDescent="0.3">
      <c r="A346" s="32">
        <v>336</v>
      </c>
      <c r="B346" s="33"/>
      <c r="C346" s="33"/>
      <c r="D346" s="33"/>
      <c r="E346" s="33" t="s">
        <v>24</v>
      </c>
      <c r="F346" s="71" t="str">
        <f t="shared" si="67"/>
        <v>-</v>
      </c>
      <c r="G346" s="33"/>
      <c r="H346" s="33"/>
      <c r="I346" s="46"/>
      <c r="J346" s="35"/>
      <c r="K346" s="35"/>
      <c r="L346" s="36">
        <f t="shared" si="68"/>
        <v>0</v>
      </c>
      <c r="M346" s="33"/>
      <c r="AN346" s="47">
        <v>336</v>
      </c>
      <c r="AO346" s="42">
        <f t="shared" si="69"/>
        <v>0</v>
      </c>
      <c r="AP346" s="43">
        <f t="shared" si="70"/>
        <v>0</v>
      </c>
      <c r="AQ346" s="42">
        <f t="shared" si="71"/>
        <v>0</v>
      </c>
      <c r="AR346" s="44">
        <f t="shared" si="72"/>
        <v>0</v>
      </c>
      <c r="AT346" s="39">
        <f t="shared" si="73"/>
        <v>0</v>
      </c>
      <c r="AU346" s="39">
        <f t="shared" si="74"/>
        <v>0</v>
      </c>
      <c r="AW346" s="45">
        <f t="shared" si="75"/>
        <v>0</v>
      </c>
      <c r="AX346" s="45">
        <f t="shared" si="76"/>
        <v>0</v>
      </c>
    </row>
    <row r="347" spans="1:50" x14ac:dyDescent="0.3">
      <c r="A347" s="32">
        <v>337</v>
      </c>
      <c r="B347" s="33"/>
      <c r="C347" s="33"/>
      <c r="D347" s="33"/>
      <c r="E347" s="33" t="s">
        <v>24</v>
      </c>
      <c r="F347" s="71" t="str">
        <f t="shared" si="67"/>
        <v>-</v>
      </c>
      <c r="G347" s="33"/>
      <c r="H347" s="33"/>
      <c r="I347" s="46"/>
      <c r="J347" s="35"/>
      <c r="K347" s="35"/>
      <c r="L347" s="36">
        <f t="shared" si="68"/>
        <v>0</v>
      </c>
      <c r="M347" s="33"/>
      <c r="AN347" s="47">
        <v>337</v>
      </c>
      <c r="AO347" s="42">
        <f t="shared" si="69"/>
        <v>0</v>
      </c>
      <c r="AP347" s="43">
        <f t="shared" si="70"/>
        <v>0</v>
      </c>
      <c r="AQ347" s="42">
        <f t="shared" si="71"/>
        <v>0</v>
      </c>
      <c r="AR347" s="44">
        <f t="shared" si="72"/>
        <v>0</v>
      </c>
      <c r="AT347" s="39">
        <f t="shared" si="73"/>
        <v>0</v>
      </c>
      <c r="AU347" s="39">
        <f t="shared" si="74"/>
        <v>0</v>
      </c>
      <c r="AW347" s="45">
        <f t="shared" si="75"/>
        <v>0</v>
      </c>
      <c r="AX347" s="45">
        <f t="shared" si="76"/>
        <v>0</v>
      </c>
    </row>
    <row r="348" spans="1:50" x14ac:dyDescent="0.3">
      <c r="A348" s="32">
        <v>338</v>
      </c>
      <c r="B348" s="33"/>
      <c r="C348" s="33"/>
      <c r="D348" s="33"/>
      <c r="E348" s="33" t="s">
        <v>24</v>
      </c>
      <c r="F348" s="71" t="str">
        <f t="shared" si="67"/>
        <v>-</v>
      </c>
      <c r="G348" s="33"/>
      <c r="H348" s="33"/>
      <c r="I348" s="46"/>
      <c r="J348" s="35"/>
      <c r="K348" s="35"/>
      <c r="L348" s="36">
        <f t="shared" si="68"/>
        <v>0</v>
      </c>
      <c r="M348" s="33"/>
      <c r="AN348" s="47">
        <v>338</v>
      </c>
      <c r="AO348" s="42">
        <f t="shared" si="69"/>
        <v>0</v>
      </c>
      <c r="AP348" s="43">
        <f t="shared" si="70"/>
        <v>0</v>
      </c>
      <c r="AQ348" s="42">
        <f t="shared" si="71"/>
        <v>0</v>
      </c>
      <c r="AR348" s="44">
        <f t="shared" si="72"/>
        <v>0</v>
      </c>
      <c r="AT348" s="39">
        <f t="shared" si="73"/>
        <v>0</v>
      </c>
      <c r="AU348" s="39">
        <f t="shared" si="74"/>
        <v>0</v>
      </c>
      <c r="AW348" s="45">
        <f t="shared" si="75"/>
        <v>0</v>
      </c>
      <c r="AX348" s="45">
        <f t="shared" si="76"/>
        <v>0</v>
      </c>
    </row>
    <row r="349" spans="1:50" x14ac:dyDescent="0.3">
      <c r="A349" s="32">
        <v>339</v>
      </c>
      <c r="B349" s="33"/>
      <c r="C349" s="33"/>
      <c r="D349" s="33"/>
      <c r="E349" s="33" t="s">
        <v>24</v>
      </c>
      <c r="F349" s="71" t="str">
        <f t="shared" si="67"/>
        <v>-</v>
      </c>
      <c r="G349" s="33"/>
      <c r="H349" s="33"/>
      <c r="I349" s="46"/>
      <c r="J349" s="35"/>
      <c r="K349" s="35"/>
      <c r="L349" s="36">
        <f t="shared" si="68"/>
        <v>0</v>
      </c>
      <c r="M349" s="33"/>
      <c r="AN349" s="47">
        <v>339</v>
      </c>
      <c r="AO349" s="42">
        <f t="shared" si="69"/>
        <v>0</v>
      </c>
      <c r="AP349" s="43">
        <f t="shared" si="70"/>
        <v>0</v>
      </c>
      <c r="AQ349" s="42">
        <f t="shared" si="71"/>
        <v>0</v>
      </c>
      <c r="AR349" s="44">
        <f t="shared" si="72"/>
        <v>0</v>
      </c>
      <c r="AT349" s="39">
        <f t="shared" si="73"/>
        <v>0</v>
      </c>
      <c r="AU349" s="39">
        <f t="shared" si="74"/>
        <v>0</v>
      </c>
      <c r="AW349" s="45">
        <f t="shared" si="75"/>
        <v>0</v>
      </c>
      <c r="AX349" s="45">
        <f t="shared" si="76"/>
        <v>0</v>
      </c>
    </row>
    <row r="350" spans="1:50" x14ac:dyDescent="0.3">
      <c r="A350" s="32">
        <v>340</v>
      </c>
      <c r="B350" s="33"/>
      <c r="C350" s="33"/>
      <c r="D350" s="33"/>
      <c r="E350" s="33" t="s">
        <v>24</v>
      </c>
      <c r="F350" s="71" t="str">
        <f t="shared" si="67"/>
        <v>-</v>
      </c>
      <c r="G350" s="33"/>
      <c r="H350" s="33"/>
      <c r="I350" s="46"/>
      <c r="J350" s="35"/>
      <c r="K350" s="35"/>
      <c r="L350" s="36">
        <f t="shared" si="68"/>
        <v>0</v>
      </c>
      <c r="M350" s="33"/>
      <c r="AN350" s="47">
        <v>340</v>
      </c>
      <c r="AO350" s="42">
        <f t="shared" si="69"/>
        <v>0</v>
      </c>
      <c r="AP350" s="43">
        <f t="shared" si="70"/>
        <v>0</v>
      </c>
      <c r="AQ350" s="42">
        <f t="shared" si="71"/>
        <v>0</v>
      </c>
      <c r="AR350" s="44">
        <f t="shared" si="72"/>
        <v>0</v>
      </c>
      <c r="AT350" s="39">
        <f t="shared" si="73"/>
        <v>0</v>
      </c>
      <c r="AU350" s="39">
        <f t="shared" si="74"/>
        <v>0</v>
      </c>
      <c r="AW350" s="45">
        <f t="shared" si="75"/>
        <v>0</v>
      </c>
      <c r="AX350" s="45">
        <f t="shared" si="76"/>
        <v>0</v>
      </c>
    </row>
    <row r="351" spans="1:50" x14ac:dyDescent="0.3">
      <c r="A351" s="32">
        <v>341</v>
      </c>
      <c r="B351" s="33"/>
      <c r="C351" s="33"/>
      <c r="D351" s="33"/>
      <c r="E351" s="33" t="s">
        <v>24</v>
      </c>
      <c r="F351" s="71" t="str">
        <f t="shared" si="67"/>
        <v>-</v>
      </c>
      <c r="G351" s="33"/>
      <c r="H351" s="33"/>
      <c r="I351" s="46"/>
      <c r="J351" s="35"/>
      <c r="K351" s="35"/>
      <c r="L351" s="36">
        <f t="shared" si="68"/>
        <v>0</v>
      </c>
      <c r="M351" s="33"/>
      <c r="AN351" s="47">
        <v>341</v>
      </c>
      <c r="AO351" s="42">
        <f t="shared" si="69"/>
        <v>0</v>
      </c>
      <c r="AP351" s="43">
        <f t="shared" si="70"/>
        <v>0</v>
      </c>
      <c r="AQ351" s="42">
        <f t="shared" si="71"/>
        <v>0</v>
      </c>
      <c r="AR351" s="44">
        <f t="shared" si="72"/>
        <v>0</v>
      </c>
      <c r="AT351" s="39">
        <f t="shared" si="73"/>
        <v>0</v>
      </c>
      <c r="AU351" s="39">
        <f t="shared" si="74"/>
        <v>0</v>
      </c>
      <c r="AW351" s="45">
        <f t="shared" si="75"/>
        <v>0</v>
      </c>
      <c r="AX351" s="45">
        <f t="shared" si="76"/>
        <v>0</v>
      </c>
    </row>
    <row r="352" spans="1:50" x14ac:dyDescent="0.3">
      <c r="A352" s="32">
        <v>342</v>
      </c>
      <c r="B352" s="33"/>
      <c r="C352" s="33"/>
      <c r="D352" s="33"/>
      <c r="E352" s="33" t="s">
        <v>24</v>
      </c>
      <c r="F352" s="71" t="str">
        <f t="shared" si="67"/>
        <v>-</v>
      </c>
      <c r="G352" s="33"/>
      <c r="H352" s="33"/>
      <c r="I352" s="46"/>
      <c r="J352" s="35"/>
      <c r="K352" s="35"/>
      <c r="L352" s="36">
        <f t="shared" si="68"/>
        <v>0</v>
      </c>
      <c r="M352" s="33"/>
      <c r="AN352" s="47">
        <v>342</v>
      </c>
      <c r="AO352" s="42">
        <f t="shared" si="69"/>
        <v>0</v>
      </c>
      <c r="AP352" s="43">
        <f t="shared" si="70"/>
        <v>0</v>
      </c>
      <c r="AQ352" s="42">
        <f t="shared" si="71"/>
        <v>0</v>
      </c>
      <c r="AR352" s="44">
        <f t="shared" si="72"/>
        <v>0</v>
      </c>
      <c r="AT352" s="39">
        <f t="shared" si="73"/>
        <v>0</v>
      </c>
      <c r="AU352" s="39">
        <f t="shared" si="74"/>
        <v>0</v>
      </c>
      <c r="AW352" s="45">
        <f t="shared" si="75"/>
        <v>0</v>
      </c>
      <c r="AX352" s="45">
        <f t="shared" si="76"/>
        <v>0</v>
      </c>
    </row>
    <row r="353" spans="1:50" x14ac:dyDescent="0.3">
      <c r="A353" s="32">
        <v>343</v>
      </c>
      <c r="B353" s="33"/>
      <c r="C353" s="33"/>
      <c r="D353" s="33"/>
      <c r="E353" s="33" t="s">
        <v>24</v>
      </c>
      <c r="F353" s="71" t="str">
        <f t="shared" si="67"/>
        <v>-</v>
      </c>
      <c r="G353" s="33"/>
      <c r="H353" s="33"/>
      <c r="I353" s="46"/>
      <c r="J353" s="35"/>
      <c r="K353" s="35"/>
      <c r="L353" s="36">
        <f t="shared" si="68"/>
        <v>0</v>
      </c>
      <c r="M353" s="33"/>
      <c r="AN353" s="47">
        <v>343</v>
      </c>
      <c r="AO353" s="42">
        <f t="shared" si="69"/>
        <v>0</v>
      </c>
      <c r="AP353" s="43">
        <f t="shared" si="70"/>
        <v>0</v>
      </c>
      <c r="AQ353" s="42">
        <f t="shared" si="71"/>
        <v>0</v>
      </c>
      <c r="AR353" s="44">
        <f t="shared" si="72"/>
        <v>0</v>
      </c>
      <c r="AT353" s="39">
        <f t="shared" si="73"/>
        <v>0</v>
      </c>
      <c r="AU353" s="39">
        <f t="shared" si="74"/>
        <v>0</v>
      </c>
      <c r="AW353" s="45">
        <f t="shared" si="75"/>
        <v>0</v>
      </c>
      <c r="AX353" s="45">
        <f t="shared" si="76"/>
        <v>0</v>
      </c>
    </row>
    <row r="354" spans="1:50" x14ac:dyDescent="0.3">
      <c r="A354" s="32">
        <v>344</v>
      </c>
      <c r="B354" s="33"/>
      <c r="C354" s="33"/>
      <c r="D354" s="33"/>
      <c r="E354" s="33" t="s">
        <v>24</v>
      </c>
      <c r="F354" s="71" t="str">
        <f t="shared" si="67"/>
        <v>-</v>
      </c>
      <c r="G354" s="33"/>
      <c r="H354" s="33"/>
      <c r="I354" s="46"/>
      <c r="J354" s="35"/>
      <c r="K354" s="35"/>
      <c r="L354" s="36">
        <f t="shared" si="68"/>
        <v>0</v>
      </c>
      <c r="M354" s="33"/>
      <c r="AN354" s="47">
        <v>344</v>
      </c>
      <c r="AO354" s="42">
        <f t="shared" si="69"/>
        <v>0</v>
      </c>
      <c r="AP354" s="43">
        <f t="shared" si="70"/>
        <v>0</v>
      </c>
      <c r="AQ354" s="42">
        <f t="shared" si="71"/>
        <v>0</v>
      </c>
      <c r="AR354" s="44">
        <f t="shared" si="72"/>
        <v>0</v>
      </c>
      <c r="AT354" s="39">
        <f t="shared" si="73"/>
        <v>0</v>
      </c>
      <c r="AU354" s="39">
        <f t="shared" si="74"/>
        <v>0</v>
      </c>
      <c r="AW354" s="45">
        <f t="shared" si="75"/>
        <v>0</v>
      </c>
      <c r="AX354" s="45">
        <f t="shared" si="76"/>
        <v>0</v>
      </c>
    </row>
    <row r="355" spans="1:50" x14ac:dyDescent="0.3">
      <c r="A355" s="32">
        <v>345</v>
      </c>
      <c r="B355" s="33"/>
      <c r="C355" s="33"/>
      <c r="D355" s="33"/>
      <c r="E355" s="33" t="s">
        <v>24</v>
      </c>
      <c r="F355" s="71" t="str">
        <f t="shared" si="67"/>
        <v>-</v>
      </c>
      <c r="G355" s="33"/>
      <c r="H355" s="33"/>
      <c r="I355" s="46"/>
      <c r="J355" s="35"/>
      <c r="K355" s="35"/>
      <c r="L355" s="36">
        <f t="shared" si="68"/>
        <v>0</v>
      </c>
      <c r="M355" s="33"/>
      <c r="AN355" s="47">
        <v>345</v>
      </c>
      <c r="AO355" s="42">
        <f t="shared" si="69"/>
        <v>0</v>
      </c>
      <c r="AP355" s="43">
        <f t="shared" si="70"/>
        <v>0</v>
      </c>
      <c r="AQ355" s="42">
        <f t="shared" si="71"/>
        <v>0</v>
      </c>
      <c r="AR355" s="44">
        <f t="shared" si="72"/>
        <v>0</v>
      </c>
      <c r="AT355" s="39">
        <f t="shared" si="73"/>
        <v>0</v>
      </c>
      <c r="AU355" s="39">
        <f t="shared" si="74"/>
        <v>0</v>
      </c>
      <c r="AW355" s="45">
        <f t="shared" si="75"/>
        <v>0</v>
      </c>
      <c r="AX355" s="45">
        <f t="shared" si="76"/>
        <v>0</v>
      </c>
    </row>
    <row r="356" spans="1:50" x14ac:dyDescent="0.3">
      <c r="A356" s="32">
        <v>346</v>
      </c>
      <c r="B356" s="33"/>
      <c r="C356" s="33"/>
      <c r="D356" s="33"/>
      <c r="E356" s="33" t="s">
        <v>24</v>
      </c>
      <c r="F356" s="71" t="str">
        <f t="shared" si="67"/>
        <v>-</v>
      </c>
      <c r="G356" s="33"/>
      <c r="H356" s="33"/>
      <c r="I356" s="46"/>
      <c r="J356" s="35"/>
      <c r="K356" s="35"/>
      <c r="L356" s="36">
        <f t="shared" si="68"/>
        <v>0</v>
      </c>
      <c r="M356" s="33"/>
      <c r="AN356" s="47">
        <v>346</v>
      </c>
      <c r="AO356" s="42">
        <f t="shared" si="69"/>
        <v>0</v>
      </c>
      <c r="AP356" s="43">
        <f t="shared" si="70"/>
        <v>0</v>
      </c>
      <c r="AQ356" s="42">
        <f t="shared" si="71"/>
        <v>0</v>
      </c>
      <c r="AR356" s="44">
        <f t="shared" si="72"/>
        <v>0</v>
      </c>
      <c r="AT356" s="39">
        <f t="shared" si="73"/>
        <v>0</v>
      </c>
      <c r="AU356" s="39">
        <f t="shared" si="74"/>
        <v>0</v>
      </c>
      <c r="AW356" s="45">
        <f t="shared" si="75"/>
        <v>0</v>
      </c>
      <c r="AX356" s="45">
        <f t="shared" si="76"/>
        <v>0</v>
      </c>
    </row>
    <row r="357" spans="1:50" x14ac:dyDescent="0.3">
      <c r="A357" s="32">
        <v>347</v>
      </c>
      <c r="B357" s="33"/>
      <c r="C357" s="33"/>
      <c r="D357" s="33"/>
      <c r="E357" s="33" t="s">
        <v>24</v>
      </c>
      <c r="F357" s="71" t="str">
        <f t="shared" si="67"/>
        <v>-</v>
      </c>
      <c r="G357" s="33"/>
      <c r="H357" s="33"/>
      <c r="I357" s="46"/>
      <c r="J357" s="35"/>
      <c r="K357" s="35"/>
      <c r="L357" s="36">
        <f t="shared" si="68"/>
        <v>0</v>
      </c>
      <c r="M357" s="33"/>
      <c r="AN357" s="47">
        <v>347</v>
      </c>
      <c r="AO357" s="42">
        <f t="shared" si="69"/>
        <v>0</v>
      </c>
      <c r="AP357" s="43">
        <f t="shared" si="70"/>
        <v>0</v>
      </c>
      <c r="AQ357" s="42">
        <f t="shared" si="71"/>
        <v>0</v>
      </c>
      <c r="AR357" s="44">
        <f t="shared" si="72"/>
        <v>0</v>
      </c>
      <c r="AT357" s="39">
        <f t="shared" si="73"/>
        <v>0</v>
      </c>
      <c r="AU357" s="39">
        <f t="shared" si="74"/>
        <v>0</v>
      </c>
      <c r="AW357" s="45">
        <f t="shared" si="75"/>
        <v>0</v>
      </c>
      <c r="AX357" s="45">
        <f t="shared" si="76"/>
        <v>0</v>
      </c>
    </row>
    <row r="358" spans="1:50" x14ac:dyDescent="0.3">
      <c r="A358" s="32">
        <v>348</v>
      </c>
      <c r="B358" s="33"/>
      <c r="C358" s="33"/>
      <c r="D358" s="33"/>
      <c r="E358" s="33" t="s">
        <v>24</v>
      </c>
      <c r="F358" s="71" t="str">
        <f t="shared" si="67"/>
        <v>-</v>
      </c>
      <c r="G358" s="33"/>
      <c r="H358" s="33"/>
      <c r="I358" s="46"/>
      <c r="J358" s="35"/>
      <c r="K358" s="35"/>
      <c r="L358" s="36">
        <f t="shared" si="68"/>
        <v>0</v>
      </c>
      <c r="M358" s="33"/>
      <c r="AN358" s="47">
        <v>348</v>
      </c>
      <c r="AO358" s="42">
        <f t="shared" si="69"/>
        <v>0</v>
      </c>
      <c r="AP358" s="43">
        <f t="shared" si="70"/>
        <v>0</v>
      </c>
      <c r="AQ358" s="42">
        <f t="shared" si="71"/>
        <v>0</v>
      </c>
      <c r="AR358" s="44">
        <f t="shared" si="72"/>
        <v>0</v>
      </c>
      <c r="AT358" s="39">
        <f t="shared" si="73"/>
        <v>0</v>
      </c>
      <c r="AU358" s="39">
        <f t="shared" si="74"/>
        <v>0</v>
      </c>
      <c r="AW358" s="45">
        <f t="shared" si="75"/>
        <v>0</v>
      </c>
      <c r="AX358" s="45">
        <f t="shared" si="76"/>
        <v>0</v>
      </c>
    </row>
    <row r="359" spans="1:50" x14ac:dyDescent="0.3">
      <c r="A359" s="32">
        <v>349</v>
      </c>
      <c r="B359" s="33"/>
      <c r="C359" s="33"/>
      <c r="D359" s="33"/>
      <c r="E359" s="33" t="s">
        <v>24</v>
      </c>
      <c r="F359" s="71" t="str">
        <f t="shared" si="67"/>
        <v>-</v>
      </c>
      <c r="G359" s="33"/>
      <c r="H359" s="33"/>
      <c r="I359" s="46"/>
      <c r="J359" s="35"/>
      <c r="K359" s="35"/>
      <c r="L359" s="36">
        <f t="shared" si="68"/>
        <v>0</v>
      </c>
      <c r="M359" s="33"/>
      <c r="AN359" s="47">
        <v>349</v>
      </c>
      <c r="AO359" s="42">
        <f t="shared" si="69"/>
        <v>0</v>
      </c>
      <c r="AP359" s="43">
        <f t="shared" si="70"/>
        <v>0</v>
      </c>
      <c r="AQ359" s="42">
        <f t="shared" si="71"/>
        <v>0</v>
      </c>
      <c r="AR359" s="44">
        <f t="shared" si="72"/>
        <v>0</v>
      </c>
      <c r="AT359" s="39">
        <f t="shared" si="73"/>
        <v>0</v>
      </c>
      <c r="AU359" s="39">
        <f t="shared" si="74"/>
        <v>0</v>
      </c>
      <c r="AW359" s="45">
        <f t="shared" si="75"/>
        <v>0</v>
      </c>
      <c r="AX359" s="45">
        <f t="shared" si="76"/>
        <v>0</v>
      </c>
    </row>
    <row r="360" spans="1:50" x14ac:dyDescent="0.3">
      <c r="A360" s="32">
        <v>350</v>
      </c>
      <c r="B360" s="33"/>
      <c r="C360" s="33"/>
      <c r="D360" s="33"/>
      <c r="E360" s="33" t="s">
        <v>24</v>
      </c>
      <c r="F360" s="71" t="str">
        <f t="shared" si="67"/>
        <v>-</v>
      </c>
      <c r="G360" s="33"/>
      <c r="H360" s="33"/>
      <c r="I360" s="46"/>
      <c r="J360" s="35"/>
      <c r="K360" s="35"/>
      <c r="L360" s="36">
        <f t="shared" si="68"/>
        <v>0</v>
      </c>
      <c r="M360" s="33"/>
      <c r="AN360" s="47">
        <v>350</v>
      </c>
      <c r="AO360" s="42">
        <f t="shared" si="69"/>
        <v>0</v>
      </c>
      <c r="AP360" s="43">
        <f t="shared" si="70"/>
        <v>0</v>
      </c>
      <c r="AQ360" s="42">
        <f t="shared" si="71"/>
        <v>0</v>
      </c>
      <c r="AR360" s="44">
        <f t="shared" si="72"/>
        <v>0</v>
      </c>
      <c r="AT360" s="39">
        <f t="shared" si="73"/>
        <v>0</v>
      </c>
      <c r="AU360" s="39">
        <f t="shared" si="74"/>
        <v>0</v>
      </c>
      <c r="AW360" s="45">
        <f t="shared" si="75"/>
        <v>0</v>
      </c>
      <c r="AX360" s="45">
        <f t="shared" si="76"/>
        <v>0</v>
      </c>
    </row>
    <row r="361" spans="1:50" x14ac:dyDescent="0.3">
      <c r="A361" s="32">
        <v>351</v>
      </c>
      <c r="B361" s="33"/>
      <c r="C361" s="33"/>
      <c r="D361" s="33"/>
      <c r="E361" s="33" t="s">
        <v>24</v>
      </c>
      <c r="F361" s="71" t="str">
        <f t="shared" si="67"/>
        <v>-</v>
      </c>
      <c r="G361" s="33"/>
      <c r="H361" s="33"/>
      <c r="I361" s="46"/>
      <c r="J361" s="35"/>
      <c r="K361" s="35"/>
      <c r="L361" s="36">
        <f t="shared" si="68"/>
        <v>0</v>
      </c>
      <c r="M361" s="33"/>
      <c r="AN361" s="47">
        <v>351</v>
      </c>
      <c r="AO361" s="42">
        <f t="shared" si="69"/>
        <v>0</v>
      </c>
      <c r="AP361" s="43">
        <f t="shared" si="70"/>
        <v>0</v>
      </c>
      <c r="AQ361" s="42">
        <f t="shared" si="71"/>
        <v>0</v>
      </c>
      <c r="AR361" s="44">
        <f t="shared" si="72"/>
        <v>0</v>
      </c>
      <c r="AT361" s="39">
        <f t="shared" si="73"/>
        <v>0</v>
      </c>
      <c r="AU361" s="39">
        <f t="shared" si="74"/>
        <v>0</v>
      </c>
      <c r="AW361" s="45">
        <f t="shared" si="75"/>
        <v>0</v>
      </c>
      <c r="AX361" s="45">
        <f t="shared" si="76"/>
        <v>0</v>
      </c>
    </row>
    <row r="362" spans="1:50" x14ac:dyDescent="0.3">
      <c r="A362" s="32">
        <v>352</v>
      </c>
      <c r="B362" s="33"/>
      <c r="C362" s="33"/>
      <c r="D362" s="33"/>
      <c r="E362" s="33" t="s">
        <v>24</v>
      </c>
      <c r="F362" s="71" t="str">
        <f t="shared" si="67"/>
        <v>-</v>
      </c>
      <c r="G362" s="33"/>
      <c r="H362" s="33"/>
      <c r="I362" s="46"/>
      <c r="J362" s="35"/>
      <c r="K362" s="35"/>
      <c r="L362" s="36">
        <f t="shared" si="68"/>
        <v>0</v>
      </c>
      <c r="M362" s="33"/>
      <c r="AN362" s="47">
        <v>352</v>
      </c>
      <c r="AO362" s="42">
        <f t="shared" si="69"/>
        <v>0</v>
      </c>
      <c r="AP362" s="43">
        <f t="shared" si="70"/>
        <v>0</v>
      </c>
      <c r="AQ362" s="42">
        <f t="shared" si="71"/>
        <v>0</v>
      </c>
      <c r="AR362" s="44">
        <f t="shared" si="72"/>
        <v>0</v>
      </c>
      <c r="AT362" s="39">
        <f t="shared" si="73"/>
        <v>0</v>
      </c>
      <c r="AU362" s="39">
        <f t="shared" si="74"/>
        <v>0</v>
      </c>
      <c r="AW362" s="45">
        <f t="shared" si="75"/>
        <v>0</v>
      </c>
      <c r="AX362" s="45">
        <f t="shared" si="76"/>
        <v>0</v>
      </c>
    </row>
    <row r="363" spans="1:50" x14ac:dyDescent="0.3">
      <c r="A363" s="32">
        <v>353</v>
      </c>
      <c r="B363" s="33"/>
      <c r="C363" s="33"/>
      <c r="D363" s="33"/>
      <c r="E363" s="33" t="s">
        <v>24</v>
      </c>
      <c r="F363" s="71" t="str">
        <f t="shared" ref="F363:F426" si="77">IFERROR((VLOOKUP(E363,$AE$11:$AG$14,3,0)),"-")</f>
        <v>-</v>
      </c>
      <c r="G363" s="33"/>
      <c r="H363" s="33"/>
      <c r="I363" s="46"/>
      <c r="J363" s="35"/>
      <c r="K363" s="35"/>
      <c r="L363" s="36">
        <f t="shared" si="68"/>
        <v>0</v>
      </c>
      <c r="M363" s="33"/>
      <c r="AN363" s="47">
        <v>353</v>
      </c>
      <c r="AO363" s="42">
        <f t="shared" si="69"/>
        <v>0</v>
      </c>
      <c r="AP363" s="43">
        <f t="shared" si="70"/>
        <v>0</v>
      </c>
      <c r="AQ363" s="42">
        <f t="shared" si="71"/>
        <v>0</v>
      </c>
      <c r="AR363" s="44">
        <f t="shared" si="72"/>
        <v>0</v>
      </c>
      <c r="AT363" s="39">
        <f t="shared" si="73"/>
        <v>0</v>
      </c>
      <c r="AU363" s="39">
        <f t="shared" si="74"/>
        <v>0</v>
      </c>
      <c r="AW363" s="45">
        <f t="shared" si="75"/>
        <v>0</v>
      </c>
      <c r="AX363" s="45">
        <f t="shared" si="76"/>
        <v>0</v>
      </c>
    </row>
    <row r="364" spans="1:50" x14ac:dyDescent="0.3">
      <c r="A364" s="32">
        <v>354</v>
      </c>
      <c r="B364" s="33"/>
      <c r="C364" s="33"/>
      <c r="D364" s="33"/>
      <c r="E364" s="33" t="s">
        <v>24</v>
      </c>
      <c r="F364" s="71" t="str">
        <f t="shared" si="77"/>
        <v>-</v>
      </c>
      <c r="G364" s="33"/>
      <c r="H364" s="33"/>
      <c r="I364" s="46"/>
      <c r="J364" s="35"/>
      <c r="K364" s="35"/>
      <c r="L364" s="36">
        <f t="shared" si="68"/>
        <v>0</v>
      </c>
      <c r="M364" s="33"/>
      <c r="AN364" s="47">
        <v>354</v>
      </c>
      <c r="AO364" s="42">
        <f t="shared" si="69"/>
        <v>0</v>
      </c>
      <c r="AP364" s="43">
        <f t="shared" si="70"/>
        <v>0</v>
      </c>
      <c r="AQ364" s="42">
        <f t="shared" si="71"/>
        <v>0</v>
      </c>
      <c r="AR364" s="44">
        <f t="shared" si="72"/>
        <v>0</v>
      </c>
      <c r="AT364" s="39">
        <f t="shared" si="73"/>
        <v>0</v>
      </c>
      <c r="AU364" s="39">
        <f t="shared" si="74"/>
        <v>0</v>
      </c>
      <c r="AW364" s="45">
        <f t="shared" si="75"/>
        <v>0</v>
      </c>
      <c r="AX364" s="45">
        <f t="shared" si="76"/>
        <v>0</v>
      </c>
    </row>
    <row r="365" spans="1:50" x14ac:dyDescent="0.3">
      <c r="A365" s="32">
        <v>355</v>
      </c>
      <c r="B365" s="33"/>
      <c r="C365" s="33"/>
      <c r="D365" s="33"/>
      <c r="E365" s="33" t="s">
        <v>24</v>
      </c>
      <c r="F365" s="71" t="str">
        <f t="shared" si="77"/>
        <v>-</v>
      </c>
      <c r="G365" s="33"/>
      <c r="H365" s="33"/>
      <c r="I365" s="46"/>
      <c r="J365" s="35"/>
      <c r="K365" s="35"/>
      <c r="L365" s="36">
        <f t="shared" si="68"/>
        <v>0</v>
      </c>
      <c r="M365" s="33"/>
      <c r="AN365" s="47">
        <v>355</v>
      </c>
      <c r="AO365" s="42">
        <f t="shared" si="69"/>
        <v>0</v>
      </c>
      <c r="AP365" s="43">
        <f t="shared" si="70"/>
        <v>0</v>
      </c>
      <c r="AQ365" s="42">
        <f t="shared" si="71"/>
        <v>0</v>
      </c>
      <c r="AR365" s="44">
        <f t="shared" si="72"/>
        <v>0</v>
      </c>
      <c r="AT365" s="39">
        <f t="shared" si="73"/>
        <v>0</v>
      </c>
      <c r="AU365" s="39">
        <f t="shared" si="74"/>
        <v>0</v>
      </c>
      <c r="AW365" s="45">
        <f t="shared" si="75"/>
        <v>0</v>
      </c>
      <c r="AX365" s="45">
        <f t="shared" si="76"/>
        <v>0</v>
      </c>
    </row>
    <row r="366" spans="1:50" x14ac:dyDescent="0.3">
      <c r="A366" s="32">
        <v>356</v>
      </c>
      <c r="B366" s="33"/>
      <c r="C366" s="33"/>
      <c r="D366" s="33"/>
      <c r="E366" s="33" t="s">
        <v>24</v>
      </c>
      <c r="F366" s="71" t="str">
        <f t="shared" si="77"/>
        <v>-</v>
      </c>
      <c r="G366" s="33"/>
      <c r="H366" s="33"/>
      <c r="I366" s="46"/>
      <c r="J366" s="35"/>
      <c r="K366" s="35"/>
      <c r="L366" s="36">
        <f t="shared" si="68"/>
        <v>0</v>
      </c>
      <c r="M366" s="33"/>
      <c r="AN366" s="47">
        <v>356</v>
      </c>
      <c r="AO366" s="42">
        <f t="shared" si="69"/>
        <v>0</v>
      </c>
      <c r="AP366" s="43">
        <f t="shared" si="70"/>
        <v>0</v>
      </c>
      <c r="AQ366" s="42">
        <f t="shared" si="71"/>
        <v>0</v>
      </c>
      <c r="AR366" s="44">
        <f t="shared" si="72"/>
        <v>0</v>
      </c>
      <c r="AT366" s="39">
        <f t="shared" si="73"/>
        <v>0</v>
      </c>
      <c r="AU366" s="39">
        <f t="shared" si="74"/>
        <v>0</v>
      </c>
      <c r="AW366" s="45">
        <f t="shared" si="75"/>
        <v>0</v>
      </c>
      <c r="AX366" s="45">
        <f t="shared" si="76"/>
        <v>0</v>
      </c>
    </row>
    <row r="367" spans="1:50" x14ac:dyDescent="0.3">
      <c r="A367" s="32">
        <v>357</v>
      </c>
      <c r="B367" s="33"/>
      <c r="C367" s="33"/>
      <c r="D367" s="33"/>
      <c r="E367" s="33" t="s">
        <v>24</v>
      </c>
      <c r="F367" s="71" t="str">
        <f t="shared" si="77"/>
        <v>-</v>
      </c>
      <c r="G367" s="33"/>
      <c r="H367" s="33"/>
      <c r="I367" s="46"/>
      <c r="J367" s="35"/>
      <c r="K367" s="35"/>
      <c r="L367" s="36">
        <f t="shared" ref="L367:L430" si="78">IF($H$4="-",0,IF($H$4="VAREJO",AW367,IF($H$4="ATACADO",AX367,0)))</f>
        <v>0</v>
      </c>
      <c r="M367" s="33"/>
      <c r="AN367" s="47">
        <v>357</v>
      </c>
      <c r="AO367" s="42">
        <f t="shared" si="69"/>
        <v>0</v>
      </c>
      <c r="AP367" s="43">
        <f t="shared" si="70"/>
        <v>0</v>
      </c>
      <c r="AQ367" s="42">
        <f t="shared" si="71"/>
        <v>0</v>
      </c>
      <c r="AR367" s="44">
        <f t="shared" si="72"/>
        <v>0</v>
      </c>
      <c r="AT367" s="39">
        <f t="shared" si="73"/>
        <v>0</v>
      </c>
      <c r="AU367" s="39">
        <f t="shared" si="74"/>
        <v>0</v>
      </c>
      <c r="AW367" s="45">
        <f t="shared" si="75"/>
        <v>0</v>
      </c>
      <c r="AX367" s="45">
        <f t="shared" si="76"/>
        <v>0</v>
      </c>
    </row>
    <row r="368" spans="1:50" x14ac:dyDescent="0.3">
      <c r="A368" s="32">
        <v>358</v>
      </c>
      <c r="B368" s="33"/>
      <c r="C368" s="33"/>
      <c r="D368" s="33"/>
      <c r="E368" s="33" t="s">
        <v>24</v>
      </c>
      <c r="F368" s="71" t="str">
        <f t="shared" si="77"/>
        <v>-</v>
      </c>
      <c r="G368" s="33"/>
      <c r="H368" s="33"/>
      <c r="I368" s="46"/>
      <c r="J368" s="35"/>
      <c r="K368" s="35"/>
      <c r="L368" s="36">
        <f t="shared" si="78"/>
        <v>0</v>
      </c>
      <c r="M368" s="33"/>
      <c r="AN368" s="47">
        <v>358</v>
      </c>
      <c r="AO368" s="42">
        <f t="shared" si="69"/>
        <v>0</v>
      </c>
      <c r="AP368" s="43">
        <f t="shared" si="70"/>
        <v>0</v>
      </c>
      <c r="AQ368" s="42">
        <f t="shared" si="71"/>
        <v>0</v>
      </c>
      <c r="AR368" s="44">
        <f t="shared" si="72"/>
        <v>0</v>
      </c>
      <c r="AT368" s="39">
        <f t="shared" si="73"/>
        <v>0</v>
      </c>
      <c r="AU368" s="39">
        <f t="shared" si="74"/>
        <v>0</v>
      </c>
      <c r="AW368" s="45">
        <f t="shared" si="75"/>
        <v>0</v>
      </c>
      <c r="AX368" s="45">
        <f t="shared" si="76"/>
        <v>0</v>
      </c>
    </row>
    <row r="369" spans="1:50" x14ac:dyDescent="0.3">
      <c r="A369" s="32">
        <v>359</v>
      </c>
      <c r="B369" s="33"/>
      <c r="C369" s="33"/>
      <c r="D369" s="33"/>
      <c r="E369" s="33" t="s">
        <v>24</v>
      </c>
      <c r="F369" s="71" t="str">
        <f t="shared" si="77"/>
        <v>-</v>
      </c>
      <c r="G369" s="33"/>
      <c r="H369" s="33"/>
      <c r="I369" s="46"/>
      <c r="J369" s="35"/>
      <c r="K369" s="35"/>
      <c r="L369" s="36">
        <f t="shared" si="78"/>
        <v>0</v>
      </c>
      <c r="M369" s="33"/>
      <c r="AN369" s="47">
        <v>359</v>
      </c>
      <c r="AO369" s="42">
        <f t="shared" si="69"/>
        <v>0</v>
      </c>
      <c r="AP369" s="43">
        <f t="shared" si="70"/>
        <v>0</v>
      </c>
      <c r="AQ369" s="42">
        <f t="shared" si="71"/>
        <v>0</v>
      </c>
      <c r="AR369" s="44">
        <f t="shared" si="72"/>
        <v>0</v>
      </c>
      <c r="AT369" s="39">
        <f t="shared" si="73"/>
        <v>0</v>
      </c>
      <c r="AU369" s="39">
        <f t="shared" si="74"/>
        <v>0</v>
      </c>
      <c r="AW369" s="45">
        <f t="shared" si="75"/>
        <v>0</v>
      </c>
      <c r="AX369" s="45">
        <f t="shared" si="76"/>
        <v>0</v>
      </c>
    </row>
    <row r="370" spans="1:50" x14ac:dyDescent="0.3">
      <c r="A370" s="32">
        <v>360</v>
      </c>
      <c r="B370" s="33"/>
      <c r="C370" s="33"/>
      <c r="D370" s="33"/>
      <c r="E370" s="33" t="s">
        <v>24</v>
      </c>
      <c r="F370" s="71" t="str">
        <f t="shared" si="77"/>
        <v>-</v>
      </c>
      <c r="G370" s="33"/>
      <c r="H370" s="33"/>
      <c r="I370" s="46"/>
      <c r="J370" s="35"/>
      <c r="K370" s="35"/>
      <c r="L370" s="36">
        <f t="shared" si="78"/>
        <v>0</v>
      </c>
      <c r="M370" s="33"/>
      <c r="AN370" s="47">
        <v>360</v>
      </c>
      <c r="AO370" s="42">
        <f t="shared" si="69"/>
        <v>0</v>
      </c>
      <c r="AP370" s="43">
        <f t="shared" si="70"/>
        <v>0</v>
      </c>
      <c r="AQ370" s="42">
        <f t="shared" si="71"/>
        <v>0</v>
      </c>
      <c r="AR370" s="44">
        <f t="shared" si="72"/>
        <v>0</v>
      </c>
      <c r="AT370" s="39">
        <f t="shared" si="73"/>
        <v>0</v>
      </c>
      <c r="AU370" s="39">
        <f t="shared" si="74"/>
        <v>0</v>
      </c>
      <c r="AW370" s="45">
        <f t="shared" si="75"/>
        <v>0</v>
      </c>
      <c r="AX370" s="45">
        <f t="shared" si="76"/>
        <v>0</v>
      </c>
    </row>
    <row r="371" spans="1:50" x14ac:dyDescent="0.3">
      <c r="A371" s="32">
        <v>361</v>
      </c>
      <c r="B371" s="33"/>
      <c r="C371" s="33"/>
      <c r="D371" s="33"/>
      <c r="E371" s="33" t="s">
        <v>24</v>
      </c>
      <c r="F371" s="71" t="str">
        <f t="shared" si="77"/>
        <v>-</v>
      </c>
      <c r="G371" s="33"/>
      <c r="H371" s="33"/>
      <c r="I371" s="46"/>
      <c r="J371" s="35"/>
      <c r="K371" s="35"/>
      <c r="L371" s="36">
        <f t="shared" si="78"/>
        <v>0</v>
      </c>
      <c r="M371" s="33"/>
      <c r="AN371" s="47">
        <v>361</v>
      </c>
      <c r="AO371" s="42">
        <f t="shared" si="69"/>
        <v>0</v>
      </c>
      <c r="AP371" s="43">
        <f t="shared" si="70"/>
        <v>0</v>
      </c>
      <c r="AQ371" s="42">
        <f t="shared" si="71"/>
        <v>0</v>
      </c>
      <c r="AR371" s="44">
        <f t="shared" si="72"/>
        <v>0</v>
      </c>
      <c r="AT371" s="39">
        <f t="shared" si="73"/>
        <v>0</v>
      </c>
      <c r="AU371" s="39">
        <f t="shared" si="74"/>
        <v>0</v>
      </c>
      <c r="AW371" s="45">
        <f t="shared" si="75"/>
        <v>0</v>
      </c>
      <c r="AX371" s="45">
        <f t="shared" si="76"/>
        <v>0</v>
      </c>
    </row>
    <row r="372" spans="1:50" x14ac:dyDescent="0.3">
      <c r="A372" s="32">
        <v>362</v>
      </c>
      <c r="B372" s="33"/>
      <c r="C372" s="33"/>
      <c r="D372" s="33"/>
      <c r="E372" s="33" t="s">
        <v>24</v>
      </c>
      <c r="F372" s="71" t="str">
        <f t="shared" si="77"/>
        <v>-</v>
      </c>
      <c r="G372" s="33"/>
      <c r="H372" s="33"/>
      <c r="I372" s="46"/>
      <c r="J372" s="35"/>
      <c r="K372" s="35"/>
      <c r="L372" s="36">
        <f t="shared" si="78"/>
        <v>0</v>
      </c>
      <c r="M372" s="33"/>
      <c r="AN372" s="47">
        <v>362</v>
      </c>
      <c r="AO372" s="42">
        <f t="shared" si="69"/>
        <v>0</v>
      </c>
      <c r="AP372" s="43">
        <f t="shared" si="70"/>
        <v>0</v>
      </c>
      <c r="AQ372" s="42">
        <f t="shared" si="71"/>
        <v>0</v>
      </c>
      <c r="AR372" s="44">
        <f t="shared" si="72"/>
        <v>0</v>
      </c>
      <c r="AT372" s="39">
        <f t="shared" si="73"/>
        <v>0</v>
      </c>
      <c r="AU372" s="39">
        <f t="shared" si="74"/>
        <v>0</v>
      </c>
      <c r="AW372" s="45">
        <f t="shared" si="75"/>
        <v>0</v>
      </c>
      <c r="AX372" s="45">
        <f t="shared" si="76"/>
        <v>0</v>
      </c>
    </row>
    <row r="373" spans="1:50" x14ac:dyDescent="0.3">
      <c r="A373" s="32">
        <v>363</v>
      </c>
      <c r="B373" s="33"/>
      <c r="C373" s="33"/>
      <c r="D373" s="33"/>
      <c r="E373" s="33" t="s">
        <v>24</v>
      </c>
      <c r="F373" s="71" t="str">
        <f t="shared" si="77"/>
        <v>-</v>
      </c>
      <c r="G373" s="33"/>
      <c r="H373" s="33"/>
      <c r="I373" s="46"/>
      <c r="J373" s="35"/>
      <c r="K373" s="35"/>
      <c r="L373" s="36">
        <f t="shared" si="78"/>
        <v>0</v>
      </c>
      <c r="M373" s="33"/>
      <c r="AN373" s="47">
        <v>363</v>
      </c>
      <c r="AO373" s="42">
        <f t="shared" si="69"/>
        <v>0</v>
      </c>
      <c r="AP373" s="43">
        <f t="shared" si="70"/>
        <v>0</v>
      </c>
      <c r="AQ373" s="42">
        <f t="shared" si="71"/>
        <v>0</v>
      </c>
      <c r="AR373" s="44">
        <f t="shared" si="72"/>
        <v>0</v>
      </c>
      <c r="AT373" s="39">
        <f t="shared" si="73"/>
        <v>0</v>
      </c>
      <c r="AU373" s="39">
        <f t="shared" si="74"/>
        <v>0</v>
      </c>
      <c r="AW373" s="45">
        <f t="shared" si="75"/>
        <v>0</v>
      </c>
      <c r="AX373" s="45">
        <f t="shared" si="76"/>
        <v>0</v>
      </c>
    </row>
    <row r="374" spans="1:50" x14ac:dyDescent="0.3">
      <c r="A374" s="32">
        <v>364</v>
      </c>
      <c r="B374" s="33"/>
      <c r="C374" s="33"/>
      <c r="D374" s="33"/>
      <c r="E374" s="33" t="s">
        <v>24</v>
      </c>
      <c r="F374" s="71" t="str">
        <f t="shared" si="77"/>
        <v>-</v>
      </c>
      <c r="G374" s="33"/>
      <c r="H374" s="33"/>
      <c r="I374" s="46"/>
      <c r="J374" s="35"/>
      <c r="K374" s="35"/>
      <c r="L374" s="36">
        <f t="shared" si="78"/>
        <v>0</v>
      </c>
      <c r="M374" s="33"/>
      <c r="AN374" s="47">
        <v>364</v>
      </c>
      <c r="AO374" s="42">
        <f t="shared" si="69"/>
        <v>0</v>
      </c>
      <c r="AP374" s="43">
        <f t="shared" si="70"/>
        <v>0</v>
      </c>
      <c r="AQ374" s="42">
        <f t="shared" si="71"/>
        <v>0</v>
      </c>
      <c r="AR374" s="44">
        <f t="shared" si="72"/>
        <v>0</v>
      </c>
      <c r="AT374" s="39">
        <f t="shared" si="73"/>
        <v>0</v>
      </c>
      <c r="AU374" s="39">
        <f t="shared" si="74"/>
        <v>0</v>
      </c>
      <c r="AW374" s="45">
        <f t="shared" si="75"/>
        <v>0</v>
      </c>
      <c r="AX374" s="45">
        <f t="shared" si="76"/>
        <v>0</v>
      </c>
    </row>
    <row r="375" spans="1:50" x14ac:dyDescent="0.3">
      <c r="A375" s="32">
        <v>365</v>
      </c>
      <c r="B375" s="33"/>
      <c r="C375" s="33"/>
      <c r="D375" s="33"/>
      <c r="E375" s="33" t="s">
        <v>24</v>
      </c>
      <c r="F375" s="71" t="str">
        <f t="shared" si="77"/>
        <v>-</v>
      </c>
      <c r="G375" s="33"/>
      <c r="H375" s="33"/>
      <c r="I375" s="46"/>
      <c r="J375" s="35"/>
      <c r="K375" s="35"/>
      <c r="L375" s="36">
        <f t="shared" si="78"/>
        <v>0</v>
      </c>
      <c r="M375" s="33"/>
      <c r="AN375" s="47">
        <v>365</v>
      </c>
      <c r="AO375" s="42">
        <f t="shared" si="69"/>
        <v>0</v>
      </c>
      <c r="AP375" s="43">
        <f t="shared" si="70"/>
        <v>0</v>
      </c>
      <c r="AQ375" s="42">
        <f t="shared" si="71"/>
        <v>0</v>
      </c>
      <c r="AR375" s="44">
        <f t="shared" si="72"/>
        <v>0</v>
      </c>
      <c r="AT375" s="39">
        <f t="shared" si="73"/>
        <v>0</v>
      </c>
      <c r="AU375" s="39">
        <f t="shared" si="74"/>
        <v>0</v>
      </c>
      <c r="AW375" s="45">
        <f t="shared" si="75"/>
        <v>0</v>
      </c>
      <c r="AX375" s="45">
        <f t="shared" si="76"/>
        <v>0</v>
      </c>
    </row>
    <row r="376" spans="1:50" x14ac:dyDescent="0.3">
      <c r="A376" s="32">
        <v>366</v>
      </c>
      <c r="B376" s="33"/>
      <c r="C376" s="33"/>
      <c r="D376" s="33"/>
      <c r="E376" s="33" t="s">
        <v>24</v>
      </c>
      <c r="F376" s="71" t="str">
        <f t="shared" si="77"/>
        <v>-</v>
      </c>
      <c r="G376" s="33"/>
      <c r="H376" s="33"/>
      <c r="I376" s="46"/>
      <c r="J376" s="35"/>
      <c r="K376" s="35"/>
      <c r="L376" s="36">
        <f t="shared" si="78"/>
        <v>0</v>
      </c>
      <c r="M376" s="33"/>
      <c r="AN376" s="47">
        <v>366</v>
      </c>
      <c r="AO376" s="42">
        <f t="shared" si="69"/>
        <v>0</v>
      </c>
      <c r="AP376" s="43">
        <f t="shared" si="70"/>
        <v>0</v>
      </c>
      <c r="AQ376" s="42">
        <f t="shared" si="71"/>
        <v>0</v>
      </c>
      <c r="AR376" s="44">
        <f t="shared" si="72"/>
        <v>0</v>
      </c>
      <c r="AT376" s="39">
        <f t="shared" si="73"/>
        <v>0</v>
      </c>
      <c r="AU376" s="39">
        <f t="shared" si="74"/>
        <v>0</v>
      </c>
      <c r="AW376" s="45">
        <f t="shared" si="75"/>
        <v>0</v>
      </c>
      <c r="AX376" s="45">
        <f t="shared" si="76"/>
        <v>0</v>
      </c>
    </row>
    <row r="377" spans="1:50" x14ac:dyDescent="0.3">
      <c r="A377" s="32">
        <v>367</v>
      </c>
      <c r="B377" s="33"/>
      <c r="C377" s="33"/>
      <c r="D377" s="33"/>
      <c r="E377" s="33" t="s">
        <v>24</v>
      </c>
      <c r="F377" s="71" t="str">
        <f t="shared" si="77"/>
        <v>-</v>
      </c>
      <c r="G377" s="33"/>
      <c r="H377" s="33"/>
      <c r="I377" s="46"/>
      <c r="J377" s="35"/>
      <c r="K377" s="35"/>
      <c r="L377" s="36">
        <f t="shared" si="78"/>
        <v>0</v>
      </c>
      <c r="M377" s="33"/>
      <c r="AN377" s="47">
        <v>367</v>
      </c>
      <c r="AO377" s="42">
        <f t="shared" si="69"/>
        <v>0</v>
      </c>
      <c r="AP377" s="43">
        <f t="shared" si="70"/>
        <v>0</v>
      </c>
      <c r="AQ377" s="42">
        <f t="shared" si="71"/>
        <v>0</v>
      </c>
      <c r="AR377" s="44">
        <f t="shared" si="72"/>
        <v>0</v>
      </c>
      <c r="AT377" s="39">
        <f t="shared" si="73"/>
        <v>0</v>
      </c>
      <c r="AU377" s="39">
        <f t="shared" si="74"/>
        <v>0</v>
      </c>
      <c r="AW377" s="45">
        <f t="shared" si="75"/>
        <v>0</v>
      </c>
      <c r="AX377" s="45">
        <f t="shared" si="76"/>
        <v>0</v>
      </c>
    </row>
    <row r="378" spans="1:50" x14ac:dyDescent="0.3">
      <c r="A378" s="32">
        <v>368</v>
      </c>
      <c r="B378" s="33"/>
      <c r="C378" s="33"/>
      <c r="D378" s="33"/>
      <c r="E378" s="33" t="s">
        <v>24</v>
      </c>
      <c r="F378" s="71" t="str">
        <f t="shared" si="77"/>
        <v>-</v>
      </c>
      <c r="G378" s="33"/>
      <c r="H378" s="33"/>
      <c r="I378" s="46"/>
      <c r="J378" s="35"/>
      <c r="K378" s="35"/>
      <c r="L378" s="36">
        <f t="shared" si="78"/>
        <v>0</v>
      </c>
      <c r="M378" s="33"/>
      <c r="AN378" s="47">
        <v>368</v>
      </c>
      <c r="AO378" s="42">
        <f t="shared" si="69"/>
        <v>0</v>
      </c>
      <c r="AP378" s="43">
        <f t="shared" si="70"/>
        <v>0</v>
      </c>
      <c r="AQ378" s="42">
        <f t="shared" si="71"/>
        <v>0</v>
      </c>
      <c r="AR378" s="44">
        <f t="shared" si="72"/>
        <v>0</v>
      </c>
      <c r="AT378" s="39">
        <f t="shared" si="73"/>
        <v>0</v>
      </c>
      <c r="AU378" s="39">
        <f t="shared" si="74"/>
        <v>0</v>
      </c>
      <c r="AW378" s="45">
        <f t="shared" si="75"/>
        <v>0</v>
      </c>
      <c r="AX378" s="45">
        <f t="shared" si="76"/>
        <v>0</v>
      </c>
    </row>
    <row r="379" spans="1:50" x14ac:dyDescent="0.3">
      <c r="A379" s="32">
        <v>369</v>
      </c>
      <c r="B379" s="33"/>
      <c r="C379" s="33"/>
      <c r="D379" s="33"/>
      <c r="E379" s="33" t="s">
        <v>24</v>
      </c>
      <c r="F379" s="71" t="str">
        <f t="shared" si="77"/>
        <v>-</v>
      </c>
      <c r="G379" s="33"/>
      <c r="H379" s="33"/>
      <c r="I379" s="46"/>
      <c r="J379" s="35"/>
      <c r="K379" s="35"/>
      <c r="L379" s="36">
        <f t="shared" si="78"/>
        <v>0</v>
      </c>
      <c r="M379" s="33"/>
      <c r="AN379" s="47">
        <v>369</v>
      </c>
      <c r="AO379" s="42">
        <f t="shared" si="69"/>
        <v>0</v>
      </c>
      <c r="AP379" s="43">
        <f t="shared" si="70"/>
        <v>0</v>
      </c>
      <c r="AQ379" s="42">
        <f t="shared" si="71"/>
        <v>0</v>
      </c>
      <c r="AR379" s="44">
        <f t="shared" si="72"/>
        <v>0</v>
      </c>
      <c r="AT379" s="39">
        <f t="shared" si="73"/>
        <v>0</v>
      </c>
      <c r="AU379" s="39">
        <f t="shared" si="74"/>
        <v>0</v>
      </c>
      <c r="AW379" s="45">
        <f t="shared" si="75"/>
        <v>0</v>
      </c>
      <c r="AX379" s="45">
        <f t="shared" si="76"/>
        <v>0</v>
      </c>
    </row>
    <row r="380" spans="1:50" x14ac:dyDescent="0.3">
      <c r="A380" s="32">
        <v>370</v>
      </c>
      <c r="B380" s="33"/>
      <c r="C380" s="33"/>
      <c r="D380" s="33"/>
      <c r="E380" s="33" t="s">
        <v>24</v>
      </c>
      <c r="F380" s="71" t="str">
        <f t="shared" si="77"/>
        <v>-</v>
      </c>
      <c r="G380" s="33"/>
      <c r="H380" s="33"/>
      <c r="I380" s="46"/>
      <c r="J380" s="35"/>
      <c r="K380" s="35"/>
      <c r="L380" s="36">
        <f t="shared" si="78"/>
        <v>0</v>
      </c>
      <c r="M380" s="33"/>
      <c r="AN380" s="47">
        <v>370</v>
      </c>
      <c r="AO380" s="42">
        <f t="shared" si="69"/>
        <v>0</v>
      </c>
      <c r="AP380" s="43">
        <f t="shared" si="70"/>
        <v>0</v>
      </c>
      <c r="AQ380" s="42">
        <f t="shared" si="71"/>
        <v>0</v>
      </c>
      <c r="AR380" s="44">
        <f t="shared" si="72"/>
        <v>0</v>
      </c>
      <c r="AT380" s="39">
        <f t="shared" si="73"/>
        <v>0</v>
      </c>
      <c r="AU380" s="39">
        <f t="shared" si="74"/>
        <v>0</v>
      </c>
      <c r="AW380" s="45">
        <f t="shared" si="75"/>
        <v>0</v>
      </c>
      <c r="AX380" s="45">
        <f t="shared" si="76"/>
        <v>0</v>
      </c>
    </row>
    <row r="381" spans="1:50" x14ac:dyDescent="0.3">
      <c r="A381" s="32">
        <v>371</v>
      </c>
      <c r="B381" s="33"/>
      <c r="C381" s="33"/>
      <c r="D381" s="33"/>
      <c r="E381" s="33" t="s">
        <v>24</v>
      </c>
      <c r="F381" s="71" t="str">
        <f t="shared" si="77"/>
        <v>-</v>
      </c>
      <c r="G381" s="33"/>
      <c r="H381" s="33"/>
      <c r="I381" s="46"/>
      <c r="J381" s="35"/>
      <c r="K381" s="35"/>
      <c r="L381" s="36">
        <f t="shared" si="78"/>
        <v>0</v>
      </c>
      <c r="M381" s="33"/>
      <c r="AN381" s="47">
        <v>371</v>
      </c>
      <c r="AO381" s="42">
        <f t="shared" si="69"/>
        <v>0</v>
      </c>
      <c r="AP381" s="43">
        <f t="shared" si="70"/>
        <v>0</v>
      </c>
      <c r="AQ381" s="42">
        <f t="shared" si="71"/>
        <v>0</v>
      </c>
      <c r="AR381" s="44">
        <f t="shared" si="72"/>
        <v>0</v>
      </c>
      <c r="AT381" s="39">
        <f t="shared" si="73"/>
        <v>0</v>
      </c>
      <c r="AU381" s="39">
        <f t="shared" si="74"/>
        <v>0</v>
      </c>
      <c r="AW381" s="45">
        <f t="shared" si="75"/>
        <v>0</v>
      </c>
      <c r="AX381" s="45">
        <f t="shared" si="76"/>
        <v>0</v>
      </c>
    </row>
    <row r="382" spans="1:50" x14ac:dyDescent="0.3">
      <c r="A382" s="32">
        <v>372</v>
      </c>
      <c r="B382" s="33"/>
      <c r="C382" s="33"/>
      <c r="D382" s="33"/>
      <c r="E382" s="33" t="s">
        <v>24</v>
      </c>
      <c r="F382" s="71" t="str">
        <f t="shared" si="77"/>
        <v>-</v>
      </c>
      <c r="G382" s="33"/>
      <c r="H382" s="33"/>
      <c r="I382" s="46"/>
      <c r="J382" s="35"/>
      <c r="K382" s="35"/>
      <c r="L382" s="36">
        <f t="shared" si="78"/>
        <v>0</v>
      </c>
      <c r="M382" s="33"/>
      <c r="AN382" s="47">
        <v>372</v>
      </c>
      <c r="AO382" s="42">
        <f t="shared" si="69"/>
        <v>0</v>
      </c>
      <c r="AP382" s="43">
        <f t="shared" si="70"/>
        <v>0</v>
      </c>
      <c r="AQ382" s="42">
        <f t="shared" si="71"/>
        <v>0</v>
      </c>
      <c r="AR382" s="44">
        <f t="shared" si="72"/>
        <v>0</v>
      </c>
      <c r="AT382" s="39">
        <f t="shared" si="73"/>
        <v>0</v>
      </c>
      <c r="AU382" s="39">
        <f t="shared" si="74"/>
        <v>0</v>
      </c>
      <c r="AW382" s="45">
        <f t="shared" si="75"/>
        <v>0</v>
      </c>
      <c r="AX382" s="45">
        <f t="shared" si="76"/>
        <v>0</v>
      </c>
    </row>
    <row r="383" spans="1:50" x14ac:dyDescent="0.3">
      <c r="A383" s="32">
        <v>373</v>
      </c>
      <c r="B383" s="33"/>
      <c r="C383" s="33"/>
      <c r="D383" s="33"/>
      <c r="E383" s="33" t="s">
        <v>24</v>
      </c>
      <c r="F383" s="71" t="str">
        <f t="shared" si="77"/>
        <v>-</v>
      </c>
      <c r="G383" s="33"/>
      <c r="H383" s="33"/>
      <c r="I383" s="46"/>
      <c r="J383" s="35"/>
      <c r="K383" s="35"/>
      <c r="L383" s="36">
        <f t="shared" si="78"/>
        <v>0</v>
      </c>
      <c r="M383" s="33"/>
      <c r="AN383" s="47">
        <v>373</v>
      </c>
      <c r="AO383" s="42">
        <f t="shared" si="69"/>
        <v>0</v>
      </c>
      <c r="AP383" s="43">
        <f t="shared" si="70"/>
        <v>0</v>
      </c>
      <c r="AQ383" s="42">
        <f t="shared" si="71"/>
        <v>0</v>
      </c>
      <c r="AR383" s="44">
        <f t="shared" si="72"/>
        <v>0</v>
      </c>
      <c r="AT383" s="39">
        <f t="shared" si="73"/>
        <v>0</v>
      </c>
      <c r="AU383" s="39">
        <f t="shared" si="74"/>
        <v>0</v>
      </c>
      <c r="AW383" s="45">
        <f t="shared" si="75"/>
        <v>0</v>
      </c>
      <c r="AX383" s="45">
        <f t="shared" si="76"/>
        <v>0</v>
      </c>
    </row>
    <row r="384" spans="1:50" x14ac:dyDescent="0.3">
      <c r="A384" s="32">
        <v>374</v>
      </c>
      <c r="B384" s="33"/>
      <c r="C384" s="33"/>
      <c r="D384" s="33"/>
      <c r="E384" s="33" t="s">
        <v>24</v>
      </c>
      <c r="F384" s="71" t="str">
        <f t="shared" si="77"/>
        <v>-</v>
      </c>
      <c r="G384" s="33"/>
      <c r="H384" s="33"/>
      <c r="I384" s="46"/>
      <c r="J384" s="35"/>
      <c r="K384" s="35"/>
      <c r="L384" s="36">
        <f t="shared" si="78"/>
        <v>0</v>
      </c>
      <c r="M384" s="33"/>
      <c r="AN384" s="47">
        <v>374</v>
      </c>
      <c r="AO384" s="42">
        <f t="shared" si="69"/>
        <v>0</v>
      </c>
      <c r="AP384" s="43">
        <f t="shared" si="70"/>
        <v>0</v>
      </c>
      <c r="AQ384" s="42">
        <f t="shared" si="71"/>
        <v>0</v>
      </c>
      <c r="AR384" s="44">
        <f t="shared" si="72"/>
        <v>0</v>
      </c>
      <c r="AT384" s="39">
        <f t="shared" si="73"/>
        <v>0</v>
      </c>
      <c r="AU384" s="39">
        <f t="shared" si="74"/>
        <v>0</v>
      </c>
      <c r="AW384" s="45">
        <f t="shared" si="75"/>
        <v>0</v>
      </c>
      <c r="AX384" s="45">
        <f t="shared" si="76"/>
        <v>0</v>
      </c>
    </row>
    <row r="385" spans="1:50" x14ac:dyDescent="0.3">
      <c r="A385" s="32">
        <v>375</v>
      </c>
      <c r="B385" s="33"/>
      <c r="C385" s="33"/>
      <c r="D385" s="33"/>
      <c r="E385" s="33" t="s">
        <v>24</v>
      </c>
      <c r="F385" s="71" t="str">
        <f t="shared" si="77"/>
        <v>-</v>
      </c>
      <c r="G385" s="33"/>
      <c r="H385" s="33"/>
      <c r="I385" s="46"/>
      <c r="J385" s="35"/>
      <c r="K385" s="35"/>
      <c r="L385" s="36">
        <f t="shared" si="78"/>
        <v>0</v>
      </c>
      <c r="M385" s="33"/>
      <c r="AN385" s="47">
        <v>375</v>
      </c>
      <c r="AO385" s="42">
        <f t="shared" si="69"/>
        <v>0</v>
      </c>
      <c r="AP385" s="43">
        <f t="shared" si="70"/>
        <v>0</v>
      </c>
      <c r="AQ385" s="42">
        <f t="shared" si="71"/>
        <v>0</v>
      </c>
      <c r="AR385" s="44">
        <f t="shared" si="72"/>
        <v>0</v>
      </c>
      <c r="AT385" s="39">
        <f t="shared" si="73"/>
        <v>0</v>
      </c>
      <c r="AU385" s="39">
        <f t="shared" si="74"/>
        <v>0</v>
      </c>
      <c r="AW385" s="45">
        <f t="shared" si="75"/>
        <v>0</v>
      </c>
      <c r="AX385" s="45">
        <f t="shared" si="76"/>
        <v>0</v>
      </c>
    </row>
    <row r="386" spans="1:50" x14ac:dyDescent="0.3">
      <c r="A386" s="32">
        <v>376</v>
      </c>
      <c r="B386" s="33"/>
      <c r="C386" s="33"/>
      <c r="D386" s="33"/>
      <c r="E386" s="33" t="s">
        <v>24</v>
      </c>
      <c r="F386" s="71" t="str">
        <f t="shared" si="77"/>
        <v>-</v>
      </c>
      <c r="G386" s="33"/>
      <c r="H386" s="33"/>
      <c r="I386" s="46"/>
      <c r="J386" s="35"/>
      <c r="K386" s="35"/>
      <c r="L386" s="36">
        <f t="shared" si="78"/>
        <v>0</v>
      </c>
      <c r="M386" s="33"/>
      <c r="AN386" s="47">
        <v>376</v>
      </c>
      <c r="AO386" s="42">
        <f t="shared" si="69"/>
        <v>0</v>
      </c>
      <c r="AP386" s="43">
        <f t="shared" si="70"/>
        <v>0</v>
      </c>
      <c r="AQ386" s="42">
        <f t="shared" si="71"/>
        <v>0</v>
      </c>
      <c r="AR386" s="44">
        <f t="shared" si="72"/>
        <v>0</v>
      </c>
      <c r="AT386" s="39">
        <f t="shared" si="73"/>
        <v>0</v>
      </c>
      <c r="AU386" s="39">
        <f t="shared" si="74"/>
        <v>0</v>
      </c>
      <c r="AW386" s="45">
        <f t="shared" si="75"/>
        <v>0</v>
      </c>
      <c r="AX386" s="45">
        <f t="shared" si="76"/>
        <v>0</v>
      </c>
    </row>
    <row r="387" spans="1:50" x14ac:dyDescent="0.3">
      <c r="A387" s="32">
        <v>377</v>
      </c>
      <c r="B387" s="33"/>
      <c r="C387" s="33"/>
      <c r="D387" s="33"/>
      <c r="E387" s="33" t="s">
        <v>24</v>
      </c>
      <c r="F387" s="71" t="str">
        <f t="shared" si="77"/>
        <v>-</v>
      </c>
      <c r="G387" s="33"/>
      <c r="H387" s="33"/>
      <c r="I387" s="46"/>
      <c r="J387" s="35"/>
      <c r="K387" s="35"/>
      <c r="L387" s="36">
        <f t="shared" si="78"/>
        <v>0</v>
      </c>
      <c r="M387" s="33"/>
      <c r="AN387" s="47">
        <v>377</v>
      </c>
      <c r="AO387" s="42">
        <f t="shared" si="69"/>
        <v>0</v>
      </c>
      <c r="AP387" s="43">
        <f t="shared" si="70"/>
        <v>0</v>
      </c>
      <c r="AQ387" s="42">
        <f t="shared" si="71"/>
        <v>0</v>
      </c>
      <c r="AR387" s="44">
        <f t="shared" si="72"/>
        <v>0</v>
      </c>
      <c r="AT387" s="39">
        <f t="shared" si="73"/>
        <v>0</v>
      </c>
      <c r="AU387" s="39">
        <f t="shared" si="74"/>
        <v>0</v>
      </c>
      <c r="AW387" s="45">
        <f t="shared" si="75"/>
        <v>0</v>
      </c>
      <c r="AX387" s="45">
        <f t="shared" si="76"/>
        <v>0</v>
      </c>
    </row>
    <row r="388" spans="1:50" x14ac:dyDescent="0.3">
      <c r="A388" s="32">
        <v>378</v>
      </c>
      <c r="B388" s="33"/>
      <c r="C388" s="33"/>
      <c r="D388" s="33"/>
      <c r="E388" s="33" t="s">
        <v>24</v>
      </c>
      <c r="F388" s="71" t="str">
        <f t="shared" si="77"/>
        <v>-</v>
      </c>
      <c r="G388" s="33"/>
      <c r="H388" s="33"/>
      <c r="I388" s="46"/>
      <c r="J388" s="35"/>
      <c r="K388" s="35"/>
      <c r="L388" s="36">
        <f t="shared" si="78"/>
        <v>0</v>
      </c>
      <c r="M388" s="33"/>
      <c r="AN388" s="47">
        <v>378</v>
      </c>
      <c r="AO388" s="42">
        <f t="shared" si="69"/>
        <v>0</v>
      </c>
      <c r="AP388" s="43">
        <f t="shared" si="70"/>
        <v>0</v>
      </c>
      <c r="AQ388" s="42">
        <f t="shared" si="71"/>
        <v>0</v>
      </c>
      <c r="AR388" s="44">
        <f t="shared" si="72"/>
        <v>0</v>
      </c>
      <c r="AT388" s="39">
        <f t="shared" si="73"/>
        <v>0</v>
      </c>
      <c r="AU388" s="39">
        <f t="shared" si="74"/>
        <v>0</v>
      </c>
      <c r="AW388" s="45">
        <f t="shared" si="75"/>
        <v>0</v>
      </c>
      <c r="AX388" s="45">
        <f t="shared" si="76"/>
        <v>0</v>
      </c>
    </row>
    <row r="389" spans="1:50" x14ac:dyDescent="0.3">
      <c r="A389" s="32">
        <v>379</v>
      </c>
      <c r="B389" s="33"/>
      <c r="C389" s="33"/>
      <c r="D389" s="33"/>
      <c r="E389" s="33" t="s">
        <v>24</v>
      </c>
      <c r="F389" s="71" t="str">
        <f t="shared" si="77"/>
        <v>-</v>
      </c>
      <c r="G389" s="33"/>
      <c r="H389" s="33"/>
      <c r="I389" s="46"/>
      <c r="J389" s="35"/>
      <c r="K389" s="35"/>
      <c r="L389" s="36">
        <f t="shared" si="78"/>
        <v>0</v>
      </c>
      <c r="M389" s="33"/>
      <c r="AN389" s="47">
        <v>379</v>
      </c>
      <c r="AO389" s="42">
        <f t="shared" si="69"/>
        <v>0</v>
      </c>
      <c r="AP389" s="43">
        <f t="shared" si="70"/>
        <v>0</v>
      </c>
      <c r="AQ389" s="42">
        <f t="shared" si="71"/>
        <v>0</v>
      </c>
      <c r="AR389" s="44">
        <f t="shared" si="72"/>
        <v>0</v>
      </c>
      <c r="AT389" s="39">
        <f t="shared" si="73"/>
        <v>0</v>
      </c>
      <c r="AU389" s="39">
        <f t="shared" si="74"/>
        <v>0</v>
      </c>
      <c r="AW389" s="45">
        <f t="shared" si="75"/>
        <v>0</v>
      </c>
      <c r="AX389" s="45">
        <f t="shared" si="76"/>
        <v>0</v>
      </c>
    </row>
    <row r="390" spans="1:50" x14ac:dyDescent="0.3">
      <c r="A390" s="32">
        <v>380</v>
      </c>
      <c r="B390" s="33"/>
      <c r="C390" s="33"/>
      <c r="D390" s="33"/>
      <c r="E390" s="33" t="s">
        <v>24</v>
      </c>
      <c r="F390" s="71" t="str">
        <f t="shared" si="77"/>
        <v>-</v>
      </c>
      <c r="G390" s="33"/>
      <c r="H390" s="33"/>
      <c r="I390" s="46"/>
      <c r="J390" s="35"/>
      <c r="K390" s="35"/>
      <c r="L390" s="36">
        <f t="shared" si="78"/>
        <v>0</v>
      </c>
      <c r="M390" s="33"/>
      <c r="AN390" s="47">
        <v>380</v>
      </c>
      <c r="AO390" s="42">
        <f t="shared" si="69"/>
        <v>0</v>
      </c>
      <c r="AP390" s="43">
        <f t="shared" si="70"/>
        <v>0</v>
      </c>
      <c r="AQ390" s="42">
        <f t="shared" si="71"/>
        <v>0</v>
      </c>
      <c r="AR390" s="44">
        <f t="shared" si="72"/>
        <v>0</v>
      </c>
      <c r="AT390" s="39">
        <f t="shared" si="73"/>
        <v>0</v>
      </c>
      <c r="AU390" s="39">
        <f t="shared" si="74"/>
        <v>0</v>
      </c>
      <c r="AW390" s="45">
        <f t="shared" si="75"/>
        <v>0</v>
      </c>
      <c r="AX390" s="45">
        <f t="shared" si="76"/>
        <v>0</v>
      </c>
    </row>
    <row r="391" spans="1:50" x14ac:dyDescent="0.3">
      <c r="A391" s="32">
        <v>381</v>
      </c>
      <c r="B391" s="33"/>
      <c r="C391" s="33"/>
      <c r="D391" s="33"/>
      <c r="E391" s="33" t="s">
        <v>24</v>
      </c>
      <c r="F391" s="71" t="str">
        <f t="shared" si="77"/>
        <v>-</v>
      </c>
      <c r="G391" s="33"/>
      <c r="H391" s="33"/>
      <c r="I391" s="46"/>
      <c r="J391" s="35"/>
      <c r="K391" s="35"/>
      <c r="L391" s="36">
        <f t="shared" si="78"/>
        <v>0</v>
      </c>
      <c r="M391" s="33"/>
      <c r="AN391" s="47">
        <v>381</v>
      </c>
      <c r="AO391" s="42">
        <f t="shared" si="69"/>
        <v>0</v>
      </c>
      <c r="AP391" s="43">
        <f t="shared" si="70"/>
        <v>0</v>
      </c>
      <c r="AQ391" s="42">
        <f t="shared" si="71"/>
        <v>0</v>
      </c>
      <c r="AR391" s="44">
        <f t="shared" si="72"/>
        <v>0</v>
      </c>
      <c r="AT391" s="39">
        <f t="shared" si="73"/>
        <v>0</v>
      </c>
      <c r="AU391" s="39">
        <f t="shared" si="74"/>
        <v>0</v>
      </c>
      <c r="AW391" s="45">
        <f t="shared" si="75"/>
        <v>0</v>
      </c>
      <c r="AX391" s="45">
        <f t="shared" si="76"/>
        <v>0</v>
      </c>
    </row>
    <row r="392" spans="1:50" x14ac:dyDescent="0.3">
      <c r="A392" s="32">
        <v>382</v>
      </c>
      <c r="B392" s="33"/>
      <c r="C392" s="33"/>
      <c r="D392" s="33"/>
      <c r="E392" s="33" t="s">
        <v>24</v>
      </c>
      <c r="F392" s="71" t="str">
        <f t="shared" si="77"/>
        <v>-</v>
      </c>
      <c r="G392" s="33"/>
      <c r="H392" s="33"/>
      <c r="I392" s="46"/>
      <c r="J392" s="35"/>
      <c r="K392" s="35"/>
      <c r="L392" s="36">
        <f t="shared" si="78"/>
        <v>0</v>
      </c>
      <c r="M392" s="33"/>
      <c r="AN392" s="47">
        <v>382</v>
      </c>
      <c r="AO392" s="42">
        <f t="shared" si="69"/>
        <v>0</v>
      </c>
      <c r="AP392" s="43">
        <f t="shared" si="70"/>
        <v>0</v>
      </c>
      <c r="AQ392" s="42">
        <f t="shared" si="71"/>
        <v>0</v>
      </c>
      <c r="AR392" s="44">
        <f t="shared" si="72"/>
        <v>0</v>
      </c>
      <c r="AT392" s="39">
        <f t="shared" si="73"/>
        <v>0</v>
      </c>
      <c r="AU392" s="39">
        <f t="shared" si="74"/>
        <v>0</v>
      </c>
      <c r="AW392" s="45">
        <f t="shared" si="75"/>
        <v>0</v>
      </c>
      <c r="AX392" s="45">
        <f t="shared" si="76"/>
        <v>0</v>
      </c>
    </row>
    <row r="393" spans="1:50" x14ac:dyDescent="0.3">
      <c r="A393" s="32">
        <v>383</v>
      </c>
      <c r="B393" s="33"/>
      <c r="C393" s="33"/>
      <c r="D393" s="33"/>
      <c r="E393" s="33" t="s">
        <v>24</v>
      </c>
      <c r="F393" s="71" t="str">
        <f t="shared" si="77"/>
        <v>-</v>
      </c>
      <c r="G393" s="33"/>
      <c r="H393" s="33"/>
      <c r="I393" s="46"/>
      <c r="J393" s="35"/>
      <c r="K393" s="35"/>
      <c r="L393" s="36">
        <f t="shared" si="78"/>
        <v>0</v>
      </c>
      <c r="M393" s="33"/>
      <c r="AN393" s="47">
        <v>383</v>
      </c>
      <c r="AO393" s="42">
        <f t="shared" si="69"/>
        <v>0</v>
      </c>
      <c r="AP393" s="43">
        <f t="shared" si="70"/>
        <v>0</v>
      </c>
      <c r="AQ393" s="42">
        <f t="shared" si="71"/>
        <v>0</v>
      </c>
      <c r="AR393" s="44">
        <f t="shared" si="72"/>
        <v>0</v>
      </c>
      <c r="AT393" s="39">
        <f t="shared" si="73"/>
        <v>0</v>
      </c>
      <c r="AU393" s="39">
        <f t="shared" si="74"/>
        <v>0</v>
      </c>
      <c r="AW393" s="45">
        <f t="shared" si="75"/>
        <v>0</v>
      </c>
      <c r="AX393" s="45">
        <f t="shared" si="76"/>
        <v>0</v>
      </c>
    </row>
    <row r="394" spans="1:50" x14ac:dyDescent="0.3">
      <c r="A394" s="32">
        <v>384</v>
      </c>
      <c r="B394" s="33"/>
      <c r="C394" s="33"/>
      <c r="D394" s="33"/>
      <c r="E394" s="33" t="s">
        <v>24</v>
      </c>
      <c r="F394" s="71" t="str">
        <f t="shared" si="77"/>
        <v>-</v>
      </c>
      <c r="G394" s="33"/>
      <c r="H394" s="33"/>
      <c r="I394" s="46"/>
      <c r="J394" s="35"/>
      <c r="K394" s="35"/>
      <c r="L394" s="36">
        <f t="shared" si="78"/>
        <v>0</v>
      </c>
      <c r="M394" s="33"/>
      <c r="AN394" s="47">
        <v>384</v>
      </c>
      <c r="AO394" s="42">
        <f t="shared" si="69"/>
        <v>0</v>
      </c>
      <c r="AP394" s="43">
        <f t="shared" si="70"/>
        <v>0</v>
      </c>
      <c r="AQ394" s="42">
        <f t="shared" si="71"/>
        <v>0</v>
      </c>
      <c r="AR394" s="44">
        <f t="shared" si="72"/>
        <v>0</v>
      </c>
      <c r="AT394" s="39">
        <f t="shared" si="73"/>
        <v>0</v>
      </c>
      <c r="AU394" s="39">
        <f t="shared" si="74"/>
        <v>0</v>
      </c>
      <c r="AW394" s="45">
        <f t="shared" si="75"/>
        <v>0</v>
      </c>
      <c r="AX394" s="45">
        <f t="shared" si="76"/>
        <v>0</v>
      </c>
    </row>
    <row r="395" spans="1:50" x14ac:dyDescent="0.3">
      <c r="A395" s="32">
        <v>385</v>
      </c>
      <c r="B395" s="33"/>
      <c r="C395" s="33"/>
      <c r="D395" s="33"/>
      <c r="E395" s="33" t="s">
        <v>24</v>
      </c>
      <c r="F395" s="71" t="str">
        <f t="shared" si="77"/>
        <v>-</v>
      </c>
      <c r="G395" s="33"/>
      <c r="H395" s="33"/>
      <c r="I395" s="46"/>
      <c r="J395" s="35"/>
      <c r="K395" s="35"/>
      <c r="L395" s="36">
        <f t="shared" si="78"/>
        <v>0</v>
      </c>
      <c r="M395" s="33"/>
      <c r="AN395" s="47">
        <v>385</v>
      </c>
      <c r="AO395" s="42">
        <f t="shared" si="69"/>
        <v>0</v>
      </c>
      <c r="AP395" s="43">
        <f t="shared" si="70"/>
        <v>0</v>
      </c>
      <c r="AQ395" s="42">
        <f t="shared" si="71"/>
        <v>0</v>
      </c>
      <c r="AR395" s="44">
        <f t="shared" si="72"/>
        <v>0</v>
      </c>
      <c r="AT395" s="39">
        <f t="shared" si="73"/>
        <v>0</v>
      </c>
      <c r="AU395" s="39">
        <f t="shared" si="74"/>
        <v>0</v>
      </c>
      <c r="AW395" s="45">
        <f t="shared" si="75"/>
        <v>0</v>
      </c>
      <c r="AX395" s="45">
        <f t="shared" si="76"/>
        <v>0</v>
      </c>
    </row>
    <row r="396" spans="1:50" x14ac:dyDescent="0.3">
      <c r="A396" s="32">
        <v>386</v>
      </c>
      <c r="B396" s="33"/>
      <c r="C396" s="33"/>
      <c r="D396" s="33"/>
      <c r="E396" s="33" t="s">
        <v>24</v>
      </c>
      <c r="F396" s="71" t="str">
        <f t="shared" si="77"/>
        <v>-</v>
      </c>
      <c r="G396" s="33"/>
      <c r="H396" s="33"/>
      <c r="I396" s="46"/>
      <c r="J396" s="35"/>
      <c r="K396" s="35"/>
      <c r="L396" s="36">
        <f t="shared" si="78"/>
        <v>0</v>
      </c>
      <c r="M396" s="33"/>
      <c r="AN396" s="47">
        <v>386</v>
      </c>
      <c r="AO396" s="42">
        <f t="shared" si="69"/>
        <v>0</v>
      </c>
      <c r="AP396" s="43">
        <f t="shared" si="70"/>
        <v>0</v>
      </c>
      <c r="AQ396" s="42">
        <f t="shared" si="71"/>
        <v>0</v>
      </c>
      <c r="AR396" s="44">
        <f t="shared" si="72"/>
        <v>0</v>
      </c>
      <c r="AT396" s="39">
        <f t="shared" si="73"/>
        <v>0</v>
      </c>
      <c r="AU396" s="39">
        <f t="shared" si="74"/>
        <v>0</v>
      </c>
      <c r="AW396" s="45">
        <f t="shared" si="75"/>
        <v>0</v>
      </c>
      <c r="AX396" s="45">
        <f t="shared" si="76"/>
        <v>0</v>
      </c>
    </row>
    <row r="397" spans="1:50" x14ac:dyDescent="0.3">
      <c r="A397" s="32">
        <v>387</v>
      </c>
      <c r="B397" s="33"/>
      <c r="C397" s="33"/>
      <c r="D397" s="33"/>
      <c r="E397" s="33" t="s">
        <v>24</v>
      </c>
      <c r="F397" s="71" t="str">
        <f t="shared" si="77"/>
        <v>-</v>
      </c>
      <c r="G397" s="33"/>
      <c r="H397" s="33"/>
      <c r="I397" s="46"/>
      <c r="J397" s="35"/>
      <c r="K397" s="35"/>
      <c r="L397" s="36">
        <f t="shared" si="78"/>
        <v>0</v>
      </c>
      <c r="M397" s="33"/>
      <c r="AN397" s="47">
        <v>387</v>
      </c>
      <c r="AO397" s="42">
        <f t="shared" si="69"/>
        <v>0</v>
      </c>
      <c r="AP397" s="43">
        <f t="shared" si="70"/>
        <v>0</v>
      </c>
      <c r="AQ397" s="42">
        <f t="shared" si="71"/>
        <v>0</v>
      </c>
      <c r="AR397" s="44">
        <f t="shared" si="72"/>
        <v>0</v>
      </c>
      <c r="AT397" s="39">
        <f t="shared" si="73"/>
        <v>0</v>
      </c>
      <c r="AU397" s="39">
        <f t="shared" si="74"/>
        <v>0</v>
      </c>
      <c r="AW397" s="45">
        <f t="shared" si="75"/>
        <v>0</v>
      </c>
      <c r="AX397" s="45">
        <f t="shared" si="76"/>
        <v>0</v>
      </c>
    </row>
    <row r="398" spans="1:50" x14ac:dyDescent="0.3">
      <c r="A398" s="32">
        <v>388</v>
      </c>
      <c r="B398" s="33"/>
      <c r="C398" s="33"/>
      <c r="D398" s="33"/>
      <c r="E398" s="33" t="s">
        <v>24</v>
      </c>
      <c r="F398" s="71" t="str">
        <f t="shared" si="77"/>
        <v>-</v>
      </c>
      <c r="G398" s="33"/>
      <c r="H398" s="33"/>
      <c r="I398" s="46"/>
      <c r="J398" s="35"/>
      <c r="K398" s="35"/>
      <c r="L398" s="36">
        <f t="shared" si="78"/>
        <v>0</v>
      </c>
      <c r="M398" s="33"/>
      <c r="AN398" s="47">
        <v>388</v>
      </c>
      <c r="AO398" s="42">
        <f t="shared" si="69"/>
        <v>0</v>
      </c>
      <c r="AP398" s="43">
        <f t="shared" si="70"/>
        <v>0</v>
      </c>
      <c r="AQ398" s="42">
        <f t="shared" si="71"/>
        <v>0</v>
      </c>
      <c r="AR398" s="44">
        <f t="shared" si="72"/>
        <v>0</v>
      </c>
      <c r="AT398" s="39">
        <f t="shared" si="73"/>
        <v>0</v>
      </c>
      <c r="AU398" s="39">
        <f t="shared" si="74"/>
        <v>0</v>
      </c>
      <c r="AW398" s="45">
        <f t="shared" si="75"/>
        <v>0</v>
      </c>
      <c r="AX398" s="45">
        <f t="shared" si="76"/>
        <v>0</v>
      </c>
    </row>
    <row r="399" spans="1:50" x14ac:dyDescent="0.3">
      <c r="A399" s="32">
        <v>389</v>
      </c>
      <c r="B399" s="33"/>
      <c r="C399" s="33"/>
      <c r="D399" s="33"/>
      <c r="E399" s="33" t="s">
        <v>24</v>
      </c>
      <c r="F399" s="71" t="str">
        <f t="shared" si="77"/>
        <v>-</v>
      </c>
      <c r="G399" s="33"/>
      <c r="H399" s="33"/>
      <c r="I399" s="46"/>
      <c r="J399" s="35"/>
      <c r="K399" s="35"/>
      <c r="L399" s="36">
        <f t="shared" si="78"/>
        <v>0</v>
      </c>
      <c r="M399" s="33"/>
      <c r="AN399" s="47">
        <v>389</v>
      </c>
      <c r="AO399" s="42">
        <f t="shared" ref="AO399:AO462" si="79">I399+(I399*J399)+(I399*K399)</f>
        <v>0</v>
      </c>
      <c r="AP399" s="43">
        <f t="shared" ref="AP399:AP462" si="80">IFERROR(VLOOKUP(E399,$AE$11:$AK$14,4,0),0)</f>
        <v>0</v>
      </c>
      <c r="AQ399" s="42">
        <f t="shared" ref="AQ399:AQ462" si="81">(I399+(I399*J399)+(I399*K399))*AP399</f>
        <v>0</v>
      </c>
      <c r="AR399" s="44">
        <f t="shared" ref="AR399:AR462" si="82">AO399+AQ399</f>
        <v>0</v>
      </c>
      <c r="AT399" s="39">
        <f t="shared" ref="AT399:AT462" si="83">IFERROR((VLOOKUP(E399,$AE$11:$AJ$14,5,0)),0)</f>
        <v>0</v>
      </c>
      <c r="AU399" s="39">
        <f t="shared" ref="AU399:AU462" si="84">IFERROR((VLOOKUP(E399,$AE$11:$AJ$14,6,0)),0)</f>
        <v>0</v>
      </c>
      <c r="AW399" s="45">
        <f t="shared" ref="AW399:AW462" si="85">AR399*AT399</f>
        <v>0</v>
      </c>
      <c r="AX399" s="45">
        <f t="shared" ref="AX399:AX462" si="86">AR399*AU399</f>
        <v>0</v>
      </c>
    </row>
    <row r="400" spans="1:50" x14ac:dyDescent="0.3">
      <c r="A400" s="32">
        <v>390</v>
      </c>
      <c r="B400" s="33"/>
      <c r="C400" s="33"/>
      <c r="D400" s="33"/>
      <c r="E400" s="33" t="s">
        <v>24</v>
      </c>
      <c r="F400" s="71" t="str">
        <f t="shared" si="77"/>
        <v>-</v>
      </c>
      <c r="G400" s="33"/>
      <c r="H400" s="33"/>
      <c r="I400" s="46"/>
      <c r="J400" s="35"/>
      <c r="K400" s="35"/>
      <c r="L400" s="36">
        <f t="shared" si="78"/>
        <v>0</v>
      </c>
      <c r="M400" s="33"/>
      <c r="AN400" s="47">
        <v>390</v>
      </c>
      <c r="AO400" s="42">
        <f t="shared" si="79"/>
        <v>0</v>
      </c>
      <c r="AP400" s="43">
        <f t="shared" si="80"/>
        <v>0</v>
      </c>
      <c r="AQ400" s="42">
        <f t="shared" si="81"/>
        <v>0</v>
      </c>
      <c r="AR400" s="44">
        <f t="shared" si="82"/>
        <v>0</v>
      </c>
      <c r="AT400" s="39">
        <f t="shared" si="83"/>
        <v>0</v>
      </c>
      <c r="AU400" s="39">
        <f t="shared" si="84"/>
        <v>0</v>
      </c>
      <c r="AW400" s="45">
        <f t="shared" si="85"/>
        <v>0</v>
      </c>
      <c r="AX400" s="45">
        <f t="shared" si="86"/>
        <v>0</v>
      </c>
    </row>
    <row r="401" spans="1:50" x14ac:dyDescent="0.3">
      <c r="A401" s="32">
        <v>391</v>
      </c>
      <c r="B401" s="33"/>
      <c r="C401" s="33"/>
      <c r="D401" s="33"/>
      <c r="E401" s="33" t="s">
        <v>24</v>
      </c>
      <c r="F401" s="71" t="str">
        <f t="shared" si="77"/>
        <v>-</v>
      </c>
      <c r="G401" s="33"/>
      <c r="H401" s="33"/>
      <c r="I401" s="46"/>
      <c r="J401" s="35"/>
      <c r="K401" s="35"/>
      <c r="L401" s="36">
        <f t="shared" si="78"/>
        <v>0</v>
      </c>
      <c r="M401" s="33"/>
      <c r="AN401" s="47">
        <v>391</v>
      </c>
      <c r="AO401" s="42">
        <f t="shared" si="79"/>
        <v>0</v>
      </c>
      <c r="AP401" s="43">
        <f t="shared" si="80"/>
        <v>0</v>
      </c>
      <c r="AQ401" s="42">
        <f t="shared" si="81"/>
        <v>0</v>
      </c>
      <c r="AR401" s="44">
        <f t="shared" si="82"/>
        <v>0</v>
      </c>
      <c r="AT401" s="39">
        <f t="shared" si="83"/>
        <v>0</v>
      </c>
      <c r="AU401" s="39">
        <f t="shared" si="84"/>
        <v>0</v>
      </c>
      <c r="AW401" s="45">
        <f t="shared" si="85"/>
        <v>0</v>
      </c>
      <c r="AX401" s="45">
        <f t="shared" si="86"/>
        <v>0</v>
      </c>
    </row>
    <row r="402" spans="1:50" x14ac:dyDescent="0.3">
      <c r="A402" s="32">
        <v>392</v>
      </c>
      <c r="B402" s="33"/>
      <c r="C402" s="33"/>
      <c r="D402" s="33"/>
      <c r="E402" s="33" t="s">
        <v>24</v>
      </c>
      <c r="F402" s="71" t="str">
        <f t="shared" si="77"/>
        <v>-</v>
      </c>
      <c r="G402" s="33"/>
      <c r="H402" s="33"/>
      <c r="I402" s="46"/>
      <c r="J402" s="35"/>
      <c r="K402" s="35"/>
      <c r="L402" s="36">
        <f t="shared" si="78"/>
        <v>0</v>
      </c>
      <c r="M402" s="33"/>
      <c r="AN402" s="47">
        <v>392</v>
      </c>
      <c r="AO402" s="42">
        <f t="shared" si="79"/>
        <v>0</v>
      </c>
      <c r="AP402" s="43">
        <f t="shared" si="80"/>
        <v>0</v>
      </c>
      <c r="AQ402" s="42">
        <f t="shared" si="81"/>
        <v>0</v>
      </c>
      <c r="AR402" s="44">
        <f t="shared" si="82"/>
        <v>0</v>
      </c>
      <c r="AT402" s="39">
        <f t="shared" si="83"/>
        <v>0</v>
      </c>
      <c r="AU402" s="39">
        <f t="shared" si="84"/>
        <v>0</v>
      </c>
      <c r="AW402" s="45">
        <f t="shared" si="85"/>
        <v>0</v>
      </c>
      <c r="AX402" s="45">
        <f t="shared" si="86"/>
        <v>0</v>
      </c>
    </row>
    <row r="403" spans="1:50" x14ac:dyDescent="0.3">
      <c r="A403" s="32">
        <v>393</v>
      </c>
      <c r="B403" s="33"/>
      <c r="C403" s="33"/>
      <c r="D403" s="33"/>
      <c r="E403" s="33" t="s">
        <v>24</v>
      </c>
      <c r="F403" s="71" t="str">
        <f t="shared" si="77"/>
        <v>-</v>
      </c>
      <c r="G403" s="33"/>
      <c r="H403" s="33"/>
      <c r="I403" s="46"/>
      <c r="J403" s="35"/>
      <c r="K403" s="35"/>
      <c r="L403" s="36">
        <f t="shared" si="78"/>
        <v>0</v>
      </c>
      <c r="M403" s="33"/>
      <c r="AN403" s="47">
        <v>393</v>
      </c>
      <c r="AO403" s="42">
        <f t="shared" si="79"/>
        <v>0</v>
      </c>
      <c r="AP403" s="43">
        <f t="shared" si="80"/>
        <v>0</v>
      </c>
      <c r="AQ403" s="42">
        <f t="shared" si="81"/>
        <v>0</v>
      </c>
      <c r="AR403" s="44">
        <f t="shared" si="82"/>
        <v>0</v>
      </c>
      <c r="AT403" s="39">
        <f t="shared" si="83"/>
        <v>0</v>
      </c>
      <c r="AU403" s="39">
        <f t="shared" si="84"/>
        <v>0</v>
      </c>
      <c r="AW403" s="45">
        <f t="shared" si="85"/>
        <v>0</v>
      </c>
      <c r="AX403" s="45">
        <f t="shared" si="86"/>
        <v>0</v>
      </c>
    </row>
    <row r="404" spans="1:50" x14ac:dyDescent="0.3">
      <c r="A404" s="32">
        <v>394</v>
      </c>
      <c r="B404" s="33"/>
      <c r="C404" s="33"/>
      <c r="D404" s="33"/>
      <c r="E404" s="33" t="s">
        <v>24</v>
      </c>
      <c r="F404" s="71" t="str">
        <f t="shared" si="77"/>
        <v>-</v>
      </c>
      <c r="G404" s="33"/>
      <c r="H404" s="33"/>
      <c r="I404" s="46"/>
      <c r="J404" s="35"/>
      <c r="K404" s="35"/>
      <c r="L404" s="36">
        <f t="shared" si="78"/>
        <v>0</v>
      </c>
      <c r="M404" s="33"/>
      <c r="AN404" s="47">
        <v>394</v>
      </c>
      <c r="AO404" s="42">
        <f t="shared" si="79"/>
        <v>0</v>
      </c>
      <c r="AP404" s="43">
        <f t="shared" si="80"/>
        <v>0</v>
      </c>
      <c r="AQ404" s="42">
        <f t="shared" si="81"/>
        <v>0</v>
      </c>
      <c r="AR404" s="44">
        <f t="shared" si="82"/>
        <v>0</v>
      </c>
      <c r="AT404" s="39">
        <f t="shared" si="83"/>
        <v>0</v>
      </c>
      <c r="AU404" s="39">
        <f t="shared" si="84"/>
        <v>0</v>
      </c>
      <c r="AW404" s="45">
        <f t="shared" si="85"/>
        <v>0</v>
      </c>
      <c r="AX404" s="45">
        <f t="shared" si="86"/>
        <v>0</v>
      </c>
    </row>
    <row r="405" spans="1:50" x14ac:dyDescent="0.3">
      <c r="A405" s="32">
        <v>395</v>
      </c>
      <c r="B405" s="33"/>
      <c r="C405" s="33"/>
      <c r="D405" s="33"/>
      <c r="E405" s="33" t="s">
        <v>24</v>
      </c>
      <c r="F405" s="71" t="str">
        <f t="shared" si="77"/>
        <v>-</v>
      </c>
      <c r="G405" s="33"/>
      <c r="H405" s="33"/>
      <c r="I405" s="46"/>
      <c r="J405" s="35"/>
      <c r="K405" s="35"/>
      <c r="L405" s="36">
        <f t="shared" si="78"/>
        <v>0</v>
      </c>
      <c r="M405" s="33"/>
      <c r="AN405" s="47">
        <v>395</v>
      </c>
      <c r="AO405" s="42">
        <f t="shared" si="79"/>
        <v>0</v>
      </c>
      <c r="AP405" s="43">
        <f t="shared" si="80"/>
        <v>0</v>
      </c>
      <c r="AQ405" s="42">
        <f t="shared" si="81"/>
        <v>0</v>
      </c>
      <c r="AR405" s="44">
        <f t="shared" si="82"/>
        <v>0</v>
      </c>
      <c r="AT405" s="39">
        <f t="shared" si="83"/>
        <v>0</v>
      </c>
      <c r="AU405" s="39">
        <f t="shared" si="84"/>
        <v>0</v>
      </c>
      <c r="AW405" s="45">
        <f t="shared" si="85"/>
        <v>0</v>
      </c>
      <c r="AX405" s="45">
        <f t="shared" si="86"/>
        <v>0</v>
      </c>
    </row>
    <row r="406" spans="1:50" x14ac:dyDescent="0.3">
      <c r="A406" s="32">
        <v>396</v>
      </c>
      <c r="B406" s="33"/>
      <c r="C406" s="33"/>
      <c r="D406" s="33"/>
      <c r="E406" s="33" t="s">
        <v>24</v>
      </c>
      <c r="F406" s="71" t="str">
        <f t="shared" si="77"/>
        <v>-</v>
      </c>
      <c r="G406" s="33"/>
      <c r="H406" s="33"/>
      <c r="I406" s="46"/>
      <c r="J406" s="35"/>
      <c r="K406" s="35"/>
      <c r="L406" s="36">
        <f t="shared" si="78"/>
        <v>0</v>
      </c>
      <c r="M406" s="33"/>
      <c r="AN406" s="47">
        <v>396</v>
      </c>
      <c r="AO406" s="42">
        <f t="shared" si="79"/>
        <v>0</v>
      </c>
      <c r="AP406" s="43">
        <f t="shared" si="80"/>
        <v>0</v>
      </c>
      <c r="AQ406" s="42">
        <f t="shared" si="81"/>
        <v>0</v>
      </c>
      <c r="AR406" s="44">
        <f t="shared" si="82"/>
        <v>0</v>
      </c>
      <c r="AT406" s="39">
        <f t="shared" si="83"/>
        <v>0</v>
      </c>
      <c r="AU406" s="39">
        <f t="shared" si="84"/>
        <v>0</v>
      </c>
      <c r="AW406" s="45">
        <f t="shared" si="85"/>
        <v>0</v>
      </c>
      <c r="AX406" s="45">
        <f t="shared" si="86"/>
        <v>0</v>
      </c>
    </row>
    <row r="407" spans="1:50" x14ac:dyDescent="0.3">
      <c r="A407" s="32">
        <v>397</v>
      </c>
      <c r="B407" s="33"/>
      <c r="C407" s="33"/>
      <c r="D407" s="33"/>
      <c r="E407" s="33" t="s">
        <v>24</v>
      </c>
      <c r="F407" s="71" t="str">
        <f t="shared" si="77"/>
        <v>-</v>
      </c>
      <c r="G407" s="33"/>
      <c r="H407" s="33"/>
      <c r="I407" s="46"/>
      <c r="J407" s="35"/>
      <c r="K407" s="35"/>
      <c r="L407" s="36">
        <f t="shared" si="78"/>
        <v>0</v>
      </c>
      <c r="M407" s="33"/>
      <c r="AN407" s="47">
        <v>397</v>
      </c>
      <c r="AO407" s="42">
        <f t="shared" si="79"/>
        <v>0</v>
      </c>
      <c r="AP407" s="43">
        <f t="shared" si="80"/>
        <v>0</v>
      </c>
      <c r="AQ407" s="42">
        <f t="shared" si="81"/>
        <v>0</v>
      </c>
      <c r="AR407" s="44">
        <f t="shared" si="82"/>
        <v>0</v>
      </c>
      <c r="AT407" s="39">
        <f t="shared" si="83"/>
        <v>0</v>
      </c>
      <c r="AU407" s="39">
        <f t="shared" si="84"/>
        <v>0</v>
      </c>
      <c r="AW407" s="45">
        <f t="shared" si="85"/>
        <v>0</v>
      </c>
      <c r="AX407" s="45">
        <f t="shared" si="86"/>
        <v>0</v>
      </c>
    </row>
    <row r="408" spans="1:50" x14ac:dyDescent="0.3">
      <c r="A408" s="32">
        <v>398</v>
      </c>
      <c r="B408" s="33"/>
      <c r="C408" s="33"/>
      <c r="D408" s="33"/>
      <c r="E408" s="33" t="s">
        <v>24</v>
      </c>
      <c r="F408" s="71" t="str">
        <f t="shared" si="77"/>
        <v>-</v>
      </c>
      <c r="G408" s="33"/>
      <c r="H408" s="33"/>
      <c r="I408" s="46"/>
      <c r="J408" s="35"/>
      <c r="K408" s="35"/>
      <c r="L408" s="36">
        <f t="shared" si="78"/>
        <v>0</v>
      </c>
      <c r="M408" s="33"/>
      <c r="AN408" s="47">
        <v>398</v>
      </c>
      <c r="AO408" s="42">
        <f t="shared" si="79"/>
        <v>0</v>
      </c>
      <c r="AP408" s="43">
        <f t="shared" si="80"/>
        <v>0</v>
      </c>
      <c r="AQ408" s="42">
        <f t="shared" si="81"/>
        <v>0</v>
      </c>
      <c r="AR408" s="44">
        <f t="shared" si="82"/>
        <v>0</v>
      </c>
      <c r="AT408" s="39">
        <f t="shared" si="83"/>
        <v>0</v>
      </c>
      <c r="AU408" s="39">
        <f t="shared" si="84"/>
        <v>0</v>
      </c>
      <c r="AW408" s="45">
        <f t="shared" si="85"/>
        <v>0</v>
      </c>
      <c r="AX408" s="45">
        <f t="shared" si="86"/>
        <v>0</v>
      </c>
    </row>
    <row r="409" spans="1:50" x14ac:dyDescent="0.3">
      <c r="A409" s="32">
        <v>399</v>
      </c>
      <c r="B409" s="33"/>
      <c r="C409" s="33"/>
      <c r="D409" s="33"/>
      <c r="E409" s="33" t="s">
        <v>24</v>
      </c>
      <c r="F409" s="71" t="str">
        <f t="shared" si="77"/>
        <v>-</v>
      </c>
      <c r="G409" s="33"/>
      <c r="H409" s="33"/>
      <c r="I409" s="46"/>
      <c r="J409" s="35"/>
      <c r="K409" s="35"/>
      <c r="L409" s="36">
        <f t="shared" si="78"/>
        <v>0</v>
      </c>
      <c r="M409" s="33"/>
      <c r="AN409" s="47">
        <v>399</v>
      </c>
      <c r="AO409" s="42">
        <f t="shared" si="79"/>
        <v>0</v>
      </c>
      <c r="AP409" s="43">
        <f t="shared" si="80"/>
        <v>0</v>
      </c>
      <c r="AQ409" s="42">
        <f t="shared" si="81"/>
        <v>0</v>
      </c>
      <c r="AR409" s="44">
        <f t="shared" si="82"/>
        <v>0</v>
      </c>
      <c r="AT409" s="39">
        <f t="shared" si="83"/>
        <v>0</v>
      </c>
      <c r="AU409" s="39">
        <f t="shared" si="84"/>
        <v>0</v>
      </c>
      <c r="AW409" s="45">
        <f t="shared" si="85"/>
        <v>0</v>
      </c>
      <c r="AX409" s="45">
        <f t="shared" si="86"/>
        <v>0</v>
      </c>
    </row>
    <row r="410" spans="1:50" x14ac:dyDescent="0.3">
      <c r="A410" s="32">
        <v>400</v>
      </c>
      <c r="B410" s="33"/>
      <c r="C410" s="33"/>
      <c r="D410" s="33"/>
      <c r="E410" s="33" t="s">
        <v>24</v>
      </c>
      <c r="F410" s="71" t="str">
        <f t="shared" si="77"/>
        <v>-</v>
      </c>
      <c r="G410" s="33"/>
      <c r="H410" s="33"/>
      <c r="I410" s="46"/>
      <c r="J410" s="35"/>
      <c r="K410" s="35"/>
      <c r="L410" s="36">
        <f t="shared" si="78"/>
        <v>0</v>
      </c>
      <c r="M410" s="33"/>
      <c r="AN410" s="47">
        <v>400</v>
      </c>
      <c r="AO410" s="42">
        <f t="shared" si="79"/>
        <v>0</v>
      </c>
      <c r="AP410" s="43">
        <f t="shared" si="80"/>
        <v>0</v>
      </c>
      <c r="AQ410" s="42">
        <f t="shared" si="81"/>
        <v>0</v>
      </c>
      <c r="AR410" s="44">
        <f t="shared" si="82"/>
        <v>0</v>
      </c>
      <c r="AT410" s="39">
        <f t="shared" si="83"/>
        <v>0</v>
      </c>
      <c r="AU410" s="39">
        <f t="shared" si="84"/>
        <v>0</v>
      </c>
      <c r="AW410" s="45">
        <f t="shared" si="85"/>
        <v>0</v>
      </c>
      <c r="AX410" s="45">
        <f t="shared" si="86"/>
        <v>0</v>
      </c>
    </row>
    <row r="411" spans="1:50" x14ac:dyDescent="0.3">
      <c r="A411" s="32">
        <v>401</v>
      </c>
      <c r="B411" s="33"/>
      <c r="C411" s="33"/>
      <c r="D411" s="33"/>
      <c r="E411" s="33" t="s">
        <v>24</v>
      </c>
      <c r="F411" s="71" t="str">
        <f t="shared" si="77"/>
        <v>-</v>
      </c>
      <c r="G411" s="33"/>
      <c r="H411" s="33"/>
      <c r="I411" s="46"/>
      <c r="J411" s="35"/>
      <c r="K411" s="35"/>
      <c r="L411" s="36">
        <f t="shared" si="78"/>
        <v>0</v>
      </c>
      <c r="M411" s="33"/>
      <c r="AN411" s="47">
        <v>401</v>
      </c>
      <c r="AO411" s="42">
        <f t="shared" si="79"/>
        <v>0</v>
      </c>
      <c r="AP411" s="43">
        <f t="shared" si="80"/>
        <v>0</v>
      </c>
      <c r="AQ411" s="42">
        <f t="shared" si="81"/>
        <v>0</v>
      </c>
      <c r="AR411" s="44">
        <f t="shared" si="82"/>
        <v>0</v>
      </c>
      <c r="AT411" s="39">
        <f t="shared" si="83"/>
        <v>0</v>
      </c>
      <c r="AU411" s="39">
        <f t="shared" si="84"/>
        <v>0</v>
      </c>
      <c r="AW411" s="45">
        <f t="shared" si="85"/>
        <v>0</v>
      </c>
      <c r="AX411" s="45">
        <f t="shared" si="86"/>
        <v>0</v>
      </c>
    </row>
    <row r="412" spans="1:50" x14ac:dyDescent="0.3">
      <c r="A412" s="32">
        <v>402</v>
      </c>
      <c r="B412" s="33"/>
      <c r="C412" s="33"/>
      <c r="D412" s="33"/>
      <c r="E412" s="33" t="s">
        <v>24</v>
      </c>
      <c r="F412" s="71" t="str">
        <f t="shared" si="77"/>
        <v>-</v>
      </c>
      <c r="G412" s="33"/>
      <c r="H412" s="33"/>
      <c r="I412" s="46"/>
      <c r="J412" s="35"/>
      <c r="K412" s="35"/>
      <c r="L412" s="36">
        <f t="shared" si="78"/>
        <v>0</v>
      </c>
      <c r="M412" s="33"/>
      <c r="AN412" s="47">
        <v>402</v>
      </c>
      <c r="AO412" s="42">
        <f t="shared" si="79"/>
        <v>0</v>
      </c>
      <c r="AP412" s="43">
        <f t="shared" si="80"/>
        <v>0</v>
      </c>
      <c r="AQ412" s="42">
        <f t="shared" si="81"/>
        <v>0</v>
      </c>
      <c r="AR412" s="44">
        <f t="shared" si="82"/>
        <v>0</v>
      </c>
      <c r="AT412" s="39">
        <f t="shared" si="83"/>
        <v>0</v>
      </c>
      <c r="AU412" s="39">
        <f t="shared" si="84"/>
        <v>0</v>
      </c>
      <c r="AW412" s="45">
        <f t="shared" si="85"/>
        <v>0</v>
      </c>
      <c r="AX412" s="45">
        <f t="shared" si="86"/>
        <v>0</v>
      </c>
    </row>
    <row r="413" spans="1:50" x14ac:dyDescent="0.3">
      <c r="A413" s="32">
        <v>403</v>
      </c>
      <c r="B413" s="33"/>
      <c r="C413" s="33"/>
      <c r="D413" s="33"/>
      <c r="E413" s="33" t="s">
        <v>24</v>
      </c>
      <c r="F413" s="71" t="str">
        <f t="shared" si="77"/>
        <v>-</v>
      </c>
      <c r="G413" s="33"/>
      <c r="H413" s="33"/>
      <c r="I413" s="46"/>
      <c r="J413" s="35"/>
      <c r="K413" s="35"/>
      <c r="L413" s="36">
        <f t="shared" si="78"/>
        <v>0</v>
      </c>
      <c r="M413" s="33"/>
      <c r="AN413" s="47">
        <v>403</v>
      </c>
      <c r="AO413" s="42">
        <f t="shared" si="79"/>
        <v>0</v>
      </c>
      <c r="AP413" s="43">
        <f t="shared" si="80"/>
        <v>0</v>
      </c>
      <c r="AQ413" s="42">
        <f t="shared" si="81"/>
        <v>0</v>
      </c>
      <c r="AR413" s="44">
        <f t="shared" si="82"/>
        <v>0</v>
      </c>
      <c r="AT413" s="39">
        <f t="shared" si="83"/>
        <v>0</v>
      </c>
      <c r="AU413" s="39">
        <f t="shared" si="84"/>
        <v>0</v>
      </c>
      <c r="AW413" s="45">
        <f t="shared" si="85"/>
        <v>0</v>
      </c>
      <c r="AX413" s="45">
        <f t="shared" si="86"/>
        <v>0</v>
      </c>
    </row>
    <row r="414" spans="1:50" x14ac:dyDescent="0.3">
      <c r="A414" s="32">
        <v>404</v>
      </c>
      <c r="B414" s="33"/>
      <c r="C414" s="33"/>
      <c r="D414" s="33"/>
      <c r="E414" s="33" t="s">
        <v>24</v>
      </c>
      <c r="F414" s="71" t="str">
        <f t="shared" si="77"/>
        <v>-</v>
      </c>
      <c r="G414" s="33"/>
      <c r="H414" s="33"/>
      <c r="I414" s="46"/>
      <c r="J414" s="35"/>
      <c r="K414" s="35"/>
      <c r="L414" s="36">
        <f t="shared" si="78"/>
        <v>0</v>
      </c>
      <c r="M414" s="33"/>
      <c r="AN414" s="47">
        <v>404</v>
      </c>
      <c r="AO414" s="42">
        <f t="shared" si="79"/>
        <v>0</v>
      </c>
      <c r="AP414" s="43">
        <f t="shared" si="80"/>
        <v>0</v>
      </c>
      <c r="AQ414" s="42">
        <f t="shared" si="81"/>
        <v>0</v>
      </c>
      <c r="AR414" s="44">
        <f t="shared" si="82"/>
        <v>0</v>
      </c>
      <c r="AT414" s="39">
        <f t="shared" si="83"/>
        <v>0</v>
      </c>
      <c r="AU414" s="39">
        <f t="shared" si="84"/>
        <v>0</v>
      </c>
      <c r="AW414" s="45">
        <f t="shared" si="85"/>
        <v>0</v>
      </c>
      <c r="AX414" s="45">
        <f t="shared" si="86"/>
        <v>0</v>
      </c>
    </row>
    <row r="415" spans="1:50" x14ac:dyDescent="0.3">
      <c r="A415" s="32">
        <v>405</v>
      </c>
      <c r="B415" s="33"/>
      <c r="C415" s="33"/>
      <c r="D415" s="33"/>
      <c r="E415" s="33" t="s">
        <v>24</v>
      </c>
      <c r="F415" s="71" t="str">
        <f t="shared" si="77"/>
        <v>-</v>
      </c>
      <c r="G415" s="33"/>
      <c r="H415" s="33"/>
      <c r="I415" s="46"/>
      <c r="J415" s="35"/>
      <c r="K415" s="35"/>
      <c r="L415" s="36">
        <f t="shared" si="78"/>
        <v>0</v>
      </c>
      <c r="M415" s="33"/>
      <c r="AN415" s="47">
        <v>405</v>
      </c>
      <c r="AO415" s="42">
        <f t="shared" si="79"/>
        <v>0</v>
      </c>
      <c r="AP415" s="43">
        <f t="shared" si="80"/>
        <v>0</v>
      </c>
      <c r="AQ415" s="42">
        <f t="shared" si="81"/>
        <v>0</v>
      </c>
      <c r="AR415" s="44">
        <f t="shared" si="82"/>
        <v>0</v>
      </c>
      <c r="AT415" s="39">
        <f t="shared" si="83"/>
        <v>0</v>
      </c>
      <c r="AU415" s="39">
        <f t="shared" si="84"/>
        <v>0</v>
      </c>
      <c r="AW415" s="45">
        <f t="shared" si="85"/>
        <v>0</v>
      </c>
      <c r="AX415" s="45">
        <f t="shared" si="86"/>
        <v>0</v>
      </c>
    </row>
    <row r="416" spans="1:50" x14ac:dyDescent="0.3">
      <c r="A416" s="32">
        <v>406</v>
      </c>
      <c r="B416" s="33"/>
      <c r="C416" s="33"/>
      <c r="D416" s="33"/>
      <c r="E416" s="33" t="s">
        <v>24</v>
      </c>
      <c r="F416" s="71" t="str">
        <f t="shared" si="77"/>
        <v>-</v>
      </c>
      <c r="G416" s="33"/>
      <c r="H416" s="33"/>
      <c r="I416" s="46"/>
      <c r="J416" s="35"/>
      <c r="K416" s="35"/>
      <c r="L416" s="36">
        <f t="shared" si="78"/>
        <v>0</v>
      </c>
      <c r="M416" s="33"/>
      <c r="AN416" s="47">
        <v>406</v>
      </c>
      <c r="AO416" s="42">
        <f t="shared" si="79"/>
        <v>0</v>
      </c>
      <c r="AP416" s="43">
        <f t="shared" si="80"/>
        <v>0</v>
      </c>
      <c r="AQ416" s="42">
        <f t="shared" si="81"/>
        <v>0</v>
      </c>
      <c r="AR416" s="44">
        <f t="shared" si="82"/>
        <v>0</v>
      </c>
      <c r="AT416" s="39">
        <f t="shared" si="83"/>
        <v>0</v>
      </c>
      <c r="AU416" s="39">
        <f t="shared" si="84"/>
        <v>0</v>
      </c>
      <c r="AW416" s="45">
        <f t="shared" si="85"/>
        <v>0</v>
      </c>
      <c r="AX416" s="45">
        <f t="shared" si="86"/>
        <v>0</v>
      </c>
    </row>
    <row r="417" spans="1:50" x14ac:dyDescent="0.3">
      <c r="A417" s="32">
        <v>407</v>
      </c>
      <c r="B417" s="33"/>
      <c r="C417" s="33"/>
      <c r="D417" s="33"/>
      <c r="E417" s="33" t="s">
        <v>24</v>
      </c>
      <c r="F417" s="71" t="str">
        <f t="shared" si="77"/>
        <v>-</v>
      </c>
      <c r="G417" s="33"/>
      <c r="H417" s="33"/>
      <c r="I417" s="46"/>
      <c r="J417" s="35"/>
      <c r="K417" s="35"/>
      <c r="L417" s="36">
        <f t="shared" si="78"/>
        <v>0</v>
      </c>
      <c r="M417" s="33"/>
      <c r="AN417" s="47">
        <v>407</v>
      </c>
      <c r="AO417" s="42">
        <f t="shared" si="79"/>
        <v>0</v>
      </c>
      <c r="AP417" s="43">
        <f t="shared" si="80"/>
        <v>0</v>
      </c>
      <c r="AQ417" s="42">
        <f t="shared" si="81"/>
        <v>0</v>
      </c>
      <c r="AR417" s="44">
        <f t="shared" si="82"/>
        <v>0</v>
      </c>
      <c r="AT417" s="39">
        <f t="shared" si="83"/>
        <v>0</v>
      </c>
      <c r="AU417" s="39">
        <f t="shared" si="84"/>
        <v>0</v>
      </c>
      <c r="AW417" s="45">
        <f t="shared" si="85"/>
        <v>0</v>
      </c>
      <c r="AX417" s="45">
        <f t="shared" si="86"/>
        <v>0</v>
      </c>
    </row>
    <row r="418" spans="1:50" x14ac:dyDescent="0.3">
      <c r="A418" s="32">
        <v>408</v>
      </c>
      <c r="B418" s="33"/>
      <c r="C418" s="33"/>
      <c r="D418" s="33"/>
      <c r="E418" s="33" t="s">
        <v>24</v>
      </c>
      <c r="F418" s="71" t="str">
        <f t="shared" si="77"/>
        <v>-</v>
      </c>
      <c r="G418" s="33"/>
      <c r="H418" s="33"/>
      <c r="I418" s="46"/>
      <c r="J418" s="35"/>
      <c r="K418" s="35"/>
      <c r="L418" s="36">
        <f t="shared" si="78"/>
        <v>0</v>
      </c>
      <c r="M418" s="33"/>
      <c r="AN418" s="47">
        <v>408</v>
      </c>
      <c r="AO418" s="42">
        <f t="shared" si="79"/>
        <v>0</v>
      </c>
      <c r="AP418" s="43">
        <f t="shared" si="80"/>
        <v>0</v>
      </c>
      <c r="AQ418" s="42">
        <f t="shared" si="81"/>
        <v>0</v>
      </c>
      <c r="AR418" s="44">
        <f t="shared" si="82"/>
        <v>0</v>
      </c>
      <c r="AT418" s="39">
        <f t="shared" si="83"/>
        <v>0</v>
      </c>
      <c r="AU418" s="39">
        <f t="shared" si="84"/>
        <v>0</v>
      </c>
      <c r="AW418" s="45">
        <f t="shared" si="85"/>
        <v>0</v>
      </c>
      <c r="AX418" s="45">
        <f t="shared" si="86"/>
        <v>0</v>
      </c>
    </row>
    <row r="419" spans="1:50" x14ac:dyDescent="0.3">
      <c r="A419" s="32">
        <v>409</v>
      </c>
      <c r="B419" s="33"/>
      <c r="C419" s="33"/>
      <c r="D419" s="33"/>
      <c r="E419" s="33" t="s">
        <v>24</v>
      </c>
      <c r="F419" s="71" t="str">
        <f t="shared" si="77"/>
        <v>-</v>
      </c>
      <c r="G419" s="33"/>
      <c r="H419" s="33"/>
      <c r="I419" s="46"/>
      <c r="J419" s="35"/>
      <c r="K419" s="35"/>
      <c r="L419" s="36">
        <f t="shared" si="78"/>
        <v>0</v>
      </c>
      <c r="M419" s="33"/>
      <c r="AN419" s="47">
        <v>409</v>
      </c>
      <c r="AO419" s="42">
        <f t="shared" si="79"/>
        <v>0</v>
      </c>
      <c r="AP419" s="43">
        <f t="shared" si="80"/>
        <v>0</v>
      </c>
      <c r="AQ419" s="42">
        <f t="shared" si="81"/>
        <v>0</v>
      </c>
      <c r="AR419" s="44">
        <f t="shared" si="82"/>
        <v>0</v>
      </c>
      <c r="AT419" s="39">
        <f t="shared" si="83"/>
        <v>0</v>
      </c>
      <c r="AU419" s="39">
        <f t="shared" si="84"/>
        <v>0</v>
      </c>
      <c r="AW419" s="45">
        <f t="shared" si="85"/>
        <v>0</v>
      </c>
      <c r="AX419" s="45">
        <f t="shared" si="86"/>
        <v>0</v>
      </c>
    </row>
    <row r="420" spans="1:50" x14ac:dyDescent="0.3">
      <c r="A420" s="32">
        <v>410</v>
      </c>
      <c r="B420" s="33"/>
      <c r="C420" s="33"/>
      <c r="D420" s="33"/>
      <c r="E420" s="33" t="s">
        <v>24</v>
      </c>
      <c r="F420" s="71" t="str">
        <f t="shared" si="77"/>
        <v>-</v>
      </c>
      <c r="G420" s="33"/>
      <c r="H420" s="33"/>
      <c r="I420" s="46"/>
      <c r="J420" s="35"/>
      <c r="K420" s="35"/>
      <c r="L420" s="36">
        <f t="shared" si="78"/>
        <v>0</v>
      </c>
      <c r="M420" s="33"/>
      <c r="AN420" s="47">
        <v>410</v>
      </c>
      <c r="AO420" s="42">
        <f t="shared" si="79"/>
        <v>0</v>
      </c>
      <c r="AP420" s="43">
        <f t="shared" si="80"/>
        <v>0</v>
      </c>
      <c r="AQ420" s="42">
        <f t="shared" si="81"/>
        <v>0</v>
      </c>
      <c r="AR420" s="44">
        <f t="shared" si="82"/>
        <v>0</v>
      </c>
      <c r="AT420" s="39">
        <f t="shared" si="83"/>
        <v>0</v>
      </c>
      <c r="AU420" s="39">
        <f t="shared" si="84"/>
        <v>0</v>
      </c>
      <c r="AW420" s="45">
        <f t="shared" si="85"/>
        <v>0</v>
      </c>
      <c r="AX420" s="45">
        <f t="shared" si="86"/>
        <v>0</v>
      </c>
    </row>
    <row r="421" spans="1:50" x14ac:dyDescent="0.3">
      <c r="A421" s="32">
        <v>411</v>
      </c>
      <c r="B421" s="33"/>
      <c r="C421" s="33"/>
      <c r="D421" s="33"/>
      <c r="E421" s="33" t="s">
        <v>24</v>
      </c>
      <c r="F421" s="71" t="str">
        <f t="shared" si="77"/>
        <v>-</v>
      </c>
      <c r="G421" s="33"/>
      <c r="H421" s="33"/>
      <c r="I421" s="46"/>
      <c r="J421" s="35"/>
      <c r="K421" s="35"/>
      <c r="L421" s="36">
        <f t="shared" si="78"/>
        <v>0</v>
      </c>
      <c r="M421" s="33"/>
      <c r="AN421" s="47">
        <v>411</v>
      </c>
      <c r="AO421" s="42">
        <f t="shared" si="79"/>
        <v>0</v>
      </c>
      <c r="AP421" s="43">
        <f t="shared" si="80"/>
        <v>0</v>
      </c>
      <c r="AQ421" s="42">
        <f t="shared" si="81"/>
        <v>0</v>
      </c>
      <c r="AR421" s="44">
        <f t="shared" si="82"/>
        <v>0</v>
      </c>
      <c r="AT421" s="39">
        <f t="shared" si="83"/>
        <v>0</v>
      </c>
      <c r="AU421" s="39">
        <f t="shared" si="84"/>
        <v>0</v>
      </c>
      <c r="AW421" s="45">
        <f t="shared" si="85"/>
        <v>0</v>
      </c>
      <c r="AX421" s="45">
        <f t="shared" si="86"/>
        <v>0</v>
      </c>
    </row>
    <row r="422" spans="1:50" x14ac:dyDescent="0.3">
      <c r="A422" s="32">
        <v>412</v>
      </c>
      <c r="B422" s="33"/>
      <c r="C422" s="33"/>
      <c r="D422" s="33"/>
      <c r="E422" s="33" t="s">
        <v>24</v>
      </c>
      <c r="F422" s="71" t="str">
        <f t="shared" si="77"/>
        <v>-</v>
      </c>
      <c r="G422" s="33"/>
      <c r="H422" s="33"/>
      <c r="I422" s="46"/>
      <c r="J422" s="35"/>
      <c r="K422" s="35"/>
      <c r="L422" s="36">
        <f t="shared" si="78"/>
        <v>0</v>
      </c>
      <c r="M422" s="33"/>
      <c r="AN422" s="47">
        <v>412</v>
      </c>
      <c r="AO422" s="42">
        <f t="shared" si="79"/>
        <v>0</v>
      </c>
      <c r="AP422" s="43">
        <f t="shared" si="80"/>
        <v>0</v>
      </c>
      <c r="AQ422" s="42">
        <f t="shared" si="81"/>
        <v>0</v>
      </c>
      <c r="AR422" s="44">
        <f t="shared" si="82"/>
        <v>0</v>
      </c>
      <c r="AT422" s="39">
        <f t="shared" si="83"/>
        <v>0</v>
      </c>
      <c r="AU422" s="39">
        <f t="shared" si="84"/>
        <v>0</v>
      </c>
      <c r="AW422" s="45">
        <f t="shared" si="85"/>
        <v>0</v>
      </c>
      <c r="AX422" s="45">
        <f t="shared" si="86"/>
        <v>0</v>
      </c>
    </row>
    <row r="423" spans="1:50" x14ac:dyDescent="0.3">
      <c r="A423" s="32">
        <v>413</v>
      </c>
      <c r="B423" s="33"/>
      <c r="C423" s="33"/>
      <c r="D423" s="33"/>
      <c r="E423" s="33" t="s">
        <v>24</v>
      </c>
      <c r="F423" s="71" t="str">
        <f t="shared" si="77"/>
        <v>-</v>
      </c>
      <c r="G423" s="33"/>
      <c r="H423" s="33"/>
      <c r="I423" s="46"/>
      <c r="J423" s="35"/>
      <c r="K423" s="35"/>
      <c r="L423" s="36">
        <f t="shared" si="78"/>
        <v>0</v>
      </c>
      <c r="M423" s="33"/>
      <c r="AN423" s="47">
        <v>413</v>
      </c>
      <c r="AO423" s="42">
        <f t="shared" si="79"/>
        <v>0</v>
      </c>
      <c r="AP423" s="43">
        <f t="shared" si="80"/>
        <v>0</v>
      </c>
      <c r="AQ423" s="42">
        <f t="shared" si="81"/>
        <v>0</v>
      </c>
      <c r="AR423" s="44">
        <f t="shared" si="82"/>
        <v>0</v>
      </c>
      <c r="AT423" s="39">
        <f t="shared" si="83"/>
        <v>0</v>
      </c>
      <c r="AU423" s="39">
        <f t="shared" si="84"/>
        <v>0</v>
      </c>
      <c r="AW423" s="45">
        <f t="shared" si="85"/>
        <v>0</v>
      </c>
      <c r="AX423" s="45">
        <f t="shared" si="86"/>
        <v>0</v>
      </c>
    </row>
    <row r="424" spans="1:50" x14ac:dyDescent="0.3">
      <c r="A424" s="32">
        <v>414</v>
      </c>
      <c r="B424" s="33"/>
      <c r="C424" s="33"/>
      <c r="D424" s="33"/>
      <c r="E424" s="33" t="s">
        <v>24</v>
      </c>
      <c r="F424" s="71" t="str">
        <f t="shared" si="77"/>
        <v>-</v>
      </c>
      <c r="G424" s="33"/>
      <c r="H424" s="33"/>
      <c r="I424" s="46"/>
      <c r="J424" s="35"/>
      <c r="K424" s="35"/>
      <c r="L424" s="36">
        <f t="shared" si="78"/>
        <v>0</v>
      </c>
      <c r="M424" s="33"/>
      <c r="AN424" s="47">
        <v>414</v>
      </c>
      <c r="AO424" s="42">
        <f t="shared" si="79"/>
        <v>0</v>
      </c>
      <c r="AP424" s="43">
        <f t="shared" si="80"/>
        <v>0</v>
      </c>
      <c r="AQ424" s="42">
        <f t="shared" si="81"/>
        <v>0</v>
      </c>
      <c r="AR424" s="44">
        <f t="shared" si="82"/>
        <v>0</v>
      </c>
      <c r="AT424" s="39">
        <f t="shared" si="83"/>
        <v>0</v>
      </c>
      <c r="AU424" s="39">
        <f t="shared" si="84"/>
        <v>0</v>
      </c>
      <c r="AW424" s="45">
        <f t="shared" si="85"/>
        <v>0</v>
      </c>
      <c r="AX424" s="45">
        <f t="shared" si="86"/>
        <v>0</v>
      </c>
    </row>
    <row r="425" spans="1:50" x14ac:dyDescent="0.3">
      <c r="A425" s="32">
        <v>415</v>
      </c>
      <c r="B425" s="33"/>
      <c r="C425" s="33"/>
      <c r="D425" s="33"/>
      <c r="E425" s="33" t="s">
        <v>24</v>
      </c>
      <c r="F425" s="71" t="str">
        <f t="shared" si="77"/>
        <v>-</v>
      </c>
      <c r="G425" s="33"/>
      <c r="H425" s="33"/>
      <c r="I425" s="46"/>
      <c r="J425" s="35"/>
      <c r="K425" s="35"/>
      <c r="L425" s="36">
        <f t="shared" si="78"/>
        <v>0</v>
      </c>
      <c r="M425" s="33"/>
      <c r="AN425" s="47">
        <v>415</v>
      </c>
      <c r="AO425" s="42">
        <f t="shared" si="79"/>
        <v>0</v>
      </c>
      <c r="AP425" s="43">
        <f t="shared" si="80"/>
        <v>0</v>
      </c>
      <c r="AQ425" s="42">
        <f t="shared" si="81"/>
        <v>0</v>
      </c>
      <c r="AR425" s="44">
        <f t="shared" si="82"/>
        <v>0</v>
      </c>
      <c r="AT425" s="39">
        <f t="shared" si="83"/>
        <v>0</v>
      </c>
      <c r="AU425" s="39">
        <f t="shared" si="84"/>
        <v>0</v>
      </c>
      <c r="AW425" s="45">
        <f t="shared" si="85"/>
        <v>0</v>
      </c>
      <c r="AX425" s="45">
        <f t="shared" si="86"/>
        <v>0</v>
      </c>
    </row>
    <row r="426" spans="1:50" x14ac:dyDescent="0.3">
      <c r="A426" s="32">
        <v>416</v>
      </c>
      <c r="B426" s="33"/>
      <c r="C426" s="33"/>
      <c r="D426" s="33"/>
      <c r="E426" s="33" t="s">
        <v>24</v>
      </c>
      <c r="F426" s="71" t="str">
        <f t="shared" si="77"/>
        <v>-</v>
      </c>
      <c r="G426" s="33"/>
      <c r="H426" s="33"/>
      <c r="I426" s="46"/>
      <c r="J426" s="35"/>
      <c r="K426" s="35"/>
      <c r="L426" s="36">
        <f t="shared" si="78"/>
        <v>0</v>
      </c>
      <c r="M426" s="33"/>
      <c r="AN426" s="47">
        <v>416</v>
      </c>
      <c r="AO426" s="42">
        <f t="shared" si="79"/>
        <v>0</v>
      </c>
      <c r="AP426" s="43">
        <f t="shared" si="80"/>
        <v>0</v>
      </c>
      <c r="AQ426" s="42">
        <f t="shared" si="81"/>
        <v>0</v>
      </c>
      <c r="AR426" s="44">
        <f t="shared" si="82"/>
        <v>0</v>
      </c>
      <c r="AT426" s="39">
        <f t="shared" si="83"/>
        <v>0</v>
      </c>
      <c r="AU426" s="39">
        <f t="shared" si="84"/>
        <v>0</v>
      </c>
      <c r="AW426" s="45">
        <f t="shared" si="85"/>
        <v>0</v>
      </c>
      <c r="AX426" s="45">
        <f t="shared" si="86"/>
        <v>0</v>
      </c>
    </row>
    <row r="427" spans="1:50" x14ac:dyDescent="0.3">
      <c r="A427" s="32">
        <v>417</v>
      </c>
      <c r="B427" s="33"/>
      <c r="C427" s="33"/>
      <c r="D427" s="33"/>
      <c r="E427" s="33" t="s">
        <v>24</v>
      </c>
      <c r="F427" s="71" t="str">
        <f t="shared" ref="F427:F490" si="87">IFERROR((VLOOKUP(E427,$AE$11:$AG$14,3,0)),"-")</f>
        <v>-</v>
      </c>
      <c r="G427" s="33"/>
      <c r="H427" s="33"/>
      <c r="I427" s="46"/>
      <c r="J427" s="35"/>
      <c r="K427" s="35"/>
      <c r="L427" s="36">
        <f t="shared" si="78"/>
        <v>0</v>
      </c>
      <c r="M427" s="33"/>
      <c r="AN427" s="47">
        <v>417</v>
      </c>
      <c r="AO427" s="42">
        <f t="shared" si="79"/>
        <v>0</v>
      </c>
      <c r="AP427" s="43">
        <f t="shared" si="80"/>
        <v>0</v>
      </c>
      <c r="AQ427" s="42">
        <f t="shared" si="81"/>
        <v>0</v>
      </c>
      <c r="AR427" s="44">
        <f t="shared" si="82"/>
        <v>0</v>
      </c>
      <c r="AT427" s="39">
        <f t="shared" si="83"/>
        <v>0</v>
      </c>
      <c r="AU427" s="39">
        <f t="shared" si="84"/>
        <v>0</v>
      </c>
      <c r="AW427" s="45">
        <f t="shared" si="85"/>
        <v>0</v>
      </c>
      <c r="AX427" s="45">
        <f t="shared" si="86"/>
        <v>0</v>
      </c>
    </row>
    <row r="428" spans="1:50" x14ac:dyDescent="0.3">
      <c r="A428" s="32">
        <v>418</v>
      </c>
      <c r="B428" s="33"/>
      <c r="C428" s="33"/>
      <c r="D428" s="33"/>
      <c r="E428" s="33" t="s">
        <v>24</v>
      </c>
      <c r="F428" s="71" t="str">
        <f t="shared" si="87"/>
        <v>-</v>
      </c>
      <c r="G428" s="33"/>
      <c r="H428" s="33"/>
      <c r="I428" s="46"/>
      <c r="J428" s="35"/>
      <c r="K428" s="35"/>
      <c r="L428" s="36">
        <f t="shared" si="78"/>
        <v>0</v>
      </c>
      <c r="M428" s="33"/>
      <c r="AN428" s="47">
        <v>418</v>
      </c>
      <c r="AO428" s="42">
        <f t="shared" si="79"/>
        <v>0</v>
      </c>
      <c r="AP428" s="43">
        <f t="shared" si="80"/>
        <v>0</v>
      </c>
      <c r="AQ428" s="42">
        <f t="shared" si="81"/>
        <v>0</v>
      </c>
      <c r="AR428" s="44">
        <f t="shared" si="82"/>
        <v>0</v>
      </c>
      <c r="AT428" s="39">
        <f t="shared" si="83"/>
        <v>0</v>
      </c>
      <c r="AU428" s="39">
        <f t="shared" si="84"/>
        <v>0</v>
      </c>
      <c r="AW428" s="45">
        <f t="shared" si="85"/>
        <v>0</v>
      </c>
      <c r="AX428" s="45">
        <f t="shared" si="86"/>
        <v>0</v>
      </c>
    </row>
    <row r="429" spans="1:50" x14ac:dyDescent="0.3">
      <c r="A429" s="32">
        <v>419</v>
      </c>
      <c r="B429" s="33"/>
      <c r="C429" s="33"/>
      <c r="D429" s="33"/>
      <c r="E429" s="33" t="s">
        <v>24</v>
      </c>
      <c r="F429" s="71" t="str">
        <f t="shared" si="87"/>
        <v>-</v>
      </c>
      <c r="G429" s="33"/>
      <c r="H429" s="33"/>
      <c r="I429" s="46"/>
      <c r="J429" s="35"/>
      <c r="K429" s="35"/>
      <c r="L429" s="36">
        <f t="shared" si="78"/>
        <v>0</v>
      </c>
      <c r="M429" s="33"/>
      <c r="AN429" s="47">
        <v>419</v>
      </c>
      <c r="AO429" s="42">
        <f t="shared" si="79"/>
        <v>0</v>
      </c>
      <c r="AP429" s="43">
        <f t="shared" si="80"/>
        <v>0</v>
      </c>
      <c r="AQ429" s="42">
        <f t="shared" si="81"/>
        <v>0</v>
      </c>
      <c r="AR429" s="44">
        <f t="shared" si="82"/>
        <v>0</v>
      </c>
      <c r="AT429" s="39">
        <f t="shared" si="83"/>
        <v>0</v>
      </c>
      <c r="AU429" s="39">
        <f t="shared" si="84"/>
        <v>0</v>
      </c>
      <c r="AW429" s="45">
        <f t="shared" si="85"/>
        <v>0</v>
      </c>
      <c r="AX429" s="45">
        <f t="shared" si="86"/>
        <v>0</v>
      </c>
    </row>
    <row r="430" spans="1:50" x14ac:dyDescent="0.3">
      <c r="A430" s="32">
        <v>420</v>
      </c>
      <c r="B430" s="33"/>
      <c r="C430" s="33"/>
      <c r="D430" s="33"/>
      <c r="E430" s="33" t="s">
        <v>24</v>
      </c>
      <c r="F430" s="71" t="str">
        <f t="shared" si="87"/>
        <v>-</v>
      </c>
      <c r="G430" s="33"/>
      <c r="H430" s="33"/>
      <c r="I430" s="46"/>
      <c r="J430" s="35"/>
      <c r="K430" s="35"/>
      <c r="L430" s="36">
        <f t="shared" si="78"/>
        <v>0</v>
      </c>
      <c r="M430" s="33"/>
      <c r="AN430" s="47">
        <v>420</v>
      </c>
      <c r="AO430" s="42">
        <f t="shared" si="79"/>
        <v>0</v>
      </c>
      <c r="AP430" s="43">
        <f t="shared" si="80"/>
        <v>0</v>
      </c>
      <c r="AQ430" s="42">
        <f t="shared" si="81"/>
        <v>0</v>
      </c>
      <c r="AR430" s="44">
        <f t="shared" si="82"/>
        <v>0</v>
      </c>
      <c r="AT430" s="39">
        <f t="shared" si="83"/>
        <v>0</v>
      </c>
      <c r="AU430" s="39">
        <f t="shared" si="84"/>
        <v>0</v>
      </c>
      <c r="AW430" s="45">
        <f t="shared" si="85"/>
        <v>0</v>
      </c>
      <c r="AX430" s="45">
        <f t="shared" si="86"/>
        <v>0</v>
      </c>
    </row>
    <row r="431" spans="1:50" x14ac:dyDescent="0.3">
      <c r="A431" s="32">
        <v>421</v>
      </c>
      <c r="B431" s="33"/>
      <c r="C431" s="33"/>
      <c r="D431" s="33"/>
      <c r="E431" s="33" t="s">
        <v>24</v>
      </c>
      <c r="F431" s="71" t="str">
        <f t="shared" si="87"/>
        <v>-</v>
      </c>
      <c r="G431" s="33"/>
      <c r="H431" s="33"/>
      <c r="I431" s="46"/>
      <c r="J431" s="35"/>
      <c r="K431" s="35"/>
      <c r="L431" s="36">
        <f t="shared" ref="L431:L494" si="88">IF($H$4="-",0,IF($H$4="VAREJO",AW431,IF($H$4="ATACADO",AX431,0)))</f>
        <v>0</v>
      </c>
      <c r="M431" s="33"/>
      <c r="AN431" s="47">
        <v>421</v>
      </c>
      <c r="AO431" s="42">
        <f t="shared" si="79"/>
        <v>0</v>
      </c>
      <c r="AP431" s="43">
        <f t="shared" si="80"/>
        <v>0</v>
      </c>
      <c r="AQ431" s="42">
        <f t="shared" si="81"/>
        <v>0</v>
      </c>
      <c r="AR431" s="44">
        <f t="shared" si="82"/>
        <v>0</v>
      </c>
      <c r="AT431" s="39">
        <f t="shared" si="83"/>
        <v>0</v>
      </c>
      <c r="AU431" s="39">
        <f t="shared" si="84"/>
        <v>0</v>
      </c>
      <c r="AW431" s="45">
        <f t="shared" si="85"/>
        <v>0</v>
      </c>
      <c r="AX431" s="45">
        <f t="shared" si="86"/>
        <v>0</v>
      </c>
    </row>
    <row r="432" spans="1:50" x14ac:dyDescent="0.3">
      <c r="A432" s="32">
        <v>422</v>
      </c>
      <c r="B432" s="33"/>
      <c r="C432" s="33"/>
      <c r="D432" s="33"/>
      <c r="E432" s="33" t="s">
        <v>24</v>
      </c>
      <c r="F432" s="71" t="str">
        <f t="shared" si="87"/>
        <v>-</v>
      </c>
      <c r="G432" s="33"/>
      <c r="H432" s="33"/>
      <c r="I432" s="46"/>
      <c r="J432" s="35"/>
      <c r="K432" s="35"/>
      <c r="L432" s="36">
        <f t="shared" si="88"/>
        <v>0</v>
      </c>
      <c r="M432" s="33"/>
      <c r="AN432" s="47">
        <v>422</v>
      </c>
      <c r="AO432" s="42">
        <f t="shared" si="79"/>
        <v>0</v>
      </c>
      <c r="AP432" s="43">
        <f t="shared" si="80"/>
        <v>0</v>
      </c>
      <c r="AQ432" s="42">
        <f t="shared" si="81"/>
        <v>0</v>
      </c>
      <c r="AR432" s="44">
        <f t="shared" si="82"/>
        <v>0</v>
      </c>
      <c r="AT432" s="39">
        <f t="shared" si="83"/>
        <v>0</v>
      </c>
      <c r="AU432" s="39">
        <f t="shared" si="84"/>
        <v>0</v>
      </c>
      <c r="AW432" s="45">
        <f t="shared" si="85"/>
        <v>0</v>
      </c>
      <c r="AX432" s="45">
        <f t="shared" si="86"/>
        <v>0</v>
      </c>
    </row>
    <row r="433" spans="1:50" x14ac:dyDescent="0.3">
      <c r="A433" s="32">
        <v>423</v>
      </c>
      <c r="B433" s="33"/>
      <c r="C433" s="33"/>
      <c r="D433" s="33"/>
      <c r="E433" s="33" t="s">
        <v>24</v>
      </c>
      <c r="F433" s="71" t="str">
        <f t="shared" si="87"/>
        <v>-</v>
      </c>
      <c r="G433" s="33"/>
      <c r="H433" s="33"/>
      <c r="I433" s="46"/>
      <c r="J433" s="35"/>
      <c r="K433" s="35"/>
      <c r="L433" s="36">
        <f t="shared" si="88"/>
        <v>0</v>
      </c>
      <c r="M433" s="33"/>
      <c r="AN433" s="47">
        <v>423</v>
      </c>
      <c r="AO433" s="42">
        <f t="shared" si="79"/>
        <v>0</v>
      </c>
      <c r="AP433" s="43">
        <f t="shared" si="80"/>
        <v>0</v>
      </c>
      <c r="AQ433" s="42">
        <f t="shared" si="81"/>
        <v>0</v>
      </c>
      <c r="AR433" s="44">
        <f t="shared" si="82"/>
        <v>0</v>
      </c>
      <c r="AT433" s="39">
        <f t="shared" si="83"/>
        <v>0</v>
      </c>
      <c r="AU433" s="39">
        <f t="shared" si="84"/>
        <v>0</v>
      </c>
      <c r="AW433" s="45">
        <f t="shared" si="85"/>
        <v>0</v>
      </c>
      <c r="AX433" s="45">
        <f t="shared" si="86"/>
        <v>0</v>
      </c>
    </row>
    <row r="434" spans="1:50" x14ac:dyDescent="0.3">
      <c r="A434" s="32">
        <v>424</v>
      </c>
      <c r="B434" s="33"/>
      <c r="C434" s="33"/>
      <c r="D434" s="33"/>
      <c r="E434" s="33" t="s">
        <v>24</v>
      </c>
      <c r="F434" s="71" t="str">
        <f t="shared" si="87"/>
        <v>-</v>
      </c>
      <c r="G434" s="33"/>
      <c r="H434" s="33"/>
      <c r="I434" s="46"/>
      <c r="J434" s="35"/>
      <c r="K434" s="35"/>
      <c r="L434" s="36">
        <f t="shared" si="88"/>
        <v>0</v>
      </c>
      <c r="M434" s="33"/>
      <c r="AN434" s="47">
        <v>424</v>
      </c>
      <c r="AO434" s="42">
        <f t="shared" si="79"/>
        <v>0</v>
      </c>
      <c r="AP434" s="43">
        <f t="shared" si="80"/>
        <v>0</v>
      </c>
      <c r="AQ434" s="42">
        <f t="shared" si="81"/>
        <v>0</v>
      </c>
      <c r="AR434" s="44">
        <f t="shared" si="82"/>
        <v>0</v>
      </c>
      <c r="AT434" s="39">
        <f t="shared" si="83"/>
        <v>0</v>
      </c>
      <c r="AU434" s="39">
        <f t="shared" si="84"/>
        <v>0</v>
      </c>
      <c r="AW434" s="45">
        <f t="shared" si="85"/>
        <v>0</v>
      </c>
      <c r="AX434" s="45">
        <f t="shared" si="86"/>
        <v>0</v>
      </c>
    </row>
    <row r="435" spans="1:50" x14ac:dyDescent="0.3">
      <c r="A435" s="32">
        <v>425</v>
      </c>
      <c r="B435" s="33"/>
      <c r="C435" s="33"/>
      <c r="D435" s="33"/>
      <c r="E435" s="33" t="s">
        <v>24</v>
      </c>
      <c r="F435" s="71" t="str">
        <f t="shared" si="87"/>
        <v>-</v>
      </c>
      <c r="G435" s="33"/>
      <c r="H435" s="33"/>
      <c r="I435" s="46"/>
      <c r="J435" s="35"/>
      <c r="K435" s="35"/>
      <c r="L435" s="36">
        <f t="shared" si="88"/>
        <v>0</v>
      </c>
      <c r="M435" s="33"/>
      <c r="AN435" s="47">
        <v>425</v>
      </c>
      <c r="AO435" s="42">
        <f t="shared" si="79"/>
        <v>0</v>
      </c>
      <c r="AP435" s="43">
        <f t="shared" si="80"/>
        <v>0</v>
      </c>
      <c r="AQ435" s="42">
        <f t="shared" si="81"/>
        <v>0</v>
      </c>
      <c r="AR435" s="44">
        <f t="shared" si="82"/>
        <v>0</v>
      </c>
      <c r="AT435" s="39">
        <f t="shared" si="83"/>
        <v>0</v>
      </c>
      <c r="AU435" s="39">
        <f t="shared" si="84"/>
        <v>0</v>
      </c>
      <c r="AW435" s="45">
        <f t="shared" si="85"/>
        <v>0</v>
      </c>
      <c r="AX435" s="45">
        <f t="shared" si="86"/>
        <v>0</v>
      </c>
    </row>
    <row r="436" spans="1:50" x14ac:dyDescent="0.3">
      <c r="A436" s="32">
        <v>426</v>
      </c>
      <c r="B436" s="33"/>
      <c r="C436" s="33"/>
      <c r="D436" s="33"/>
      <c r="E436" s="33" t="s">
        <v>24</v>
      </c>
      <c r="F436" s="71" t="str">
        <f t="shared" si="87"/>
        <v>-</v>
      </c>
      <c r="G436" s="33"/>
      <c r="H436" s="33"/>
      <c r="I436" s="46"/>
      <c r="J436" s="35"/>
      <c r="K436" s="35"/>
      <c r="L436" s="36">
        <f t="shared" si="88"/>
        <v>0</v>
      </c>
      <c r="M436" s="33"/>
      <c r="AN436" s="47">
        <v>426</v>
      </c>
      <c r="AO436" s="42">
        <f t="shared" si="79"/>
        <v>0</v>
      </c>
      <c r="AP436" s="43">
        <f t="shared" si="80"/>
        <v>0</v>
      </c>
      <c r="AQ436" s="42">
        <f t="shared" si="81"/>
        <v>0</v>
      </c>
      <c r="AR436" s="44">
        <f t="shared" si="82"/>
        <v>0</v>
      </c>
      <c r="AT436" s="39">
        <f t="shared" si="83"/>
        <v>0</v>
      </c>
      <c r="AU436" s="39">
        <f t="shared" si="84"/>
        <v>0</v>
      </c>
      <c r="AW436" s="45">
        <f t="shared" si="85"/>
        <v>0</v>
      </c>
      <c r="AX436" s="45">
        <f t="shared" si="86"/>
        <v>0</v>
      </c>
    </row>
    <row r="437" spans="1:50" x14ac:dyDescent="0.3">
      <c r="A437" s="32">
        <v>427</v>
      </c>
      <c r="B437" s="33"/>
      <c r="C437" s="33"/>
      <c r="D437" s="33"/>
      <c r="E437" s="33" t="s">
        <v>24</v>
      </c>
      <c r="F437" s="71" t="str">
        <f t="shared" si="87"/>
        <v>-</v>
      </c>
      <c r="G437" s="33"/>
      <c r="H437" s="33"/>
      <c r="I437" s="46"/>
      <c r="J437" s="35"/>
      <c r="K437" s="35"/>
      <c r="L437" s="36">
        <f t="shared" si="88"/>
        <v>0</v>
      </c>
      <c r="M437" s="33"/>
      <c r="AN437" s="47">
        <v>427</v>
      </c>
      <c r="AO437" s="42">
        <f t="shared" si="79"/>
        <v>0</v>
      </c>
      <c r="AP437" s="43">
        <f t="shared" si="80"/>
        <v>0</v>
      </c>
      <c r="AQ437" s="42">
        <f t="shared" si="81"/>
        <v>0</v>
      </c>
      <c r="AR437" s="44">
        <f t="shared" si="82"/>
        <v>0</v>
      </c>
      <c r="AT437" s="39">
        <f t="shared" si="83"/>
        <v>0</v>
      </c>
      <c r="AU437" s="39">
        <f t="shared" si="84"/>
        <v>0</v>
      </c>
      <c r="AW437" s="45">
        <f t="shared" si="85"/>
        <v>0</v>
      </c>
      <c r="AX437" s="45">
        <f t="shared" si="86"/>
        <v>0</v>
      </c>
    </row>
    <row r="438" spans="1:50" x14ac:dyDescent="0.3">
      <c r="A438" s="32">
        <v>428</v>
      </c>
      <c r="B438" s="33"/>
      <c r="C438" s="33"/>
      <c r="D438" s="33"/>
      <c r="E438" s="33" t="s">
        <v>24</v>
      </c>
      <c r="F438" s="71" t="str">
        <f t="shared" si="87"/>
        <v>-</v>
      </c>
      <c r="G438" s="33"/>
      <c r="H438" s="33"/>
      <c r="I438" s="46"/>
      <c r="J438" s="35"/>
      <c r="K438" s="35"/>
      <c r="L438" s="36">
        <f t="shared" si="88"/>
        <v>0</v>
      </c>
      <c r="M438" s="33"/>
      <c r="AN438" s="47">
        <v>428</v>
      </c>
      <c r="AO438" s="42">
        <f t="shared" si="79"/>
        <v>0</v>
      </c>
      <c r="AP438" s="43">
        <f t="shared" si="80"/>
        <v>0</v>
      </c>
      <c r="AQ438" s="42">
        <f t="shared" si="81"/>
        <v>0</v>
      </c>
      <c r="AR438" s="44">
        <f t="shared" si="82"/>
        <v>0</v>
      </c>
      <c r="AT438" s="39">
        <f t="shared" si="83"/>
        <v>0</v>
      </c>
      <c r="AU438" s="39">
        <f t="shared" si="84"/>
        <v>0</v>
      </c>
      <c r="AW438" s="45">
        <f t="shared" si="85"/>
        <v>0</v>
      </c>
      <c r="AX438" s="45">
        <f t="shared" si="86"/>
        <v>0</v>
      </c>
    </row>
    <row r="439" spans="1:50" x14ac:dyDescent="0.3">
      <c r="A439" s="32">
        <v>429</v>
      </c>
      <c r="B439" s="33"/>
      <c r="C439" s="33"/>
      <c r="D439" s="33"/>
      <c r="E439" s="33" t="s">
        <v>24</v>
      </c>
      <c r="F439" s="71" t="str">
        <f t="shared" si="87"/>
        <v>-</v>
      </c>
      <c r="G439" s="33"/>
      <c r="H439" s="33"/>
      <c r="I439" s="46"/>
      <c r="J439" s="35"/>
      <c r="K439" s="35"/>
      <c r="L439" s="36">
        <f t="shared" si="88"/>
        <v>0</v>
      </c>
      <c r="M439" s="33"/>
      <c r="AN439" s="47">
        <v>429</v>
      </c>
      <c r="AO439" s="42">
        <f t="shared" si="79"/>
        <v>0</v>
      </c>
      <c r="AP439" s="43">
        <f t="shared" si="80"/>
        <v>0</v>
      </c>
      <c r="AQ439" s="42">
        <f t="shared" si="81"/>
        <v>0</v>
      </c>
      <c r="AR439" s="44">
        <f t="shared" si="82"/>
        <v>0</v>
      </c>
      <c r="AT439" s="39">
        <f t="shared" si="83"/>
        <v>0</v>
      </c>
      <c r="AU439" s="39">
        <f t="shared" si="84"/>
        <v>0</v>
      </c>
      <c r="AW439" s="45">
        <f t="shared" si="85"/>
        <v>0</v>
      </c>
      <c r="AX439" s="45">
        <f t="shared" si="86"/>
        <v>0</v>
      </c>
    </row>
    <row r="440" spans="1:50" x14ac:dyDescent="0.3">
      <c r="A440" s="32">
        <v>430</v>
      </c>
      <c r="B440" s="33"/>
      <c r="C440" s="33"/>
      <c r="D440" s="33"/>
      <c r="E440" s="33" t="s">
        <v>24</v>
      </c>
      <c r="F440" s="71" t="str">
        <f t="shared" si="87"/>
        <v>-</v>
      </c>
      <c r="G440" s="33"/>
      <c r="H440" s="33"/>
      <c r="I440" s="46"/>
      <c r="J440" s="35"/>
      <c r="K440" s="35"/>
      <c r="L440" s="36">
        <f t="shared" si="88"/>
        <v>0</v>
      </c>
      <c r="M440" s="33"/>
      <c r="AN440" s="47">
        <v>430</v>
      </c>
      <c r="AO440" s="42">
        <f t="shared" si="79"/>
        <v>0</v>
      </c>
      <c r="AP440" s="43">
        <f t="shared" si="80"/>
        <v>0</v>
      </c>
      <c r="AQ440" s="42">
        <f t="shared" si="81"/>
        <v>0</v>
      </c>
      <c r="AR440" s="44">
        <f t="shared" si="82"/>
        <v>0</v>
      </c>
      <c r="AT440" s="39">
        <f t="shared" si="83"/>
        <v>0</v>
      </c>
      <c r="AU440" s="39">
        <f t="shared" si="84"/>
        <v>0</v>
      </c>
      <c r="AW440" s="45">
        <f t="shared" si="85"/>
        <v>0</v>
      </c>
      <c r="AX440" s="45">
        <f t="shared" si="86"/>
        <v>0</v>
      </c>
    </row>
    <row r="441" spans="1:50" x14ac:dyDescent="0.3">
      <c r="A441" s="32">
        <v>431</v>
      </c>
      <c r="B441" s="33"/>
      <c r="C441" s="33"/>
      <c r="D441" s="33"/>
      <c r="E441" s="33" t="s">
        <v>24</v>
      </c>
      <c r="F441" s="71" t="str">
        <f t="shared" si="87"/>
        <v>-</v>
      </c>
      <c r="G441" s="33"/>
      <c r="H441" s="33"/>
      <c r="I441" s="46"/>
      <c r="J441" s="35"/>
      <c r="K441" s="35"/>
      <c r="L441" s="36">
        <f t="shared" si="88"/>
        <v>0</v>
      </c>
      <c r="M441" s="33"/>
      <c r="AN441" s="47">
        <v>431</v>
      </c>
      <c r="AO441" s="42">
        <f t="shared" si="79"/>
        <v>0</v>
      </c>
      <c r="AP441" s="43">
        <f t="shared" si="80"/>
        <v>0</v>
      </c>
      <c r="AQ441" s="42">
        <f t="shared" si="81"/>
        <v>0</v>
      </c>
      <c r="AR441" s="44">
        <f t="shared" si="82"/>
        <v>0</v>
      </c>
      <c r="AT441" s="39">
        <f t="shared" si="83"/>
        <v>0</v>
      </c>
      <c r="AU441" s="39">
        <f t="shared" si="84"/>
        <v>0</v>
      </c>
      <c r="AW441" s="45">
        <f t="shared" si="85"/>
        <v>0</v>
      </c>
      <c r="AX441" s="45">
        <f t="shared" si="86"/>
        <v>0</v>
      </c>
    </row>
    <row r="442" spans="1:50" x14ac:dyDescent="0.3">
      <c r="A442" s="32">
        <v>432</v>
      </c>
      <c r="B442" s="33"/>
      <c r="C442" s="33"/>
      <c r="D442" s="33"/>
      <c r="E442" s="33" t="s">
        <v>24</v>
      </c>
      <c r="F442" s="71" t="str">
        <f t="shared" si="87"/>
        <v>-</v>
      </c>
      <c r="G442" s="33"/>
      <c r="H442" s="33"/>
      <c r="I442" s="46"/>
      <c r="J442" s="35"/>
      <c r="K442" s="35"/>
      <c r="L442" s="36">
        <f t="shared" si="88"/>
        <v>0</v>
      </c>
      <c r="M442" s="33"/>
      <c r="AN442" s="47">
        <v>432</v>
      </c>
      <c r="AO442" s="42">
        <f t="shared" si="79"/>
        <v>0</v>
      </c>
      <c r="AP442" s="43">
        <f t="shared" si="80"/>
        <v>0</v>
      </c>
      <c r="AQ442" s="42">
        <f t="shared" si="81"/>
        <v>0</v>
      </c>
      <c r="AR442" s="44">
        <f t="shared" si="82"/>
        <v>0</v>
      </c>
      <c r="AT442" s="39">
        <f t="shared" si="83"/>
        <v>0</v>
      </c>
      <c r="AU442" s="39">
        <f t="shared" si="84"/>
        <v>0</v>
      </c>
      <c r="AW442" s="45">
        <f t="shared" si="85"/>
        <v>0</v>
      </c>
      <c r="AX442" s="45">
        <f t="shared" si="86"/>
        <v>0</v>
      </c>
    </row>
    <row r="443" spans="1:50" x14ac:dyDescent="0.3">
      <c r="A443" s="32">
        <v>433</v>
      </c>
      <c r="B443" s="33"/>
      <c r="C443" s="33"/>
      <c r="D443" s="33"/>
      <c r="E443" s="33" t="s">
        <v>24</v>
      </c>
      <c r="F443" s="71" t="str">
        <f t="shared" si="87"/>
        <v>-</v>
      </c>
      <c r="G443" s="33"/>
      <c r="H443" s="33"/>
      <c r="I443" s="46"/>
      <c r="J443" s="35"/>
      <c r="K443" s="35"/>
      <c r="L443" s="36">
        <f t="shared" si="88"/>
        <v>0</v>
      </c>
      <c r="M443" s="33"/>
      <c r="AN443" s="47">
        <v>433</v>
      </c>
      <c r="AO443" s="42">
        <f t="shared" si="79"/>
        <v>0</v>
      </c>
      <c r="AP443" s="43">
        <f t="shared" si="80"/>
        <v>0</v>
      </c>
      <c r="AQ443" s="42">
        <f t="shared" si="81"/>
        <v>0</v>
      </c>
      <c r="AR443" s="44">
        <f t="shared" si="82"/>
        <v>0</v>
      </c>
      <c r="AT443" s="39">
        <f t="shared" si="83"/>
        <v>0</v>
      </c>
      <c r="AU443" s="39">
        <f t="shared" si="84"/>
        <v>0</v>
      </c>
      <c r="AW443" s="45">
        <f t="shared" si="85"/>
        <v>0</v>
      </c>
      <c r="AX443" s="45">
        <f t="shared" si="86"/>
        <v>0</v>
      </c>
    </row>
    <row r="444" spans="1:50" x14ac:dyDescent="0.3">
      <c r="A444" s="32">
        <v>434</v>
      </c>
      <c r="B444" s="33"/>
      <c r="C444" s="33"/>
      <c r="D444" s="33"/>
      <c r="E444" s="33" t="s">
        <v>24</v>
      </c>
      <c r="F444" s="71" t="str">
        <f t="shared" si="87"/>
        <v>-</v>
      </c>
      <c r="G444" s="33"/>
      <c r="H444" s="33"/>
      <c r="I444" s="46"/>
      <c r="J444" s="35"/>
      <c r="K444" s="35"/>
      <c r="L444" s="36">
        <f t="shared" si="88"/>
        <v>0</v>
      </c>
      <c r="M444" s="33"/>
      <c r="AN444" s="47">
        <v>434</v>
      </c>
      <c r="AO444" s="42">
        <f t="shared" si="79"/>
        <v>0</v>
      </c>
      <c r="AP444" s="43">
        <f t="shared" si="80"/>
        <v>0</v>
      </c>
      <c r="AQ444" s="42">
        <f t="shared" si="81"/>
        <v>0</v>
      </c>
      <c r="AR444" s="44">
        <f t="shared" si="82"/>
        <v>0</v>
      </c>
      <c r="AT444" s="39">
        <f t="shared" si="83"/>
        <v>0</v>
      </c>
      <c r="AU444" s="39">
        <f t="shared" si="84"/>
        <v>0</v>
      </c>
      <c r="AW444" s="45">
        <f t="shared" si="85"/>
        <v>0</v>
      </c>
      <c r="AX444" s="45">
        <f t="shared" si="86"/>
        <v>0</v>
      </c>
    </row>
    <row r="445" spans="1:50" x14ac:dyDescent="0.3">
      <c r="A445" s="32">
        <v>435</v>
      </c>
      <c r="B445" s="33"/>
      <c r="C445" s="33"/>
      <c r="D445" s="33"/>
      <c r="E445" s="33" t="s">
        <v>24</v>
      </c>
      <c r="F445" s="71" t="str">
        <f t="shared" si="87"/>
        <v>-</v>
      </c>
      <c r="G445" s="33"/>
      <c r="H445" s="33"/>
      <c r="I445" s="46"/>
      <c r="J445" s="35"/>
      <c r="K445" s="35"/>
      <c r="L445" s="36">
        <f t="shared" si="88"/>
        <v>0</v>
      </c>
      <c r="M445" s="33"/>
      <c r="AN445" s="47">
        <v>435</v>
      </c>
      <c r="AO445" s="42">
        <f t="shared" si="79"/>
        <v>0</v>
      </c>
      <c r="AP445" s="43">
        <f t="shared" si="80"/>
        <v>0</v>
      </c>
      <c r="AQ445" s="42">
        <f t="shared" si="81"/>
        <v>0</v>
      </c>
      <c r="AR445" s="44">
        <f t="shared" si="82"/>
        <v>0</v>
      </c>
      <c r="AT445" s="39">
        <f t="shared" si="83"/>
        <v>0</v>
      </c>
      <c r="AU445" s="39">
        <f t="shared" si="84"/>
        <v>0</v>
      </c>
      <c r="AW445" s="45">
        <f t="shared" si="85"/>
        <v>0</v>
      </c>
      <c r="AX445" s="45">
        <f t="shared" si="86"/>
        <v>0</v>
      </c>
    </row>
    <row r="446" spans="1:50" x14ac:dyDescent="0.3">
      <c r="A446" s="32">
        <v>436</v>
      </c>
      <c r="B446" s="33"/>
      <c r="C446" s="33"/>
      <c r="D446" s="33"/>
      <c r="E446" s="33" t="s">
        <v>24</v>
      </c>
      <c r="F446" s="71" t="str">
        <f t="shared" si="87"/>
        <v>-</v>
      </c>
      <c r="G446" s="33"/>
      <c r="H446" s="33"/>
      <c r="I446" s="46"/>
      <c r="J446" s="35"/>
      <c r="K446" s="35"/>
      <c r="L446" s="36">
        <f t="shared" si="88"/>
        <v>0</v>
      </c>
      <c r="M446" s="33"/>
      <c r="AN446" s="47">
        <v>436</v>
      </c>
      <c r="AO446" s="42">
        <f t="shared" si="79"/>
        <v>0</v>
      </c>
      <c r="AP446" s="43">
        <f t="shared" si="80"/>
        <v>0</v>
      </c>
      <c r="AQ446" s="42">
        <f t="shared" si="81"/>
        <v>0</v>
      </c>
      <c r="AR446" s="44">
        <f t="shared" si="82"/>
        <v>0</v>
      </c>
      <c r="AT446" s="39">
        <f t="shared" si="83"/>
        <v>0</v>
      </c>
      <c r="AU446" s="39">
        <f t="shared" si="84"/>
        <v>0</v>
      </c>
      <c r="AW446" s="45">
        <f t="shared" si="85"/>
        <v>0</v>
      </c>
      <c r="AX446" s="45">
        <f t="shared" si="86"/>
        <v>0</v>
      </c>
    </row>
    <row r="447" spans="1:50" x14ac:dyDescent="0.3">
      <c r="A447" s="32">
        <v>437</v>
      </c>
      <c r="B447" s="33"/>
      <c r="C447" s="33"/>
      <c r="D447" s="33"/>
      <c r="E447" s="33" t="s">
        <v>24</v>
      </c>
      <c r="F447" s="71" t="str">
        <f t="shared" si="87"/>
        <v>-</v>
      </c>
      <c r="G447" s="33"/>
      <c r="H447" s="33"/>
      <c r="I447" s="46"/>
      <c r="J447" s="35"/>
      <c r="K447" s="35"/>
      <c r="L447" s="36">
        <f t="shared" si="88"/>
        <v>0</v>
      </c>
      <c r="M447" s="33"/>
      <c r="AN447" s="47">
        <v>437</v>
      </c>
      <c r="AO447" s="42">
        <f t="shared" si="79"/>
        <v>0</v>
      </c>
      <c r="AP447" s="43">
        <f t="shared" si="80"/>
        <v>0</v>
      </c>
      <c r="AQ447" s="42">
        <f t="shared" si="81"/>
        <v>0</v>
      </c>
      <c r="AR447" s="44">
        <f t="shared" si="82"/>
        <v>0</v>
      </c>
      <c r="AT447" s="39">
        <f t="shared" si="83"/>
        <v>0</v>
      </c>
      <c r="AU447" s="39">
        <f t="shared" si="84"/>
        <v>0</v>
      </c>
      <c r="AW447" s="45">
        <f t="shared" si="85"/>
        <v>0</v>
      </c>
      <c r="AX447" s="45">
        <f t="shared" si="86"/>
        <v>0</v>
      </c>
    </row>
    <row r="448" spans="1:50" x14ac:dyDescent="0.3">
      <c r="A448" s="32">
        <v>438</v>
      </c>
      <c r="B448" s="33"/>
      <c r="C448" s="33"/>
      <c r="D448" s="33"/>
      <c r="E448" s="33" t="s">
        <v>24</v>
      </c>
      <c r="F448" s="71" t="str">
        <f t="shared" si="87"/>
        <v>-</v>
      </c>
      <c r="G448" s="33"/>
      <c r="H448" s="33"/>
      <c r="I448" s="46"/>
      <c r="J448" s="35"/>
      <c r="K448" s="35"/>
      <c r="L448" s="36">
        <f t="shared" si="88"/>
        <v>0</v>
      </c>
      <c r="M448" s="33"/>
      <c r="AN448" s="47">
        <v>438</v>
      </c>
      <c r="AO448" s="42">
        <f t="shared" si="79"/>
        <v>0</v>
      </c>
      <c r="AP448" s="43">
        <f t="shared" si="80"/>
        <v>0</v>
      </c>
      <c r="AQ448" s="42">
        <f t="shared" si="81"/>
        <v>0</v>
      </c>
      <c r="AR448" s="44">
        <f t="shared" si="82"/>
        <v>0</v>
      </c>
      <c r="AT448" s="39">
        <f t="shared" si="83"/>
        <v>0</v>
      </c>
      <c r="AU448" s="39">
        <f t="shared" si="84"/>
        <v>0</v>
      </c>
      <c r="AW448" s="45">
        <f t="shared" si="85"/>
        <v>0</v>
      </c>
      <c r="AX448" s="45">
        <f t="shared" si="86"/>
        <v>0</v>
      </c>
    </row>
    <row r="449" spans="1:50" x14ac:dyDescent="0.3">
      <c r="A449" s="32">
        <v>439</v>
      </c>
      <c r="B449" s="33"/>
      <c r="C449" s="33"/>
      <c r="D449" s="33"/>
      <c r="E449" s="33" t="s">
        <v>24</v>
      </c>
      <c r="F449" s="71" t="str">
        <f t="shared" si="87"/>
        <v>-</v>
      </c>
      <c r="G449" s="33"/>
      <c r="H449" s="33"/>
      <c r="I449" s="46"/>
      <c r="J449" s="35"/>
      <c r="K449" s="35"/>
      <c r="L449" s="36">
        <f t="shared" si="88"/>
        <v>0</v>
      </c>
      <c r="M449" s="33"/>
      <c r="AN449" s="47">
        <v>439</v>
      </c>
      <c r="AO449" s="42">
        <f t="shared" si="79"/>
        <v>0</v>
      </c>
      <c r="AP449" s="43">
        <f t="shared" si="80"/>
        <v>0</v>
      </c>
      <c r="AQ449" s="42">
        <f t="shared" si="81"/>
        <v>0</v>
      </c>
      <c r="AR449" s="44">
        <f t="shared" si="82"/>
        <v>0</v>
      </c>
      <c r="AT449" s="39">
        <f t="shared" si="83"/>
        <v>0</v>
      </c>
      <c r="AU449" s="39">
        <f t="shared" si="84"/>
        <v>0</v>
      </c>
      <c r="AW449" s="45">
        <f t="shared" si="85"/>
        <v>0</v>
      </c>
      <c r="AX449" s="45">
        <f t="shared" si="86"/>
        <v>0</v>
      </c>
    </row>
    <row r="450" spans="1:50" x14ac:dyDescent="0.3">
      <c r="A450" s="32">
        <v>440</v>
      </c>
      <c r="B450" s="33"/>
      <c r="C450" s="33"/>
      <c r="D450" s="33"/>
      <c r="E450" s="33" t="s">
        <v>24</v>
      </c>
      <c r="F450" s="71" t="str">
        <f t="shared" si="87"/>
        <v>-</v>
      </c>
      <c r="G450" s="33"/>
      <c r="H450" s="33"/>
      <c r="I450" s="46"/>
      <c r="J450" s="35"/>
      <c r="K450" s="35"/>
      <c r="L450" s="36">
        <f t="shared" si="88"/>
        <v>0</v>
      </c>
      <c r="M450" s="33"/>
      <c r="AN450" s="47">
        <v>440</v>
      </c>
      <c r="AO450" s="42">
        <f t="shared" si="79"/>
        <v>0</v>
      </c>
      <c r="AP450" s="43">
        <f t="shared" si="80"/>
        <v>0</v>
      </c>
      <c r="AQ450" s="42">
        <f t="shared" si="81"/>
        <v>0</v>
      </c>
      <c r="AR450" s="44">
        <f t="shared" si="82"/>
        <v>0</v>
      </c>
      <c r="AT450" s="39">
        <f t="shared" si="83"/>
        <v>0</v>
      </c>
      <c r="AU450" s="39">
        <f t="shared" si="84"/>
        <v>0</v>
      </c>
      <c r="AW450" s="45">
        <f t="shared" si="85"/>
        <v>0</v>
      </c>
      <c r="AX450" s="45">
        <f t="shared" si="86"/>
        <v>0</v>
      </c>
    </row>
    <row r="451" spans="1:50" x14ac:dyDescent="0.3">
      <c r="A451" s="32">
        <v>441</v>
      </c>
      <c r="B451" s="33"/>
      <c r="C451" s="33"/>
      <c r="D451" s="33"/>
      <c r="E451" s="33" t="s">
        <v>24</v>
      </c>
      <c r="F451" s="71" t="str">
        <f t="shared" si="87"/>
        <v>-</v>
      </c>
      <c r="G451" s="33"/>
      <c r="H451" s="33"/>
      <c r="I451" s="46"/>
      <c r="J451" s="35"/>
      <c r="K451" s="35"/>
      <c r="L451" s="36">
        <f t="shared" si="88"/>
        <v>0</v>
      </c>
      <c r="M451" s="33"/>
      <c r="AN451" s="47">
        <v>441</v>
      </c>
      <c r="AO451" s="42">
        <f t="shared" si="79"/>
        <v>0</v>
      </c>
      <c r="AP451" s="43">
        <f t="shared" si="80"/>
        <v>0</v>
      </c>
      <c r="AQ451" s="42">
        <f t="shared" si="81"/>
        <v>0</v>
      </c>
      <c r="AR451" s="44">
        <f t="shared" si="82"/>
        <v>0</v>
      </c>
      <c r="AT451" s="39">
        <f t="shared" si="83"/>
        <v>0</v>
      </c>
      <c r="AU451" s="39">
        <f t="shared" si="84"/>
        <v>0</v>
      </c>
      <c r="AW451" s="45">
        <f t="shared" si="85"/>
        <v>0</v>
      </c>
      <c r="AX451" s="45">
        <f t="shared" si="86"/>
        <v>0</v>
      </c>
    </row>
    <row r="452" spans="1:50" x14ac:dyDescent="0.3">
      <c r="A452" s="32">
        <v>442</v>
      </c>
      <c r="B452" s="33"/>
      <c r="C452" s="33"/>
      <c r="D452" s="33"/>
      <c r="E452" s="33" t="s">
        <v>24</v>
      </c>
      <c r="F452" s="71" t="str">
        <f t="shared" si="87"/>
        <v>-</v>
      </c>
      <c r="G452" s="33"/>
      <c r="H452" s="33"/>
      <c r="I452" s="46"/>
      <c r="J452" s="35"/>
      <c r="K452" s="35"/>
      <c r="L452" s="36">
        <f t="shared" si="88"/>
        <v>0</v>
      </c>
      <c r="M452" s="33"/>
      <c r="AN452" s="47">
        <v>442</v>
      </c>
      <c r="AO452" s="42">
        <f t="shared" si="79"/>
        <v>0</v>
      </c>
      <c r="AP452" s="43">
        <f t="shared" si="80"/>
        <v>0</v>
      </c>
      <c r="AQ452" s="42">
        <f t="shared" si="81"/>
        <v>0</v>
      </c>
      <c r="AR452" s="44">
        <f t="shared" si="82"/>
        <v>0</v>
      </c>
      <c r="AT452" s="39">
        <f t="shared" si="83"/>
        <v>0</v>
      </c>
      <c r="AU452" s="39">
        <f t="shared" si="84"/>
        <v>0</v>
      </c>
      <c r="AW452" s="45">
        <f t="shared" si="85"/>
        <v>0</v>
      </c>
      <c r="AX452" s="45">
        <f t="shared" si="86"/>
        <v>0</v>
      </c>
    </row>
    <row r="453" spans="1:50" x14ac:dyDescent="0.3">
      <c r="A453" s="32">
        <v>443</v>
      </c>
      <c r="B453" s="33"/>
      <c r="C453" s="33"/>
      <c r="D453" s="33"/>
      <c r="E453" s="33" t="s">
        <v>24</v>
      </c>
      <c r="F453" s="71" t="str">
        <f t="shared" si="87"/>
        <v>-</v>
      </c>
      <c r="G453" s="33"/>
      <c r="H453" s="33"/>
      <c r="I453" s="46"/>
      <c r="J453" s="35"/>
      <c r="K453" s="35"/>
      <c r="L453" s="36">
        <f t="shared" si="88"/>
        <v>0</v>
      </c>
      <c r="M453" s="33"/>
      <c r="AN453" s="47">
        <v>443</v>
      </c>
      <c r="AO453" s="42">
        <f t="shared" si="79"/>
        <v>0</v>
      </c>
      <c r="AP453" s="43">
        <f t="shared" si="80"/>
        <v>0</v>
      </c>
      <c r="AQ453" s="42">
        <f t="shared" si="81"/>
        <v>0</v>
      </c>
      <c r="AR453" s="44">
        <f t="shared" si="82"/>
        <v>0</v>
      </c>
      <c r="AT453" s="39">
        <f t="shared" si="83"/>
        <v>0</v>
      </c>
      <c r="AU453" s="39">
        <f t="shared" si="84"/>
        <v>0</v>
      </c>
      <c r="AW453" s="45">
        <f t="shared" si="85"/>
        <v>0</v>
      </c>
      <c r="AX453" s="45">
        <f t="shared" si="86"/>
        <v>0</v>
      </c>
    </row>
    <row r="454" spans="1:50" x14ac:dyDescent="0.3">
      <c r="A454" s="32">
        <v>444</v>
      </c>
      <c r="B454" s="33"/>
      <c r="C454" s="33"/>
      <c r="D454" s="33"/>
      <c r="E454" s="33" t="s">
        <v>24</v>
      </c>
      <c r="F454" s="71" t="str">
        <f t="shared" si="87"/>
        <v>-</v>
      </c>
      <c r="G454" s="33"/>
      <c r="H454" s="33"/>
      <c r="I454" s="46"/>
      <c r="J454" s="35"/>
      <c r="K454" s="35"/>
      <c r="L454" s="36">
        <f t="shared" si="88"/>
        <v>0</v>
      </c>
      <c r="M454" s="33"/>
      <c r="AN454" s="47">
        <v>444</v>
      </c>
      <c r="AO454" s="42">
        <f t="shared" si="79"/>
        <v>0</v>
      </c>
      <c r="AP454" s="43">
        <f t="shared" si="80"/>
        <v>0</v>
      </c>
      <c r="AQ454" s="42">
        <f t="shared" si="81"/>
        <v>0</v>
      </c>
      <c r="AR454" s="44">
        <f t="shared" si="82"/>
        <v>0</v>
      </c>
      <c r="AT454" s="39">
        <f t="shared" si="83"/>
        <v>0</v>
      </c>
      <c r="AU454" s="39">
        <f t="shared" si="84"/>
        <v>0</v>
      </c>
      <c r="AW454" s="45">
        <f t="shared" si="85"/>
        <v>0</v>
      </c>
      <c r="AX454" s="45">
        <f t="shared" si="86"/>
        <v>0</v>
      </c>
    </row>
    <row r="455" spans="1:50" x14ac:dyDescent="0.3">
      <c r="A455" s="32">
        <v>445</v>
      </c>
      <c r="B455" s="33"/>
      <c r="C455" s="33"/>
      <c r="D455" s="33"/>
      <c r="E455" s="33" t="s">
        <v>24</v>
      </c>
      <c r="F455" s="71" t="str">
        <f t="shared" si="87"/>
        <v>-</v>
      </c>
      <c r="G455" s="33"/>
      <c r="H455" s="33"/>
      <c r="I455" s="46"/>
      <c r="J455" s="35"/>
      <c r="K455" s="35"/>
      <c r="L455" s="36">
        <f t="shared" si="88"/>
        <v>0</v>
      </c>
      <c r="M455" s="33"/>
      <c r="AN455" s="47">
        <v>445</v>
      </c>
      <c r="AO455" s="42">
        <f t="shared" si="79"/>
        <v>0</v>
      </c>
      <c r="AP455" s="43">
        <f t="shared" si="80"/>
        <v>0</v>
      </c>
      <c r="AQ455" s="42">
        <f t="shared" si="81"/>
        <v>0</v>
      </c>
      <c r="AR455" s="44">
        <f t="shared" si="82"/>
        <v>0</v>
      </c>
      <c r="AT455" s="39">
        <f t="shared" si="83"/>
        <v>0</v>
      </c>
      <c r="AU455" s="39">
        <f t="shared" si="84"/>
        <v>0</v>
      </c>
      <c r="AW455" s="45">
        <f t="shared" si="85"/>
        <v>0</v>
      </c>
      <c r="AX455" s="45">
        <f t="shared" si="86"/>
        <v>0</v>
      </c>
    </row>
    <row r="456" spans="1:50" x14ac:dyDescent="0.3">
      <c r="A456" s="32">
        <v>446</v>
      </c>
      <c r="B456" s="33"/>
      <c r="C456" s="33"/>
      <c r="D456" s="33"/>
      <c r="E456" s="33" t="s">
        <v>24</v>
      </c>
      <c r="F456" s="71" t="str">
        <f t="shared" si="87"/>
        <v>-</v>
      </c>
      <c r="G456" s="33"/>
      <c r="H456" s="33"/>
      <c r="I456" s="46"/>
      <c r="J456" s="35"/>
      <c r="K456" s="35"/>
      <c r="L456" s="36">
        <f t="shared" si="88"/>
        <v>0</v>
      </c>
      <c r="M456" s="33"/>
      <c r="AN456" s="47">
        <v>446</v>
      </c>
      <c r="AO456" s="42">
        <f t="shared" si="79"/>
        <v>0</v>
      </c>
      <c r="AP456" s="43">
        <f t="shared" si="80"/>
        <v>0</v>
      </c>
      <c r="AQ456" s="42">
        <f t="shared" si="81"/>
        <v>0</v>
      </c>
      <c r="AR456" s="44">
        <f t="shared" si="82"/>
        <v>0</v>
      </c>
      <c r="AT456" s="39">
        <f t="shared" si="83"/>
        <v>0</v>
      </c>
      <c r="AU456" s="39">
        <f t="shared" si="84"/>
        <v>0</v>
      </c>
      <c r="AW456" s="45">
        <f t="shared" si="85"/>
        <v>0</v>
      </c>
      <c r="AX456" s="45">
        <f t="shared" si="86"/>
        <v>0</v>
      </c>
    </row>
    <row r="457" spans="1:50" x14ac:dyDescent="0.3">
      <c r="A457" s="32">
        <v>447</v>
      </c>
      <c r="B457" s="33"/>
      <c r="C457" s="33"/>
      <c r="D457" s="33"/>
      <c r="E457" s="33" t="s">
        <v>24</v>
      </c>
      <c r="F457" s="71" t="str">
        <f t="shared" si="87"/>
        <v>-</v>
      </c>
      <c r="G457" s="33"/>
      <c r="H457" s="33"/>
      <c r="I457" s="46"/>
      <c r="J457" s="35"/>
      <c r="K457" s="35"/>
      <c r="L457" s="36">
        <f t="shared" si="88"/>
        <v>0</v>
      </c>
      <c r="M457" s="33"/>
      <c r="AN457" s="47">
        <v>447</v>
      </c>
      <c r="AO457" s="42">
        <f t="shared" si="79"/>
        <v>0</v>
      </c>
      <c r="AP457" s="43">
        <f t="shared" si="80"/>
        <v>0</v>
      </c>
      <c r="AQ457" s="42">
        <f t="shared" si="81"/>
        <v>0</v>
      </c>
      <c r="AR457" s="44">
        <f t="shared" si="82"/>
        <v>0</v>
      </c>
      <c r="AT457" s="39">
        <f t="shared" si="83"/>
        <v>0</v>
      </c>
      <c r="AU457" s="39">
        <f t="shared" si="84"/>
        <v>0</v>
      </c>
      <c r="AW457" s="45">
        <f t="shared" si="85"/>
        <v>0</v>
      </c>
      <c r="AX457" s="45">
        <f t="shared" si="86"/>
        <v>0</v>
      </c>
    </row>
    <row r="458" spans="1:50" x14ac:dyDescent="0.3">
      <c r="A458" s="32">
        <v>448</v>
      </c>
      <c r="B458" s="33"/>
      <c r="C458" s="33"/>
      <c r="D458" s="33"/>
      <c r="E458" s="33" t="s">
        <v>24</v>
      </c>
      <c r="F458" s="71" t="str">
        <f t="shared" si="87"/>
        <v>-</v>
      </c>
      <c r="G458" s="33"/>
      <c r="H458" s="33"/>
      <c r="I458" s="46"/>
      <c r="J458" s="35"/>
      <c r="K458" s="35"/>
      <c r="L458" s="36">
        <f t="shared" si="88"/>
        <v>0</v>
      </c>
      <c r="M458" s="33"/>
      <c r="AN458" s="47">
        <v>448</v>
      </c>
      <c r="AO458" s="42">
        <f t="shared" si="79"/>
        <v>0</v>
      </c>
      <c r="AP458" s="43">
        <f t="shared" si="80"/>
        <v>0</v>
      </c>
      <c r="AQ458" s="42">
        <f t="shared" si="81"/>
        <v>0</v>
      </c>
      <c r="AR458" s="44">
        <f t="shared" si="82"/>
        <v>0</v>
      </c>
      <c r="AT458" s="39">
        <f t="shared" si="83"/>
        <v>0</v>
      </c>
      <c r="AU458" s="39">
        <f t="shared" si="84"/>
        <v>0</v>
      </c>
      <c r="AW458" s="45">
        <f t="shared" si="85"/>
        <v>0</v>
      </c>
      <c r="AX458" s="45">
        <f t="shared" si="86"/>
        <v>0</v>
      </c>
    </row>
    <row r="459" spans="1:50" x14ac:dyDescent="0.3">
      <c r="A459" s="32">
        <v>449</v>
      </c>
      <c r="B459" s="33"/>
      <c r="C459" s="33"/>
      <c r="D459" s="33"/>
      <c r="E459" s="33" t="s">
        <v>24</v>
      </c>
      <c r="F459" s="71" t="str">
        <f t="shared" si="87"/>
        <v>-</v>
      </c>
      <c r="G459" s="33"/>
      <c r="H459" s="33"/>
      <c r="I459" s="46"/>
      <c r="J459" s="35"/>
      <c r="K459" s="35"/>
      <c r="L459" s="36">
        <f t="shared" si="88"/>
        <v>0</v>
      </c>
      <c r="M459" s="33"/>
      <c r="AN459" s="47">
        <v>449</v>
      </c>
      <c r="AO459" s="42">
        <f t="shared" si="79"/>
        <v>0</v>
      </c>
      <c r="AP459" s="43">
        <f t="shared" si="80"/>
        <v>0</v>
      </c>
      <c r="AQ459" s="42">
        <f t="shared" si="81"/>
        <v>0</v>
      </c>
      <c r="AR459" s="44">
        <f t="shared" si="82"/>
        <v>0</v>
      </c>
      <c r="AT459" s="39">
        <f t="shared" si="83"/>
        <v>0</v>
      </c>
      <c r="AU459" s="39">
        <f t="shared" si="84"/>
        <v>0</v>
      </c>
      <c r="AW459" s="45">
        <f t="shared" si="85"/>
        <v>0</v>
      </c>
      <c r="AX459" s="45">
        <f t="shared" si="86"/>
        <v>0</v>
      </c>
    </row>
    <row r="460" spans="1:50" x14ac:dyDescent="0.3">
      <c r="A460" s="32">
        <v>450</v>
      </c>
      <c r="B460" s="33"/>
      <c r="C460" s="33"/>
      <c r="D460" s="33"/>
      <c r="E460" s="33" t="s">
        <v>24</v>
      </c>
      <c r="F460" s="71" t="str">
        <f t="shared" si="87"/>
        <v>-</v>
      </c>
      <c r="G460" s="33"/>
      <c r="H460" s="33"/>
      <c r="I460" s="46"/>
      <c r="J460" s="35"/>
      <c r="K460" s="35"/>
      <c r="L460" s="36">
        <f t="shared" si="88"/>
        <v>0</v>
      </c>
      <c r="M460" s="33"/>
      <c r="AN460" s="47">
        <v>450</v>
      </c>
      <c r="AO460" s="42">
        <f t="shared" si="79"/>
        <v>0</v>
      </c>
      <c r="AP460" s="43">
        <f t="shared" si="80"/>
        <v>0</v>
      </c>
      <c r="AQ460" s="42">
        <f t="shared" si="81"/>
        <v>0</v>
      </c>
      <c r="AR460" s="44">
        <f t="shared" si="82"/>
        <v>0</v>
      </c>
      <c r="AT460" s="39">
        <f t="shared" si="83"/>
        <v>0</v>
      </c>
      <c r="AU460" s="39">
        <f t="shared" si="84"/>
        <v>0</v>
      </c>
      <c r="AW460" s="45">
        <f t="shared" si="85"/>
        <v>0</v>
      </c>
      <c r="AX460" s="45">
        <f t="shared" si="86"/>
        <v>0</v>
      </c>
    </row>
    <row r="461" spans="1:50" x14ac:dyDescent="0.3">
      <c r="A461" s="32">
        <v>451</v>
      </c>
      <c r="B461" s="33"/>
      <c r="C461" s="33"/>
      <c r="D461" s="33"/>
      <c r="E461" s="33" t="s">
        <v>24</v>
      </c>
      <c r="F461" s="71" t="str">
        <f t="shared" si="87"/>
        <v>-</v>
      </c>
      <c r="G461" s="33"/>
      <c r="H461" s="33"/>
      <c r="I461" s="46"/>
      <c r="J461" s="35"/>
      <c r="K461" s="35"/>
      <c r="L461" s="36">
        <f t="shared" si="88"/>
        <v>0</v>
      </c>
      <c r="M461" s="33"/>
      <c r="AN461" s="47">
        <v>451</v>
      </c>
      <c r="AO461" s="42">
        <f t="shared" si="79"/>
        <v>0</v>
      </c>
      <c r="AP461" s="43">
        <f t="shared" si="80"/>
        <v>0</v>
      </c>
      <c r="AQ461" s="42">
        <f t="shared" si="81"/>
        <v>0</v>
      </c>
      <c r="AR461" s="44">
        <f t="shared" si="82"/>
        <v>0</v>
      </c>
      <c r="AT461" s="39">
        <f t="shared" si="83"/>
        <v>0</v>
      </c>
      <c r="AU461" s="39">
        <f t="shared" si="84"/>
        <v>0</v>
      </c>
      <c r="AW461" s="45">
        <f t="shared" si="85"/>
        <v>0</v>
      </c>
      <c r="AX461" s="45">
        <f t="shared" si="86"/>
        <v>0</v>
      </c>
    </row>
    <row r="462" spans="1:50" x14ac:dyDescent="0.3">
      <c r="A462" s="32">
        <v>452</v>
      </c>
      <c r="B462" s="33"/>
      <c r="C462" s="33"/>
      <c r="D462" s="33"/>
      <c r="E462" s="33" t="s">
        <v>24</v>
      </c>
      <c r="F462" s="71" t="str">
        <f t="shared" si="87"/>
        <v>-</v>
      </c>
      <c r="G462" s="33"/>
      <c r="H462" s="33"/>
      <c r="I462" s="46"/>
      <c r="J462" s="35"/>
      <c r="K462" s="35"/>
      <c r="L462" s="36">
        <f t="shared" si="88"/>
        <v>0</v>
      </c>
      <c r="M462" s="33"/>
      <c r="AN462" s="47">
        <v>452</v>
      </c>
      <c r="AO462" s="42">
        <f t="shared" si="79"/>
        <v>0</v>
      </c>
      <c r="AP462" s="43">
        <f t="shared" si="80"/>
        <v>0</v>
      </c>
      <c r="AQ462" s="42">
        <f t="shared" si="81"/>
        <v>0</v>
      </c>
      <c r="AR462" s="44">
        <f t="shared" si="82"/>
        <v>0</v>
      </c>
      <c r="AT462" s="39">
        <f t="shared" si="83"/>
        <v>0</v>
      </c>
      <c r="AU462" s="39">
        <f t="shared" si="84"/>
        <v>0</v>
      </c>
      <c r="AW462" s="45">
        <f t="shared" si="85"/>
        <v>0</v>
      </c>
      <c r="AX462" s="45">
        <f t="shared" si="86"/>
        <v>0</v>
      </c>
    </row>
    <row r="463" spans="1:50" x14ac:dyDescent="0.3">
      <c r="A463" s="32">
        <v>453</v>
      </c>
      <c r="B463" s="33"/>
      <c r="C463" s="33"/>
      <c r="D463" s="33"/>
      <c r="E463" s="33" t="s">
        <v>24</v>
      </c>
      <c r="F463" s="71" t="str">
        <f t="shared" si="87"/>
        <v>-</v>
      </c>
      <c r="G463" s="33"/>
      <c r="H463" s="33"/>
      <c r="I463" s="46"/>
      <c r="J463" s="35"/>
      <c r="K463" s="35"/>
      <c r="L463" s="36">
        <f t="shared" si="88"/>
        <v>0</v>
      </c>
      <c r="M463" s="33"/>
      <c r="AN463" s="47">
        <v>453</v>
      </c>
      <c r="AO463" s="42">
        <f t="shared" ref="AO463:AO510" si="89">I463+(I463*J463)+(I463*K463)</f>
        <v>0</v>
      </c>
      <c r="AP463" s="43">
        <f t="shared" ref="AP463:AP510" si="90">IFERROR(VLOOKUP(E463,$AE$11:$AK$14,4,0),0)</f>
        <v>0</v>
      </c>
      <c r="AQ463" s="42">
        <f t="shared" ref="AQ463:AQ510" si="91">(I463+(I463*J463)+(I463*K463))*AP463</f>
        <v>0</v>
      </c>
      <c r="AR463" s="44">
        <f t="shared" ref="AR463:AR510" si="92">AO463+AQ463</f>
        <v>0</v>
      </c>
      <c r="AT463" s="39">
        <f t="shared" ref="AT463:AT510" si="93">IFERROR((VLOOKUP(E463,$AE$11:$AJ$14,5,0)),0)</f>
        <v>0</v>
      </c>
      <c r="AU463" s="39">
        <f t="shared" ref="AU463:AU510" si="94">IFERROR((VLOOKUP(E463,$AE$11:$AJ$14,6,0)),0)</f>
        <v>0</v>
      </c>
      <c r="AW463" s="45">
        <f t="shared" ref="AW463:AW510" si="95">AR463*AT463</f>
        <v>0</v>
      </c>
      <c r="AX463" s="45">
        <f t="shared" ref="AX463:AX510" si="96">AR463*AU463</f>
        <v>0</v>
      </c>
    </row>
    <row r="464" spans="1:50" x14ac:dyDescent="0.3">
      <c r="A464" s="32">
        <v>454</v>
      </c>
      <c r="B464" s="33"/>
      <c r="C464" s="33"/>
      <c r="D464" s="33"/>
      <c r="E464" s="33" t="s">
        <v>24</v>
      </c>
      <c r="F464" s="71" t="str">
        <f t="shared" si="87"/>
        <v>-</v>
      </c>
      <c r="G464" s="33"/>
      <c r="H464" s="33"/>
      <c r="I464" s="46"/>
      <c r="J464" s="35"/>
      <c r="K464" s="35"/>
      <c r="L464" s="36">
        <f t="shared" si="88"/>
        <v>0</v>
      </c>
      <c r="M464" s="33"/>
      <c r="AN464" s="47">
        <v>454</v>
      </c>
      <c r="AO464" s="42">
        <f t="shared" si="89"/>
        <v>0</v>
      </c>
      <c r="AP464" s="43">
        <f t="shared" si="90"/>
        <v>0</v>
      </c>
      <c r="AQ464" s="42">
        <f t="shared" si="91"/>
        <v>0</v>
      </c>
      <c r="AR464" s="44">
        <f t="shared" si="92"/>
        <v>0</v>
      </c>
      <c r="AT464" s="39">
        <f t="shared" si="93"/>
        <v>0</v>
      </c>
      <c r="AU464" s="39">
        <f t="shared" si="94"/>
        <v>0</v>
      </c>
      <c r="AW464" s="45">
        <f t="shared" si="95"/>
        <v>0</v>
      </c>
      <c r="AX464" s="45">
        <f t="shared" si="96"/>
        <v>0</v>
      </c>
    </row>
    <row r="465" spans="1:50" x14ac:dyDescent="0.3">
      <c r="A465" s="32">
        <v>455</v>
      </c>
      <c r="B465" s="33"/>
      <c r="C465" s="33"/>
      <c r="D465" s="33"/>
      <c r="E465" s="33" t="s">
        <v>24</v>
      </c>
      <c r="F465" s="71" t="str">
        <f t="shared" si="87"/>
        <v>-</v>
      </c>
      <c r="G465" s="33"/>
      <c r="H465" s="33"/>
      <c r="I465" s="46"/>
      <c r="J465" s="35"/>
      <c r="K465" s="35"/>
      <c r="L465" s="36">
        <f t="shared" si="88"/>
        <v>0</v>
      </c>
      <c r="M465" s="33"/>
      <c r="AN465" s="47">
        <v>455</v>
      </c>
      <c r="AO465" s="42">
        <f t="shared" si="89"/>
        <v>0</v>
      </c>
      <c r="AP465" s="43">
        <f t="shared" si="90"/>
        <v>0</v>
      </c>
      <c r="AQ465" s="42">
        <f t="shared" si="91"/>
        <v>0</v>
      </c>
      <c r="AR465" s="44">
        <f t="shared" si="92"/>
        <v>0</v>
      </c>
      <c r="AT465" s="39">
        <f t="shared" si="93"/>
        <v>0</v>
      </c>
      <c r="AU465" s="39">
        <f t="shared" si="94"/>
        <v>0</v>
      </c>
      <c r="AW465" s="45">
        <f t="shared" si="95"/>
        <v>0</v>
      </c>
      <c r="AX465" s="45">
        <f t="shared" si="96"/>
        <v>0</v>
      </c>
    </row>
    <row r="466" spans="1:50" x14ac:dyDescent="0.3">
      <c r="A466" s="32">
        <v>456</v>
      </c>
      <c r="B466" s="33"/>
      <c r="C466" s="33"/>
      <c r="D466" s="33"/>
      <c r="E466" s="33" t="s">
        <v>24</v>
      </c>
      <c r="F466" s="71" t="str">
        <f t="shared" si="87"/>
        <v>-</v>
      </c>
      <c r="G466" s="33"/>
      <c r="H466" s="33"/>
      <c r="I466" s="46"/>
      <c r="J466" s="35"/>
      <c r="K466" s="35"/>
      <c r="L466" s="36">
        <f t="shared" si="88"/>
        <v>0</v>
      </c>
      <c r="M466" s="33"/>
      <c r="AN466" s="47">
        <v>456</v>
      </c>
      <c r="AO466" s="42">
        <f t="shared" si="89"/>
        <v>0</v>
      </c>
      <c r="AP466" s="43">
        <f t="shared" si="90"/>
        <v>0</v>
      </c>
      <c r="AQ466" s="42">
        <f t="shared" si="91"/>
        <v>0</v>
      </c>
      <c r="AR466" s="44">
        <f t="shared" si="92"/>
        <v>0</v>
      </c>
      <c r="AT466" s="39">
        <f t="shared" si="93"/>
        <v>0</v>
      </c>
      <c r="AU466" s="39">
        <f t="shared" si="94"/>
        <v>0</v>
      </c>
      <c r="AW466" s="45">
        <f t="shared" si="95"/>
        <v>0</v>
      </c>
      <c r="AX466" s="45">
        <f t="shared" si="96"/>
        <v>0</v>
      </c>
    </row>
    <row r="467" spans="1:50" x14ac:dyDescent="0.3">
      <c r="A467" s="32">
        <v>457</v>
      </c>
      <c r="B467" s="33"/>
      <c r="C467" s="33"/>
      <c r="D467" s="33"/>
      <c r="E467" s="33" t="s">
        <v>24</v>
      </c>
      <c r="F467" s="71" t="str">
        <f t="shared" si="87"/>
        <v>-</v>
      </c>
      <c r="G467" s="33"/>
      <c r="H467" s="33"/>
      <c r="I467" s="46"/>
      <c r="J467" s="35"/>
      <c r="K467" s="35"/>
      <c r="L467" s="36">
        <f t="shared" si="88"/>
        <v>0</v>
      </c>
      <c r="M467" s="33"/>
      <c r="AN467" s="47">
        <v>457</v>
      </c>
      <c r="AO467" s="42">
        <f t="shared" si="89"/>
        <v>0</v>
      </c>
      <c r="AP467" s="43">
        <f t="shared" si="90"/>
        <v>0</v>
      </c>
      <c r="AQ467" s="42">
        <f t="shared" si="91"/>
        <v>0</v>
      </c>
      <c r="AR467" s="44">
        <f t="shared" si="92"/>
        <v>0</v>
      </c>
      <c r="AT467" s="39">
        <f t="shared" si="93"/>
        <v>0</v>
      </c>
      <c r="AU467" s="39">
        <f t="shared" si="94"/>
        <v>0</v>
      </c>
      <c r="AW467" s="45">
        <f t="shared" si="95"/>
        <v>0</v>
      </c>
      <c r="AX467" s="45">
        <f t="shared" si="96"/>
        <v>0</v>
      </c>
    </row>
    <row r="468" spans="1:50" x14ac:dyDescent="0.3">
      <c r="A468" s="32">
        <v>458</v>
      </c>
      <c r="B468" s="33"/>
      <c r="C468" s="33"/>
      <c r="D468" s="33"/>
      <c r="E468" s="33" t="s">
        <v>24</v>
      </c>
      <c r="F468" s="71" t="str">
        <f t="shared" si="87"/>
        <v>-</v>
      </c>
      <c r="G468" s="33"/>
      <c r="H468" s="33"/>
      <c r="I468" s="46"/>
      <c r="J468" s="35"/>
      <c r="K468" s="35"/>
      <c r="L468" s="36">
        <f t="shared" si="88"/>
        <v>0</v>
      </c>
      <c r="M468" s="33"/>
      <c r="AN468" s="47">
        <v>458</v>
      </c>
      <c r="AO468" s="42">
        <f t="shared" si="89"/>
        <v>0</v>
      </c>
      <c r="AP468" s="43">
        <f t="shared" si="90"/>
        <v>0</v>
      </c>
      <c r="AQ468" s="42">
        <f t="shared" si="91"/>
        <v>0</v>
      </c>
      <c r="AR468" s="44">
        <f t="shared" si="92"/>
        <v>0</v>
      </c>
      <c r="AT468" s="39">
        <f t="shared" si="93"/>
        <v>0</v>
      </c>
      <c r="AU468" s="39">
        <f t="shared" si="94"/>
        <v>0</v>
      </c>
      <c r="AW468" s="45">
        <f t="shared" si="95"/>
        <v>0</v>
      </c>
      <c r="AX468" s="45">
        <f t="shared" si="96"/>
        <v>0</v>
      </c>
    </row>
    <row r="469" spans="1:50" x14ac:dyDescent="0.3">
      <c r="A469" s="32">
        <v>459</v>
      </c>
      <c r="B469" s="33"/>
      <c r="C469" s="33"/>
      <c r="D469" s="33"/>
      <c r="E469" s="33" t="s">
        <v>24</v>
      </c>
      <c r="F469" s="71" t="str">
        <f t="shared" si="87"/>
        <v>-</v>
      </c>
      <c r="G469" s="33"/>
      <c r="H469" s="33"/>
      <c r="I469" s="46"/>
      <c r="J469" s="35"/>
      <c r="K469" s="35"/>
      <c r="L469" s="36">
        <f t="shared" si="88"/>
        <v>0</v>
      </c>
      <c r="M469" s="33"/>
      <c r="AN469" s="47">
        <v>459</v>
      </c>
      <c r="AO469" s="42">
        <f t="shared" si="89"/>
        <v>0</v>
      </c>
      <c r="AP469" s="43">
        <f t="shared" si="90"/>
        <v>0</v>
      </c>
      <c r="AQ469" s="42">
        <f t="shared" si="91"/>
        <v>0</v>
      </c>
      <c r="AR469" s="44">
        <f t="shared" si="92"/>
        <v>0</v>
      </c>
      <c r="AT469" s="39">
        <f t="shared" si="93"/>
        <v>0</v>
      </c>
      <c r="AU469" s="39">
        <f t="shared" si="94"/>
        <v>0</v>
      </c>
      <c r="AW469" s="45">
        <f t="shared" si="95"/>
        <v>0</v>
      </c>
      <c r="AX469" s="45">
        <f t="shared" si="96"/>
        <v>0</v>
      </c>
    </row>
    <row r="470" spans="1:50" x14ac:dyDescent="0.3">
      <c r="A470" s="32">
        <v>460</v>
      </c>
      <c r="B470" s="33"/>
      <c r="C470" s="33"/>
      <c r="D470" s="33"/>
      <c r="E470" s="33" t="s">
        <v>24</v>
      </c>
      <c r="F470" s="71" t="str">
        <f t="shared" si="87"/>
        <v>-</v>
      </c>
      <c r="G470" s="33"/>
      <c r="H470" s="33"/>
      <c r="I470" s="46"/>
      <c r="J470" s="35"/>
      <c r="K470" s="35"/>
      <c r="L470" s="36">
        <f t="shared" si="88"/>
        <v>0</v>
      </c>
      <c r="M470" s="33"/>
      <c r="AN470" s="47">
        <v>460</v>
      </c>
      <c r="AO470" s="42">
        <f t="shared" si="89"/>
        <v>0</v>
      </c>
      <c r="AP470" s="43">
        <f t="shared" si="90"/>
        <v>0</v>
      </c>
      <c r="AQ470" s="42">
        <f t="shared" si="91"/>
        <v>0</v>
      </c>
      <c r="AR470" s="44">
        <f t="shared" si="92"/>
        <v>0</v>
      </c>
      <c r="AT470" s="39">
        <f t="shared" si="93"/>
        <v>0</v>
      </c>
      <c r="AU470" s="39">
        <f t="shared" si="94"/>
        <v>0</v>
      </c>
      <c r="AW470" s="45">
        <f t="shared" si="95"/>
        <v>0</v>
      </c>
      <c r="AX470" s="45">
        <f t="shared" si="96"/>
        <v>0</v>
      </c>
    </row>
    <row r="471" spans="1:50" x14ac:dyDescent="0.3">
      <c r="A471" s="32">
        <v>461</v>
      </c>
      <c r="B471" s="33"/>
      <c r="C471" s="33"/>
      <c r="D471" s="33"/>
      <c r="E471" s="33" t="s">
        <v>24</v>
      </c>
      <c r="F471" s="71" t="str">
        <f t="shared" si="87"/>
        <v>-</v>
      </c>
      <c r="G471" s="33"/>
      <c r="H471" s="33"/>
      <c r="I471" s="46"/>
      <c r="J471" s="35"/>
      <c r="K471" s="35"/>
      <c r="L471" s="36">
        <f t="shared" si="88"/>
        <v>0</v>
      </c>
      <c r="M471" s="33"/>
      <c r="AN471" s="47">
        <v>461</v>
      </c>
      <c r="AO471" s="42">
        <f t="shared" si="89"/>
        <v>0</v>
      </c>
      <c r="AP471" s="43">
        <f t="shared" si="90"/>
        <v>0</v>
      </c>
      <c r="AQ471" s="42">
        <f t="shared" si="91"/>
        <v>0</v>
      </c>
      <c r="AR471" s="44">
        <f t="shared" si="92"/>
        <v>0</v>
      </c>
      <c r="AT471" s="39">
        <f t="shared" si="93"/>
        <v>0</v>
      </c>
      <c r="AU471" s="39">
        <f t="shared" si="94"/>
        <v>0</v>
      </c>
      <c r="AW471" s="45">
        <f t="shared" si="95"/>
        <v>0</v>
      </c>
      <c r="AX471" s="45">
        <f t="shared" si="96"/>
        <v>0</v>
      </c>
    </row>
    <row r="472" spans="1:50" x14ac:dyDescent="0.3">
      <c r="A472" s="32">
        <v>462</v>
      </c>
      <c r="B472" s="33"/>
      <c r="C472" s="33"/>
      <c r="D472" s="33"/>
      <c r="E472" s="33" t="s">
        <v>24</v>
      </c>
      <c r="F472" s="71" t="str">
        <f t="shared" si="87"/>
        <v>-</v>
      </c>
      <c r="G472" s="33"/>
      <c r="H472" s="33"/>
      <c r="I472" s="46"/>
      <c r="J472" s="35"/>
      <c r="K472" s="35"/>
      <c r="L472" s="36">
        <f t="shared" si="88"/>
        <v>0</v>
      </c>
      <c r="M472" s="33"/>
      <c r="AN472" s="47">
        <v>462</v>
      </c>
      <c r="AO472" s="42">
        <f t="shared" si="89"/>
        <v>0</v>
      </c>
      <c r="AP472" s="43">
        <f t="shared" si="90"/>
        <v>0</v>
      </c>
      <c r="AQ472" s="42">
        <f t="shared" si="91"/>
        <v>0</v>
      </c>
      <c r="AR472" s="44">
        <f t="shared" si="92"/>
        <v>0</v>
      </c>
      <c r="AT472" s="39">
        <f t="shared" si="93"/>
        <v>0</v>
      </c>
      <c r="AU472" s="39">
        <f t="shared" si="94"/>
        <v>0</v>
      </c>
      <c r="AW472" s="45">
        <f t="shared" si="95"/>
        <v>0</v>
      </c>
      <c r="AX472" s="45">
        <f t="shared" si="96"/>
        <v>0</v>
      </c>
    </row>
    <row r="473" spans="1:50" x14ac:dyDescent="0.3">
      <c r="A473" s="32">
        <v>463</v>
      </c>
      <c r="B473" s="33"/>
      <c r="C473" s="33"/>
      <c r="D473" s="33"/>
      <c r="E473" s="33" t="s">
        <v>24</v>
      </c>
      <c r="F473" s="71" t="str">
        <f t="shared" si="87"/>
        <v>-</v>
      </c>
      <c r="G473" s="33"/>
      <c r="H473" s="33"/>
      <c r="I473" s="46"/>
      <c r="J473" s="35"/>
      <c r="K473" s="35"/>
      <c r="L473" s="36">
        <f t="shared" si="88"/>
        <v>0</v>
      </c>
      <c r="M473" s="33"/>
      <c r="AN473" s="47">
        <v>463</v>
      </c>
      <c r="AO473" s="42">
        <f t="shared" si="89"/>
        <v>0</v>
      </c>
      <c r="AP473" s="43">
        <f t="shared" si="90"/>
        <v>0</v>
      </c>
      <c r="AQ473" s="42">
        <f t="shared" si="91"/>
        <v>0</v>
      </c>
      <c r="AR473" s="44">
        <f t="shared" si="92"/>
        <v>0</v>
      </c>
      <c r="AT473" s="39">
        <f t="shared" si="93"/>
        <v>0</v>
      </c>
      <c r="AU473" s="39">
        <f t="shared" si="94"/>
        <v>0</v>
      </c>
      <c r="AW473" s="45">
        <f t="shared" si="95"/>
        <v>0</v>
      </c>
      <c r="AX473" s="45">
        <f t="shared" si="96"/>
        <v>0</v>
      </c>
    </row>
    <row r="474" spans="1:50" x14ac:dyDescent="0.3">
      <c r="A474" s="32">
        <v>464</v>
      </c>
      <c r="B474" s="33"/>
      <c r="C474" s="33"/>
      <c r="D474" s="33"/>
      <c r="E474" s="33" t="s">
        <v>24</v>
      </c>
      <c r="F474" s="71" t="str">
        <f t="shared" si="87"/>
        <v>-</v>
      </c>
      <c r="G474" s="33"/>
      <c r="H474" s="33"/>
      <c r="I474" s="46"/>
      <c r="J474" s="35"/>
      <c r="K474" s="35"/>
      <c r="L474" s="36">
        <f t="shared" si="88"/>
        <v>0</v>
      </c>
      <c r="M474" s="33"/>
      <c r="AN474" s="47">
        <v>464</v>
      </c>
      <c r="AO474" s="42">
        <f t="shared" si="89"/>
        <v>0</v>
      </c>
      <c r="AP474" s="43">
        <f t="shared" si="90"/>
        <v>0</v>
      </c>
      <c r="AQ474" s="42">
        <f t="shared" si="91"/>
        <v>0</v>
      </c>
      <c r="AR474" s="44">
        <f t="shared" si="92"/>
        <v>0</v>
      </c>
      <c r="AT474" s="39">
        <f t="shared" si="93"/>
        <v>0</v>
      </c>
      <c r="AU474" s="39">
        <f t="shared" si="94"/>
        <v>0</v>
      </c>
      <c r="AW474" s="45">
        <f t="shared" si="95"/>
        <v>0</v>
      </c>
      <c r="AX474" s="45">
        <f t="shared" si="96"/>
        <v>0</v>
      </c>
    </row>
    <row r="475" spans="1:50" x14ac:dyDescent="0.3">
      <c r="A475" s="32">
        <v>465</v>
      </c>
      <c r="B475" s="33"/>
      <c r="C475" s="33"/>
      <c r="D475" s="33"/>
      <c r="E475" s="33" t="s">
        <v>24</v>
      </c>
      <c r="F475" s="71" t="str">
        <f t="shared" si="87"/>
        <v>-</v>
      </c>
      <c r="G475" s="33"/>
      <c r="H475" s="33"/>
      <c r="I475" s="46"/>
      <c r="J475" s="35"/>
      <c r="K475" s="35"/>
      <c r="L475" s="36">
        <f t="shared" si="88"/>
        <v>0</v>
      </c>
      <c r="M475" s="33"/>
      <c r="AN475" s="47">
        <v>465</v>
      </c>
      <c r="AO475" s="42">
        <f t="shared" si="89"/>
        <v>0</v>
      </c>
      <c r="AP475" s="43">
        <f t="shared" si="90"/>
        <v>0</v>
      </c>
      <c r="AQ475" s="42">
        <f t="shared" si="91"/>
        <v>0</v>
      </c>
      <c r="AR475" s="44">
        <f t="shared" si="92"/>
        <v>0</v>
      </c>
      <c r="AT475" s="39">
        <f t="shared" si="93"/>
        <v>0</v>
      </c>
      <c r="AU475" s="39">
        <f t="shared" si="94"/>
        <v>0</v>
      </c>
      <c r="AW475" s="45">
        <f t="shared" si="95"/>
        <v>0</v>
      </c>
      <c r="AX475" s="45">
        <f t="shared" si="96"/>
        <v>0</v>
      </c>
    </row>
    <row r="476" spans="1:50" x14ac:dyDescent="0.3">
      <c r="A476" s="32">
        <v>466</v>
      </c>
      <c r="B476" s="33"/>
      <c r="C476" s="33"/>
      <c r="D476" s="33"/>
      <c r="E476" s="33" t="s">
        <v>24</v>
      </c>
      <c r="F476" s="71" t="str">
        <f t="shared" si="87"/>
        <v>-</v>
      </c>
      <c r="G476" s="33"/>
      <c r="H476" s="33"/>
      <c r="I476" s="46"/>
      <c r="J476" s="35"/>
      <c r="K476" s="35"/>
      <c r="L476" s="36">
        <f t="shared" si="88"/>
        <v>0</v>
      </c>
      <c r="M476" s="33"/>
      <c r="AN476" s="47">
        <v>466</v>
      </c>
      <c r="AO476" s="42">
        <f t="shared" si="89"/>
        <v>0</v>
      </c>
      <c r="AP476" s="43">
        <f t="shared" si="90"/>
        <v>0</v>
      </c>
      <c r="AQ476" s="42">
        <f t="shared" si="91"/>
        <v>0</v>
      </c>
      <c r="AR476" s="44">
        <f t="shared" si="92"/>
        <v>0</v>
      </c>
      <c r="AT476" s="39">
        <f t="shared" si="93"/>
        <v>0</v>
      </c>
      <c r="AU476" s="39">
        <f t="shared" si="94"/>
        <v>0</v>
      </c>
      <c r="AW476" s="45">
        <f t="shared" si="95"/>
        <v>0</v>
      </c>
      <c r="AX476" s="45">
        <f t="shared" si="96"/>
        <v>0</v>
      </c>
    </row>
    <row r="477" spans="1:50" x14ac:dyDescent="0.3">
      <c r="A477" s="32">
        <v>467</v>
      </c>
      <c r="B477" s="33"/>
      <c r="C477" s="33"/>
      <c r="D477" s="33"/>
      <c r="E477" s="33" t="s">
        <v>24</v>
      </c>
      <c r="F477" s="71" t="str">
        <f t="shared" si="87"/>
        <v>-</v>
      </c>
      <c r="G477" s="33"/>
      <c r="H477" s="33"/>
      <c r="I477" s="46"/>
      <c r="J477" s="35"/>
      <c r="K477" s="35"/>
      <c r="L477" s="36">
        <f t="shared" si="88"/>
        <v>0</v>
      </c>
      <c r="M477" s="33"/>
      <c r="AN477" s="47">
        <v>467</v>
      </c>
      <c r="AO477" s="42">
        <f t="shared" si="89"/>
        <v>0</v>
      </c>
      <c r="AP477" s="43">
        <f t="shared" si="90"/>
        <v>0</v>
      </c>
      <c r="AQ477" s="42">
        <f t="shared" si="91"/>
        <v>0</v>
      </c>
      <c r="AR477" s="44">
        <f t="shared" si="92"/>
        <v>0</v>
      </c>
      <c r="AT477" s="39">
        <f t="shared" si="93"/>
        <v>0</v>
      </c>
      <c r="AU477" s="39">
        <f t="shared" si="94"/>
        <v>0</v>
      </c>
      <c r="AW477" s="45">
        <f t="shared" si="95"/>
        <v>0</v>
      </c>
      <c r="AX477" s="45">
        <f t="shared" si="96"/>
        <v>0</v>
      </c>
    </row>
    <row r="478" spans="1:50" x14ac:dyDescent="0.3">
      <c r="A478" s="32">
        <v>468</v>
      </c>
      <c r="B478" s="33"/>
      <c r="C478" s="33"/>
      <c r="D478" s="33"/>
      <c r="E478" s="33" t="s">
        <v>24</v>
      </c>
      <c r="F478" s="71" t="str">
        <f t="shared" si="87"/>
        <v>-</v>
      </c>
      <c r="G478" s="33"/>
      <c r="H478" s="33"/>
      <c r="I478" s="46"/>
      <c r="J478" s="35"/>
      <c r="K478" s="35"/>
      <c r="L478" s="36">
        <f t="shared" si="88"/>
        <v>0</v>
      </c>
      <c r="M478" s="33"/>
      <c r="AN478" s="47">
        <v>468</v>
      </c>
      <c r="AO478" s="42">
        <f t="shared" si="89"/>
        <v>0</v>
      </c>
      <c r="AP478" s="43">
        <f t="shared" si="90"/>
        <v>0</v>
      </c>
      <c r="AQ478" s="42">
        <f t="shared" si="91"/>
        <v>0</v>
      </c>
      <c r="AR478" s="44">
        <f t="shared" si="92"/>
        <v>0</v>
      </c>
      <c r="AT478" s="39">
        <f t="shared" si="93"/>
        <v>0</v>
      </c>
      <c r="AU478" s="39">
        <f t="shared" si="94"/>
        <v>0</v>
      </c>
      <c r="AW478" s="45">
        <f t="shared" si="95"/>
        <v>0</v>
      </c>
      <c r="AX478" s="45">
        <f t="shared" si="96"/>
        <v>0</v>
      </c>
    </row>
    <row r="479" spans="1:50" x14ac:dyDescent="0.3">
      <c r="A479" s="32">
        <v>469</v>
      </c>
      <c r="B479" s="33"/>
      <c r="C479" s="33"/>
      <c r="D479" s="33"/>
      <c r="E479" s="33" t="s">
        <v>24</v>
      </c>
      <c r="F479" s="71" t="str">
        <f t="shared" si="87"/>
        <v>-</v>
      </c>
      <c r="G479" s="33"/>
      <c r="H479" s="33"/>
      <c r="I479" s="46"/>
      <c r="J479" s="35"/>
      <c r="K479" s="35"/>
      <c r="L479" s="36">
        <f t="shared" si="88"/>
        <v>0</v>
      </c>
      <c r="M479" s="33"/>
      <c r="AN479" s="47">
        <v>469</v>
      </c>
      <c r="AO479" s="42">
        <f t="shared" si="89"/>
        <v>0</v>
      </c>
      <c r="AP479" s="43">
        <f t="shared" si="90"/>
        <v>0</v>
      </c>
      <c r="AQ479" s="42">
        <f t="shared" si="91"/>
        <v>0</v>
      </c>
      <c r="AR479" s="44">
        <f t="shared" si="92"/>
        <v>0</v>
      </c>
      <c r="AT479" s="39">
        <f t="shared" si="93"/>
        <v>0</v>
      </c>
      <c r="AU479" s="39">
        <f t="shared" si="94"/>
        <v>0</v>
      </c>
      <c r="AW479" s="45">
        <f t="shared" si="95"/>
        <v>0</v>
      </c>
      <c r="AX479" s="45">
        <f t="shared" si="96"/>
        <v>0</v>
      </c>
    </row>
    <row r="480" spans="1:50" x14ac:dyDescent="0.3">
      <c r="A480" s="32">
        <v>470</v>
      </c>
      <c r="B480" s="33"/>
      <c r="C480" s="33"/>
      <c r="D480" s="33"/>
      <c r="E480" s="33" t="s">
        <v>24</v>
      </c>
      <c r="F480" s="71" t="str">
        <f t="shared" si="87"/>
        <v>-</v>
      </c>
      <c r="G480" s="33"/>
      <c r="H480" s="33"/>
      <c r="I480" s="46"/>
      <c r="J480" s="35"/>
      <c r="K480" s="35"/>
      <c r="L480" s="36">
        <f t="shared" si="88"/>
        <v>0</v>
      </c>
      <c r="M480" s="33"/>
      <c r="AN480" s="47">
        <v>470</v>
      </c>
      <c r="AO480" s="42">
        <f t="shared" si="89"/>
        <v>0</v>
      </c>
      <c r="AP480" s="43">
        <f t="shared" si="90"/>
        <v>0</v>
      </c>
      <c r="AQ480" s="42">
        <f t="shared" si="91"/>
        <v>0</v>
      </c>
      <c r="AR480" s="44">
        <f t="shared" si="92"/>
        <v>0</v>
      </c>
      <c r="AT480" s="39">
        <f t="shared" si="93"/>
        <v>0</v>
      </c>
      <c r="AU480" s="39">
        <f t="shared" si="94"/>
        <v>0</v>
      </c>
      <c r="AW480" s="45">
        <f t="shared" si="95"/>
        <v>0</v>
      </c>
      <c r="AX480" s="45">
        <f t="shared" si="96"/>
        <v>0</v>
      </c>
    </row>
    <row r="481" spans="1:50" x14ac:dyDescent="0.3">
      <c r="A481" s="32">
        <v>471</v>
      </c>
      <c r="B481" s="33"/>
      <c r="C481" s="33"/>
      <c r="D481" s="33"/>
      <c r="E481" s="33" t="s">
        <v>24</v>
      </c>
      <c r="F481" s="71" t="str">
        <f t="shared" si="87"/>
        <v>-</v>
      </c>
      <c r="G481" s="33"/>
      <c r="H481" s="33"/>
      <c r="I481" s="46"/>
      <c r="J481" s="35"/>
      <c r="K481" s="35"/>
      <c r="L481" s="36">
        <f t="shared" si="88"/>
        <v>0</v>
      </c>
      <c r="M481" s="33"/>
      <c r="AN481" s="47">
        <v>471</v>
      </c>
      <c r="AO481" s="42">
        <f t="shared" si="89"/>
        <v>0</v>
      </c>
      <c r="AP481" s="43">
        <f t="shared" si="90"/>
        <v>0</v>
      </c>
      <c r="AQ481" s="42">
        <f t="shared" si="91"/>
        <v>0</v>
      </c>
      <c r="AR481" s="44">
        <f t="shared" si="92"/>
        <v>0</v>
      </c>
      <c r="AT481" s="39">
        <f t="shared" si="93"/>
        <v>0</v>
      </c>
      <c r="AU481" s="39">
        <f t="shared" si="94"/>
        <v>0</v>
      </c>
      <c r="AW481" s="45">
        <f t="shared" si="95"/>
        <v>0</v>
      </c>
      <c r="AX481" s="45">
        <f t="shared" si="96"/>
        <v>0</v>
      </c>
    </row>
    <row r="482" spans="1:50" x14ac:dyDescent="0.3">
      <c r="A482" s="32">
        <v>472</v>
      </c>
      <c r="B482" s="33"/>
      <c r="C482" s="33"/>
      <c r="D482" s="33"/>
      <c r="E482" s="33" t="s">
        <v>24</v>
      </c>
      <c r="F482" s="71" t="str">
        <f t="shared" si="87"/>
        <v>-</v>
      </c>
      <c r="G482" s="33"/>
      <c r="H482" s="33"/>
      <c r="I482" s="46"/>
      <c r="J482" s="35"/>
      <c r="K482" s="35"/>
      <c r="L482" s="36">
        <f t="shared" si="88"/>
        <v>0</v>
      </c>
      <c r="M482" s="33"/>
      <c r="AN482" s="47">
        <v>472</v>
      </c>
      <c r="AO482" s="42">
        <f t="shared" si="89"/>
        <v>0</v>
      </c>
      <c r="AP482" s="43">
        <f t="shared" si="90"/>
        <v>0</v>
      </c>
      <c r="AQ482" s="42">
        <f t="shared" si="91"/>
        <v>0</v>
      </c>
      <c r="AR482" s="44">
        <f t="shared" si="92"/>
        <v>0</v>
      </c>
      <c r="AT482" s="39">
        <f t="shared" si="93"/>
        <v>0</v>
      </c>
      <c r="AU482" s="39">
        <f t="shared" si="94"/>
        <v>0</v>
      </c>
      <c r="AW482" s="45">
        <f t="shared" si="95"/>
        <v>0</v>
      </c>
      <c r="AX482" s="45">
        <f t="shared" si="96"/>
        <v>0</v>
      </c>
    </row>
    <row r="483" spans="1:50" x14ac:dyDescent="0.3">
      <c r="A483" s="32">
        <v>473</v>
      </c>
      <c r="B483" s="33"/>
      <c r="C483" s="33"/>
      <c r="D483" s="33"/>
      <c r="E483" s="33" t="s">
        <v>24</v>
      </c>
      <c r="F483" s="71" t="str">
        <f t="shared" si="87"/>
        <v>-</v>
      </c>
      <c r="G483" s="33"/>
      <c r="H483" s="33"/>
      <c r="I483" s="46"/>
      <c r="J483" s="35"/>
      <c r="K483" s="35"/>
      <c r="L483" s="36">
        <f t="shared" si="88"/>
        <v>0</v>
      </c>
      <c r="M483" s="33"/>
      <c r="AN483" s="47">
        <v>473</v>
      </c>
      <c r="AO483" s="42">
        <f t="shared" si="89"/>
        <v>0</v>
      </c>
      <c r="AP483" s="43">
        <f t="shared" si="90"/>
        <v>0</v>
      </c>
      <c r="AQ483" s="42">
        <f t="shared" si="91"/>
        <v>0</v>
      </c>
      <c r="AR483" s="44">
        <f t="shared" si="92"/>
        <v>0</v>
      </c>
      <c r="AT483" s="39">
        <f t="shared" si="93"/>
        <v>0</v>
      </c>
      <c r="AU483" s="39">
        <f t="shared" si="94"/>
        <v>0</v>
      </c>
      <c r="AW483" s="45">
        <f t="shared" si="95"/>
        <v>0</v>
      </c>
      <c r="AX483" s="45">
        <f t="shared" si="96"/>
        <v>0</v>
      </c>
    </row>
    <row r="484" spans="1:50" x14ac:dyDescent="0.3">
      <c r="A484" s="32">
        <v>474</v>
      </c>
      <c r="B484" s="33"/>
      <c r="C484" s="33"/>
      <c r="D484" s="33"/>
      <c r="E484" s="33" t="s">
        <v>24</v>
      </c>
      <c r="F484" s="71" t="str">
        <f t="shared" si="87"/>
        <v>-</v>
      </c>
      <c r="G484" s="33"/>
      <c r="H484" s="33"/>
      <c r="I484" s="46"/>
      <c r="J484" s="35"/>
      <c r="K484" s="35"/>
      <c r="L484" s="36">
        <f t="shared" si="88"/>
        <v>0</v>
      </c>
      <c r="M484" s="33"/>
      <c r="AN484" s="47">
        <v>474</v>
      </c>
      <c r="AO484" s="42">
        <f t="shared" si="89"/>
        <v>0</v>
      </c>
      <c r="AP484" s="43">
        <f t="shared" si="90"/>
        <v>0</v>
      </c>
      <c r="AQ484" s="42">
        <f t="shared" si="91"/>
        <v>0</v>
      </c>
      <c r="AR484" s="44">
        <f t="shared" si="92"/>
        <v>0</v>
      </c>
      <c r="AT484" s="39">
        <f t="shared" si="93"/>
        <v>0</v>
      </c>
      <c r="AU484" s="39">
        <f t="shared" si="94"/>
        <v>0</v>
      </c>
      <c r="AW484" s="45">
        <f t="shared" si="95"/>
        <v>0</v>
      </c>
      <c r="AX484" s="45">
        <f t="shared" si="96"/>
        <v>0</v>
      </c>
    </row>
    <row r="485" spans="1:50" x14ac:dyDescent="0.3">
      <c r="A485" s="32">
        <v>475</v>
      </c>
      <c r="B485" s="33"/>
      <c r="C485" s="33"/>
      <c r="D485" s="33"/>
      <c r="E485" s="33" t="s">
        <v>24</v>
      </c>
      <c r="F485" s="71" t="str">
        <f t="shared" si="87"/>
        <v>-</v>
      </c>
      <c r="G485" s="33"/>
      <c r="H485" s="33"/>
      <c r="I485" s="46"/>
      <c r="J485" s="35"/>
      <c r="K485" s="35"/>
      <c r="L485" s="36">
        <f t="shared" si="88"/>
        <v>0</v>
      </c>
      <c r="M485" s="33"/>
      <c r="AN485" s="47">
        <v>475</v>
      </c>
      <c r="AO485" s="42">
        <f t="shared" si="89"/>
        <v>0</v>
      </c>
      <c r="AP485" s="43">
        <f t="shared" si="90"/>
        <v>0</v>
      </c>
      <c r="AQ485" s="42">
        <f t="shared" si="91"/>
        <v>0</v>
      </c>
      <c r="AR485" s="44">
        <f t="shared" si="92"/>
        <v>0</v>
      </c>
      <c r="AT485" s="39">
        <f t="shared" si="93"/>
        <v>0</v>
      </c>
      <c r="AU485" s="39">
        <f t="shared" si="94"/>
        <v>0</v>
      </c>
      <c r="AW485" s="45">
        <f t="shared" si="95"/>
        <v>0</v>
      </c>
      <c r="AX485" s="45">
        <f t="shared" si="96"/>
        <v>0</v>
      </c>
    </row>
    <row r="486" spans="1:50" x14ac:dyDescent="0.3">
      <c r="A486" s="32">
        <v>476</v>
      </c>
      <c r="B486" s="33"/>
      <c r="C486" s="33"/>
      <c r="D486" s="33"/>
      <c r="E486" s="33" t="s">
        <v>24</v>
      </c>
      <c r="F486" s="71" t="str">
        <f t="shared" si="87"/>
        <v>-</v>
      </c>
      <c r="G486" s="33"/>
      <c r="H486" s="33"/>
      <c r="I486" s="46"/>
      <c r="J486" s="35"/>
      <c r="K486" s="35"/>
      <c r="L486" s="36">
        <f t="shared" si="88"/>
        <v>0</v>
      </c>
      <c r="M486" s="33"/>
      <c r="AN486" s="47">
        <v>476</v>
      </c>
      <c r="AO486" s="42">
        <f t="shared" si="89"/>
        <v>0</v>
      </c>
      <c r="AP486" s="43">
        <f t="shared" si="90"/>
        <v>0</v>
      </c>
      <c r="AQ486" s="42">
        <f t="shared" si="91"/>
        <v>0</v>
      </c>
      <c r="AR486" s="44">
        <f t="shared" si="92"/>
        <v>0</v>
      </c>
      <c r="AT486" s="39">
        <f t="shared" si="93"/>
        <v>0</v>
      </c>
      <c r="AU486" s="39">
        <f t="shared" si="94"/>
        <v>0</v>
      </c>
      <c r="AW486" s="45">
        <f t="shared" si="95"/>
        <v>0</v>
      </c>
      <c r="AX486" s="45">
        <f t="shared" si="96"/>
        <v>0</v>
      </c>
    </row>
    <row r="487" spans="1:50" x14ac:dyDescent="0.3">
      <c r="A487" s="32">
        <v>477</v>
      </c>
      <c r="B487" s="33"/>
      <c r="C487" s="33"/>
      <c r="D487" s="33"/>
      <c r="E487" s="33" t="s">
        <v>24</v>
      </c>
      <c r="F487" s="71" t="str">
        <f t="shared" si="87"/>
        <v>-</v>
      </c>
      <c r="G487" s="33"/>
      <c r="H487" s="33"/>
      <c r="I487" s="46"/>
      <c r="J487" s="35"/>
      <c r="K487" s="35"/>
      <c r="L487" s="36">
        <f t="shared" si="88"/>
        <v>0</v>
      </c>
      <c r="M487" s="33"/>
      <c r="AN487" s="47">
        <v>477</v>
      </c>
      <c r="AO487" s="42">
        <f t="shared" si="89"/>
        <v>0</v>
      </c>
      <c r="AP487" s="43">
        <f t="shared" si="90"/>
        <v>0</v>
      </c>
      <c r="AQ487" s="42">
        <f t="shared" si="91"/>
        <v>0</v>
      </c>
      <c r="AR487" s="44">
        <f t="shared" si="92"/>
        <v>0</v>
      </c>
      <c r="AT487" s="39">
        <f t="shared" si="93"/>
        <v>0</v>
      </c>
      <c r="AU487" s="39">
        <f t="shared" si="94"/>
        <v>0</v>
      </c>
      <c r="AW487" s="45">
        <f t="shared" si="95"/>
        <v>0</v>
      </c>
      <c r="AX487" s="45">
        <f t="shared" si="96"/>
        <v>0</v>
      </c>
    </row>
    <row r="488" spans="1:50" x14ac:dyDescent="0.3">
      <c r="A488" s="32">
        <v>478</v>
      </c>
      <c r="B488" s="33"/>
      <c r="C488" s="33"/>
      <c r="D488" s="33"/>
      <c r="E488" s="33" t="s">
        <v>24</v>
      </c>
      <c r="F488" s="71" t="str">
        <f t="shared" si="87"/>
        <v>-</v>
      </c>
      <c r="G488" s="33"/>
      <c r="H488" s="33"/>
      <c r="I488" s="46"/>
      <c r="J488" s="35"/>
      <c r="K488" s="35"/>
      <c r="L488" s="36">
        <f t="shared" si="88"/>
        <v>0</v>
      </c>
      <c r="M488" s="33"/>
      <c r="AN488" s="47">
        <v>478</v>
      </c>
      <c r="AO488" s="42">
        <f t="shared" si="89"/>
        <v>0</v>
      </c>
      <c r="AP488" s="43">
        <f t="shared" si="90"/>
        <v>0</v>
      </c>
      <c r="AQ488" s="42">
        <f t="shared" si="91"/>
        <v>0</v>
      </c>
      <c r="AR488" s="44">
        <f t="shared" si="92"/>
        <v>0</v>
      </c>
      <c r="AT488" s="39">
        <f t="shared" si="93"/>
        <v>0</v>
      </c>
      <c r="AU488" s="39">
        <f t="shared" si="94"/>
        <v>0</v>
      </c>
      <c r="AW488" s="45">
        <f t="shared" si="95"/>
        <v>0</v>
      </c>
      <c r="AX488" s="45">
        <f t="shared" si="96"/>
        <v>0</v>
      </c>
    </row>
    <row r="489" spans="1:50" x14ac:dyDescent="0.3">
      <c r="A489" s="32">
        <v>479</v>
      </c>
      <c r="B489" s="33"/>
      <c r="C489" s="33"/>
      <c r="D489" s="33"/>
      <c r="E489" s="33" t="s">
        <v>24</v>
      </c>
      <c r="F489" s="71" t="str">
        <f t="shared" si="87"/>
        <v>-</v>
      </c>
      <c r="G489" s="33"/>
      <c r="H489" s="33"/>
      <c r="I489" s="46"/>
      <c r="J489" s="35"/>
      <c r="K489" s="35"/>
      <c r="L489" s="36">
        <f t="shared" si="88"/>
        <v>0</v>
      </c>
      <c r="M489" s="33"/>
      <c r="AN489" s="47">
        <v>479</v>
      </c>
      <c r="AO489" s="42">
        <f t="shared" si="89"/>
        <v>0</v>
      </c>
      <c r="AP489" s="43">
        <f t="shared" si="90"/>
        <v>0</v>
      </c>
      <c r="AQ489" s="42">
        <f t="shared" si="91"/>
        <v>0</v>
      </c>
      <c r="AR489" s="44">
        <f t="shared" si="92"/>
        <v>0</v>
      </c>
      <c r="AT489" s="39">
        <f t="shared" si="93"/>
        <v>0</v>
      </c>
      <c r="AU489" s="39">
        <f t="shared" si="94"/>
        <v>0</v>
      </c>
      <c r="AW489" s="45">
        <f t="shared" si="95"/>
        <v>0</v>
      </c>
      <c r="AX489" s="45">
        <f t="shared" si="96"/>
        <v>0</v>
      </c>
    </row>
    <row r="490" spans="1:50" x14ac:dyDescent="0.3">
      <c r="A490" s="32">
        <v>480</v>
      </c>
      <c r="B490" s="33"/>
      <c r="C490" s="33"/>
      <c r="D490" s="33"/>
      <c r="E490" s="33" t="s">
        <v>24</v>
      </c>
      <c r="F490" s="71" t="str">
        <f t="shared" si="87"/>
        <v>-</v>
      </c>
      <c r="G490" s="33"/>
      <c r="H490" s="33"/>
      <c r="I490" s="46"/>
      <c r="J490" s="35"/>
      <c r="K490" s="35"/>
      <c r="L490" s="36">
        <f t="shared" si="88"/>
        <v>0</v>
      </c>
      <c r="M490" s="33"/>
      <c r="AN490" s="47">
        <v>480</v>
      </c>
      <c r="AO490" s="42">
        <f t="shared" si="89"/>
        <v>0</v>
      </c>
      <c r="AP490" s="43">
        <f t="shared" si="90"/>
        <v>0</v>
      </c>
      <c r="AQ490" s="42">
        <f t="shared" si="91"/>
        <v>0</v>
      </c>
      <c r="AR490" s="44">
        <f t="shared" si="92"/>
        <v>0</v>
      </c>
      <c r="AT490" s="39">
        <f t="shared" si="93"/>
        <v>0</v>
      </c>
      <c r="AU490" s="39">
        <f t="shared" si="94"/>
        <v>0</v>
      </c>
      <c r="AW490" s="45">
        <f t="shared" si="95"/>
        <v>0</v>
      </c>
      <c r="AX490" s="45">
        <f t="shared" si="96"/>
        <v>0</v>
      </c>
    </row>
    <row r="491" spans="1:50" x14ac:dyDescent="0.3">
      <c r="A491" s="32">
        <v>481</v>
      </c>
      <c r="B491" s="33"/>
      <c r="C491" s="33"/>
      <c r="D491" s="33"/>
      <c r="E491" s="33" t="s">
        <v>24</v>
      </c>
      <c r="F491" s="71" t="str">
        <f t="shared" ref="F491:F510" si="97">IFERROR((VLOOKUP(E491,$AE$11:$AG$14,3,0)),"-")</f>
        <v>-</v>
      </c>
      <c r="G491" s="33"/>
      <c r="H491" s="33"/>
      <c r="I491" s="46"/>
      <c r="J491" s="35"/>
      <c r="K491" s="35"/>
      <c r="L491" s="36">
        <f t="shared" si="88"/>
        <v>0</v>
      </c>
      <c r="M491" s="33"/>
      <c r="AN491" s="47">
        <v>481</v>
      </c>
      <c r="AO491" s="42">
        <f t="shared" si="89"/>
        <v>0</v>
      </c>
      <c r="AP491" s="43">
        <f t="shared" si="90"/>
        <v>0</v>
      </c>
      <c r="AQ491" s="42">
        <f t="shared" si="91"/>
        <v>0</v>
      </c>
      <c r="AR491" s="44">
        <f t="shared" si="92"/>
        <v>0</v>
      </c>
      <c r="AT491" s="39">
        <f t="shared" si="93"/>
        <v>0</v>
      </c>
      <c r="AU491" s="39">
        <f t="shared" si="94"/>
        <v>0</v>
      </c>
      <c r="AW491" s="45">
        <f t="shared" si="95"/>
        <v>0</v>
      </c>
      <c r="AX491" s="45">
        <f t="shared" si="96"/>
        <v>0</v>
      </c>
    </row>
    <row r="492" spans="1:50" x14ac:dyDescent="0.3">
      <c r="A492" s="32">
        <v>482</v>
      </c>
      <c r="B492" s="33"/>
      <c r="C492" s="33"/>
      <c r="D492" s="33"/>
      <c r="E492" s="33" t="s">
        <v>24</v>
      </c>
      <c r="F492" s="71" t="str">
        <f t="shared" si="97"/>
        <v>-</v>
      </c>
      <c r="G492" s="33"/>
      <c r="H492" s="33"/>
      <c r="I492" s="46"/>
      <c r="J492" s="35"/>
      <c r="K492" s="35"/>
      <c r="L492" s="36">
        <f t="shared" si="88"/>
        <v>0</v>
      </c>
      <c r="M492" s="33"/>
      <c r="AN492" s="47">
        <v>482</v>
      </c>
      <c r="AO492" s="42">
        <f t="shared" si="89"/>
        <v>0</v>
      </c>
      <c r="AP492" s="43">
        <f t="shared" si="90"/>
        <v>0</v>
      </c>
      <c r="AQ492" s="42">
        <f t="shared" si="91"/>
        <v>0</v>
      </c>
      <c r="AR492" s="44">
        <f t="shared" si="92"/>
        <v>0</v>
      </c>
      <c r="AT492" s="39">
        <f t="shared" si="93"/>
        <v>0</v>
      </c>
      <c r="AU492" s="39">
        <f t="shared" si="94"/>
        <v>0</v>
      </c>
      <c r="AW492" s="45">
        <f t="shared" si="95"/>
        <v>0</v>
      </c>
      <c r="AX492" s="45">
        <f t="shared" si="96"/>
        <v>0</v>
      </c>
    </row>
    <row r="493" spans="1:50" x14ac:dyDescent="0.3">
      <c r="A493" s="32">
        <v>483</v>
      </c>
      <c r="B493" s="33"/>
      <c r="C493" s="33"/>
      <c r="D493" s="33"/>
      <c r="E493" s="33" t="s">
        <v>24</v>
      </c>
      <c r="F493" s="71" t="str">
        <f t="shared" si="97"/>
        <v>-</v>
      </c>
      <c r="G493" s="33"/>
      <c r="H493" s="33"/>
      <c r="I493" s="46"/>
      <c r="J493" s="35"/>
      <c r="K493" s="35"/>
      <c r="L493" s="36">
        <f t="shared" si="88"/>
        <v>0</v>
      </c>
      <c r="M493" s="33"/>
      <c r="AN493" s="47">
        <v>483</v>
      </c>
      <c r="AO493" s="42">
        <f t="shared" si="89"/>
        <v>0</v>
      </c>
      <c r="AP493" s="43">
        <f t="shared" si="90"/>
        <v>0</v>
      </c>
      <c r="AQ493" s="42">
        <f t="shared" si="91"/>
        <v>0</v>
      </c>
      <c r="AR493" s="44">
        <f t="shared" si="92"/>
        <v>0</v>
      </c>
      <c r="AT493" s="39">
        <f t="shared" si="93"/>
        <v>0</v>
      </c>
      <c r="AU493" s="39">
        <f t="shared" si="94"/>
        <v>0</v>
      </c>
      <c r="AW493" s="45">
        <f t="shared" si="95"/>
        <v>0</v>
      </c>
      <c r="AX493" s="45">
        <f t="shared" si="96"/>
        <v>0</v>
      </c>
    </row>
    <row r="494" spans="1:50" x14ac:dyDescent="0.3">
      <c r="A494" s="32">
        <v>484</v>
      </c>
      <c r="B494" s="33"/>
      <c r="C494" s="33"/>
      <c r="D494" s="33"/>
      <c r="E494" s="33" t="s">
        <v>24</v>
      </c>
      <c r="F494" s="71" t="str">
        <f t="shared" si="97"/>
        <v>-</v>
      </c>
      <c r="G494" s="33"/>
      <c r="H494" s="33"/>
      <c r="I494" s="46"/>
      <c r="J494" s="35"/>
      <c r="K494" s="35"/>
      <c r="L494" s="36">
        <f t="shared" si="88"/>
        <v>0</v>
      </c>
      <c r="M494" s="33"/>
      <c r="AN494" s="47">
        <v>484</v>
      </c>
      <c r="AO494" s="42">
        <f t="shared" si="89"/>
        <v>0</v>
      </c>
      <c r="AP494" s="43">
        <f t="shared" si="90"/>
        <v>0</v>
      </c>
      <c r="AQ494" s="42">
        <f t="shared" si="91"/>
        <v>0</v>
      </c>
      <c r="AR494" s="44">
        <f t="shared" si="92"/>
        <v>0</v>
      </c>
      <c r="AT494" s="39">
        <f t="shared" si="93"/>
        <v>0</v>
      </c>
      <c r="AU494" s="39">
        <f t="shared" si="94"/>
        <v>0</v>
      </c>
      <c r="AW494" s="45">
        <f t="shared" si="95"/>
        <v>0</v>
      </c>
      <c r="AX494" s="45">
        <f t="shared" si="96"/>
        <v>0</v>
      </c>
    </row>
    <row r="495" spans="1:50" x14ac:dyDescent="0.3">
      <c r="A495" s="32">
        <v>485</v>
      </c>
      <c r="B495" s="33"/>
      <c r="C495" s="33"/>
      <c r="D495" s="33"/>
      <c r="E495" s="33" t="s">
        <v>24</v>
      </c>
      <c r="F495" s="71" t="str">
        <f t="shared" si="97"/>
        <v>-</v>
      </c>
      <c r="G495" s="33"/>
      <c r="H495" s="33"/>
      <c r="I495" s="46"/>
      <c r="J495" s="35"/>
      <c r="K495" s="35"/>
      <c r="L495" s="36">
        <f t="shared" ref="L495:L510" si="98">IF($H$4="-",0,IF($H$4="VAREJO",AW495,IF($H$4="ATACADO",AX495,0)))</f>
        <v>0</v>
      </c>
      <c r="M495" s="33"/>
      <c r="AN495" s="47">
        <v>485</v>
      </c>
      <c r="AO495" s="42">
        <f t="shared" si="89"/>
        <v>0</v>
      </c>
      <c r="AP495" s="43">
        <f t="shared" si="90"/>
        <v>0</v>
      </c>
      <c r="AQ495" s="42">
        <f t="shared" si="91"/>
        <v>0</v>
      </c>
      <c r="AR495" s="44">
        <f t="shared" si="92"/>
        <v>0</v>
      </c>
      <c r="AT495" s="39">
        <f t="shared" si="93"/>
        <v>0</v>
      </c>
      <c r="AU495" s="39">
        <f t="shared" si="94"/>
        <v>0</v>
      </c>
      <c r="AW495" s="45">
        <f t="shared" si="95"/>
        <v>0</v>
      </c>
      <c r="AX495" s="45">
        <f t="shared" si="96"/>
        <v>0</v>
      </c>
    </row>
    <row r="496" spans="1:50" x14ac:dyDescent="0.3">
      <c r="A496" s="32">
        <v>486</v>
      </c>
      <c r="B496" s="33"/>
      <c r="C496" s="33"/>
      <c r="D496" s="33"/>
      <c r="E496" s="33" t="s">
        <v>24</v>
      </c>
      <c r="F496" s="71" t="str">
        <f t="shared" si="97"/>
        <v>-</v>
      </c>
      <c r="G496" s="33"/>
      <c r="H496" s="33"/>
      <c r="I496" s="46"/>
      <c r="J496" s="35"/>
      <c r="K496" s="35"/>
      <c r="L496" s="36">
        <f t="shared" si="98"/>
        <v>0</v>
      </c>
      <c r="M496" s="33"/>
      <c r="AN496" s="47">
        <v>486</v>
      </c>
      <c r="AO496" s="42">
        <f t="shared" si="89"/>
        <v>0</v>
      </c>
      <c r="AP496" s="43">
        <f t="shared" si="90"/>
        <v>0</v>
      </c>
      <c r="AQ496" s="42">
        <f t="shared" si="91"/>
        <v>0</v>
      </c>
      <c r="AR496" s="44">
        <f t="shared" si="92"/>
        <v>0</v>
      </c>
      <c r="AT496" s="39">
        <f t="shared" si="93"/>
        <v>0</v>
      </c>
      <c r="AU496" s="39">
        <f t="shared" si="94"/>
        <v>0</v>
      </c>
      <c r="AW496" s="45">
        <f t="shared" si="95"/>
        <v>0</v>
      </c>
      <c r="AX496" s="45">
        <f t="shared" si="96"/>
        <v>0</v>
      </c>
    </row>
    <row r="497" spans="1:50" x14ac:dyDescent="0.3">
      <c r="A497" s="32">
        <v>487</v>
      </c>
      <c r="B497" s="33"/>
      <c r="C497" s="33"/>
      <c r="D497" s="33"/>
      <c r="E497" s="33" t="s">
        <v>24</v>
      </c>
      <c r="F497" s="71" t="str">
        <f t="shared" si="97"/>
        <v>-</v>
      </c>
      <c r="G497" s="33"/>
      <c r="H497" s="33"/>
      <c r="I497" s="46"/>
      <c r="J497" s="35"/>
      <c r="K497" s="35"/>
      <c r="L497" s="36">
        <f t="shared" si="98"/>
        <v>0</v>
      </c>
      <c r="M497" s="33"/>
      <c r="AN497" s="47">
        <v>487</v>
      </c>
      <c r="AO497" s="42">
        <f t="shared" si="89"/>
        <v>0</v>
      </c>
      <c r="AP497" s="43">
        <f t="shared" si="90"/>
        <v>0</v>
      </c>
      <c r="AQ497" s="42">
        <f t="shared" si="91"/>
        <v>0</v>
      </c>
      <c r="AR497" s="44">
        <f t="shared" si="92"/>
        <v>0</v>
      </c>
      <c r="AT497" s="39">
        <f t="shared" si="93"/>
        <v>0</v>
      </c>
      <c r="AU497" s="39">
        <f t="shared" si="94"/>
        <v>0</v>
      </c>
      <c r="AW497" s="45">
        <f t="shared" si="95"/>
        <v>0</v>
      </c>
      <c r="AX497" s="45">
        <f t="shared" si="96"/>
        <v>0</v>
      </c>
    </row>
    <row r="498" spans="1:50" x14ac:dyDescent="0.3">
      <c r="A498" s="32">
        <v>488</v>
      </c>
      <c r="B498" s="33"/>
      <c r="C498" s="33"/>
      <c r="D498" s="33"/>
      <c r="E498" s="33" t="s">
        <v>24</v>
      </c>
      <c r="F498" s="71" t="str">
        <f t="shared" si="97"/>
        <v>-</v>
      </c>
      <c r="G498" s="33"/>
      <c r="H498" s="33"/>
      <c r="I498" s="46"/>
      <c r="J498" s="35"/>
      <c r="K498" s="35"/>
      <c r="L498" s="36">
        <f t="shared" si="98"/>
        <v>0</v>
      </c>
      <c r="M498" s="33"/>
      <c r="AN498" s="47">
        <v>488</v>
      </c>
      <c r="AO498" s="42">
        <f t="shared" si="89"/>
        <v>0</v>
      </c>
      <c r="AP498" s="43">
        <f t="shared" si="90"/>
        <v>0</v>
      </c>
      <c r="AQ498" s="42">
        <f t="shared" si="91"/>
        <v>0</v>
      </c>
      <c r="AR498" s="44">
        <f t="shared" si="92"/>
        <v>0</v>
      </c>
      <c r="AT498" s="39">
        <f t="shared" si="93"/>
        <v>0</v>
      </c>
      <c r="AU498" s="39">
        <f t="shared" si="94"/>
        <v>0</v>
      </c>
      <c r="AW498" s="45">
        <f t="shared" si="95"/>
        <v>0</v>
      </c>
      <c r="AX498" s="45">
        <f t="shared" si="96"/>
        <v>0</v>
      </c>
    </row>
    <row r="499" spans="1:50" x14ac:dyDescent="0.3">
      <c r="A499" s="32">
        <v>489</v>
      </c>
      <c r="B499" s="33"/>
      <c r="C499" s="33"/>
      <c r="D499" s="33"/>
      <c r="E499" s="33" t="s">
        <v>24</v>
      </c>
      <c r="F499" s="71" t="str">
        <f t="shared" si="97"/>
        <v>-</v>
      </c>
      <c r="G499" s="33"/>
      <c r="H499" s="33"/>
      <c r="I499" s="46"/>
      <c r="J499" s="35"/>
      <c r="K499" s="35"/>
      <c r="L499" s="36">
        <f t="shared" si="98"/>
        <v>0</v>
      </c>
      <c r="M499" s="33"/>
      <c r="AN499" s="47">
        <v>489</v>
      </c>
      <c r="AO499" s="42">
        <f t="shared" si="89"/>
        <v>0</v>
      </c>
      <c r="AP499" s="43">
        <f t="shared" si="90"/>
        <v>0</v>
      </c>
      <c r="AQ499" s="42">
        <f t="shared" si="91"/>
        <v>0</v>
      </c>
      <c r="AR499" s="44">
        <f t="shared" si="92"/>
        <v>0</v>
      </c>
      <c r="AT499" s="39">
        <f t="shared" si="93"/>
        <v>0</v>
      </c>
      <c r="AU499" s="39">
        <f t="shared" si="94"/>
        <v>0</v>
      </c>
      <c r="AW499" s="45">
        <f t="shared" si="95"/>
        <v>0</v>
      </c>
      <c r="AX499" s="45">
        <f t="shared" si="96"/>
        <v>0</v>
      </c>
    </row>
    <row r="500" spans="1:50" x14ac:dyDescent="0.3">
      <c r="A500" s="32">
        <v>490</v>
      </c>
      <c r="B500" s="33"/>
      <c r="C500" s="33"/>
      <c r="D500" s="33"/>
      <c r="E500" s="33" t="s">
        <v>24</v>
      </c>
      <c r="F500" s="71" t="str">
        <f t="shared" si="97"/>
        <v>-</v>
      </c>
      <c r="G500" s="33"/>
      <c r="H500" s="33"/>
      <c r="I500" s="46"/>
      <c r="J500" s="35"/>
      <c r="K500" s="35"/>
      <c r="L500" s="36">
        <f t="shared" si="98"/>
        <v>0</v>
      </c>
      <c r="M500" s="33"/>
      <c r="AN500" s="47">
        <v>490</v>
      </c>
      <c r="AO500" s="42">
        <f t="shared" si="89"/>
        <v>0</v>
      </c>
      <c r="AP500" s="43">
        <f t="shared" si="90"/>
        <v>0</v>
      </c>
      <c r="AQ500" s="42">
        <f t="shared" si="91"/>
        <v>0</v>
      </c>
      <c r="AR500" s="44">
        <f t="shared" si="92"/>
        <v>0</v>
      </c>
      <c r="AT500" s="39">
        <f t="shared" si="93"/>
        <v>0</v>
      </c>
      <c r="AU500" s="39">
        <f t="shared" si="94"/>
        <v>0</v>
      </c>
      <c r="AW500" s="45">
        <f t="shared" si="95"/>
        <v>0</v>
      </c>
      <c r="AX500" s="45">
        <f t="shared" si="96"/>
        <v>0</v>
      </c>
    </row>
    <row r="501" spans="1:50" x14ac:dyDescent="0.3">
      <c r="A501" s="32">
        <v>491</v>
      </c>
      <c r="B501" s="33"/>
      <c r="C501" s="33"/>
      <c r="D501" s="33"/>
      <c r="E501" s="33" t="s">
        <v>24</v>
      </c>
      <c r="F501" s="71" t="str">
        <f t="shared" si="97"/>
        <v>-</v>
      </c>
      <c r="G501" s="33"/>
      <c r="H501" s="33"/>
      <c r="I501" s="46"/>
      <c r="J501" s="35"/>
      <c r="K501" s="35"/>
      <c r="L501" s="36">
        <f t="shared" si="98"/>
        <v>0</v>
      </c>
      <c r="M501" s="33"/>
      <c r="AN501" s="47">
        <v>491</v>
      </c>
      <c r="AO501" s="42">
        <f t="shared" si="89"/>
        <v>0</v>
      </c>
      <c r="AP501" s="43">
        <f t="shared" si="90"/>
        <v>0</v>
      </c>
      <c r="AQ501" s="42">
        <f t="shared" si="91"/>
        <v>0</v>
      </c>
      <c r="AR501" s="44">
        <f t="shared" si="92"/>
        <v>0</v>
      </c>
      <c r="AT501" s="39">
        <f t="shared" si="93"/>
        <v>0</v>
      </c>
      <c r="AU501" s="39">
        <f t="shared" si="94"/>
        <v>0</v>
      </c>
      <c r="AW501" s="45">
        <f t="shared" si="95"/>
        <v>0</v>
      </c>
      <c r="AX501" s="45">
        <f t="shared" si="96"/>
        <v>0</v>
      </c>
    </row>
    <row r="502" spans="1:50" x14ac:dyDescent="0.3">
      <c r="A502" s="32">
        <v>492</v>
      </c>
      <c r="B502" s="33"/>
      <c r="C502" s="33"/>
      <c r="D502" s="33"/>
      <c r="E502" s="33" t="s">
        <v>24</v>
      </c>
      <c r="F502" s="71" t="str">
        <f t="shared" si="97"/>
        <v>-</v>
      </c>
      <c r="G502" s="33"/>
      <c r="H502" s="33"/>
      <c r="I502" s="46"/>
      <c r="J502" s="35"/>
      <c r="K502" s="35"/>
      <c r="L502" s="36">
        <f t="shared" si="98"/>
        <v>0</v>
      </c>
      <c r="M502" s="33"/>
      <c r="AN502" s="47">
        <v>492</v>
      </c>
      <c r="AO502" s="42">
        <f t="shared" si="89"/>
        <v>0</v>
      </c>
      <c r="AP502" s="43">
        <f t="shared" si="90"/>
        <v>0</v>
      </c>
      <c r="AQ502" s="42">
        <f t="shared" si="91"/>
        <v>0</v>
      </c>
      <c r="AR502" s="44">
        <f t="shared" si="92"/>
        <v>0</v>
      </c>
      <c r="AT502" s="39">
        <f t="shared" si="93"/>
        <v>0</v>
      </c>
      <c r="AU502" s="39">
        <f t="shared" si="94"/>
        <v>0</v>
      </c>
      <c r="AW502" s="45">
        <f t="shared" si="95"/>
        <v>0</v>
      </c>
      <c r="AX502" s="45">
        <f t="shared" si="96"/>
        <v>0</v>
      </c>
    </row>
    <row r="503" spans="1:50" x14ac:dyDescent="0.3">
      <c r="A503" s="32">
        <v>493</v>
      </c>
      <c r="B503" s="33"/>
      <c r="C503" s="33"/>
      <c r="D503" s="33"/>
      <c r="E503" s="33" t="s">
        <v>24</v>
      </c>
      <c r="F503" s="71" t="str">
        <f t="shared" si="97"/>
        <v>-</v>
      </c>
      <c r="G503" s="33"/>
      <c r="H503" s="33"/>
      <c r="I503" s="46"/>
      <c r="J503" s="35"/>
      <c r="K503" s="35"/>
      <c r="L503" s="36">
        <f t="shared" si="98"/>
        <v>0</v>
      </c>
      <c r="M503" s="33"/>
      <c r="AN503" s="47">
        <v>493</v>
      </c>
      <c r="AO503" s="42">
        <f t="shared" si="89"/>
        <v>0</v>
      </c>
      <c r="AP503" s="43">
        <f t="shared" si="90"/>
        <v>0</v>
      </c>
      <c r="AQ503" s="42">
        <f t="shared" si="91"/>
        <v>0</v>
      </c>
      <c r="AR503" s="44">
        <f t="shared" si="92"/>
        <v>0</v>
      </c>
      <c r="AT503" s="39">
        <f t="shared" si="93"/>
        <v>0</v>
      </c>
      <c r="AU503" s="39">
        <f t="shared" si="94"/>
        <v>0</v>
      </c>
      <c r="AW503" s="45">
        <f t="shared" si="95"/>
        <v>0</v>
      </c>
      <c r="AX503" s="45">
        <f t="shared" si="96"/>
        <v>0</v>
      </c>
    </row>
    <row r="504" spans="1:50" x14ac:dyDescent="0.3">
      <c r="A504" s="32">
        <v>494</v>
      </c>
      <c r="B504" s="33"/>
      <c r="C504" s="33"/>
      <c r="D504" s="33"/>
      <c r="E504" s="33" t="s">
        <v>24</v>
      </c>
      <c r="F504" s="71" t="str">
        <f t="shared" si="97"/>
        <v>-</v>
      </c>
      <c r="G504" s="33"/>
      <c r="H504" s="33"/>
      <c r="I504" s="46"/>
      <c r="J504" s="35"/>
      <c r="K504" s="35"/>
      <c r="L504" s="36">
        <f t="shared" si="98"/>
        <v>0</v>
      </c>
      <c r="M504" s="33"/>
      <c r="AN504" s="47">
        <v>494</v>
      </c>
      <c r="AO504" s="42">
        <f t="shared" si="89"/>
        <v>0</v>
      </c>
      <c r="AP504" s="43">
        <f t="shared" si="90"/>
        <v>0</v>
      </c>
      <c r="AQ504" s="42">
        <f t="shared" si="91"/>
        <v>0</v>
      </c>
      <c r="AR504" s="44">
        <f t="shared" si="92"/>
        <v>0</v>
      </c>
      <c r="AT504" s="39">
        <f t="shared" si="93"/>
        <v>0</v>
      </c>
      <c r="AU504" s="39">
        <f t="shared" si="94"/>
        <v>0</v>
      </c>
      <c r="AW504" s="45">
        <f t="shared" si="95"/>
        <v>0</v>
      </c>
      <c r="AX504" s="45">
        <f t="shared" si="96"/>
        <v>0</v>
      </c>
    </row>
    <row r="505" spans="1:50" x14ac:dyDescent="0.3">
      <c r="A505" s="32">
        <v>495</v>
      </c>
      <c r="B505" s="33"/>
      <c r="C505" s="33"/>
      <c r="D505" s="33"/>
      <c r="E505" s="33" t="s">
        <v>24</v>
      </c>
      <c r="F505" s="71" t="str">
        <f t="shared" si="97"/>
        <v>-</v>
      </c>
      <c r="G505" s="33"/>
      <c r="H505" s="33"/>
      <c r="I505" s="46"/>
      <c r="J505" s="35"/>
      <c r="K505" s="35"/>
      <c r="L505" s="36">
        <f t="shared" si="98"/>
        <v>0</v>
      </c>
      <c r="M505" s="33"/>
      <c r="AN505" s="47">
        <v>495</v>
      </c>
      <c r="AO505" s="42">
        <f t="shared" si="89"/>
        <v>0</v>
      </c>
      <c r="AP505" s="43">
        <f t="shared" si="90"/>
        <v>0</v>
      </c>
      <c r="AQ505" s="42">
        <f t="shared" si="91"/>
        <v>0</v>
      </c>
      <c r="AR505" s="44">
        <f t="shared" si="92"/>
        <v>0</v>
      </c>
      <c r="AT505" s="39">
        <f t="shared" si="93"/>
        <v>0</v>
      </c>
      <c r="AU505" s="39">
        <f t="shared" si="94"/>
        <v>0</v>
      </c>
      <c r="AW505" s="45">
        <f t="shared" si="95"/>
        <v>0</v>
      </c>
      <c r="AX505" s="45">
        <f t="shared" si="96"/>
        <v>0</v>
      </c>
    </row>
    <row r="506" spans="1:50" x14ac:dyDescent="0.3">
      <c r="A506" s="32">
        <v>496</v>
      </c>
      <c r="B506" s="33"/>
      <c r="C506" s="33"/>
      <c r="D506" s="33"/>
      <c r="E506" s="33" t="s">
        <v>24</v>
      </c>
      <c r="F506" s="71" t="str">
        <f t="shared" si="97"/>
        <v>-</v>
      </c>
      <c r="G506" s="33"/>
      <c r="H506" s="33"/>
      <c r="I506" s="46"/>
      <c r="J506" s="35"/>
      <c r="K506" s="35"/>
      <c r="L506" s="36">
        <f t="shared" si="98"/>
        <v>0</v>
      </c>
      <c r="M506" s="33"/>
      <c r="AN506" s="47">
        <v>496</v>
      </c>
      <c r="AO506" s="42">
        <f t="shared" si="89"/>
        <v>0</v>
      </c>
      <c r="AP506" s="43">
        <f t="shared" si="90"/>
        <v>0</v>
      </c>
      <c r="AQ506" s="42">
        <f t="shared" si="91"/>
        <v>0</v>
      </c>
      <c r="AR506" s="44">
        <f t="shared" si="92"/>
        <v>0</v>
      </c>
      <c r="AT506" s="39">
        <f t="shared" si="93"/>
        <v>0</v>
      </c>
      <c r="AU506" s="39">
        <f t="shared" si="94"/>
        <v>0</v>
      </c>
      <c r="AW506" s="45">
        <f t="shared" si="95"/>
        <v>0</v>
      </c>
      <c r="AX506" s="45">
        <f t="shared" si="96"/>
        <v>0</v>
      </c>
    </row>
    <row r="507" spans="1:50" x14ac:dyDescent="0.3">
      <c r="A507" s="32">
        <v>497</v>
      </c>
      <c r="B507" s="33"/>
      <c r="C507" s="33"/>
      <c r="D507" s="33"/>
      <c r="E507" s="33" t="s">
        <v>24</v>
      </c>
      <c r="F507" s="71" t="str">
        <f t="shared" si="97"/>
        <v>-</v>
      </c>
      <c r="G507" s="33"/>
      <c r="H507" s="33"/>
      <c r="I507" s="46"/>
      <c r="J507" s="35"/>
      <c r="K507" s="35"/>
      <c r="L507" s="36">
        <f t="shared" si="98"/>
        <v>0</v>
      </c>
      <c r="M507" s="33"/>
      <c r="AN507" s="47">
        <v>497</v>
      </c>
      <c r="AO507" s="42">
        <f t="shared" si="89"/>
        <v>0</v>
      </c>
      <c r="AP507" s="43">
        <f t="shared" si="90"/>
        <v>0</v>
      </c>
      <c r="AQ507" s="42">
        <f t="shared" si="91"/>
        <v>0</v>
      </c>
      <c r="AR507" s="44">
        <f t="shared" si="92"/>
        <v>0</v>
      </c>
      <c r="AT507" s="39">
        <f t="shared" si="93"/>
        <v>0</v>
      </c>
      <c r="AU507" s="39">
        <f t="shared" si="94"/>
        <v>0</v>
      </c>
      <c r="AW507" s="45">
        <f t="shared" si="95"/>
        <v>0</v>
      </c>
      <c r="AX507" s="45">
        <f t="shared" si="96"/>
        <v>0</v>
      </c>
    </row>
    <row r="508" spans="1:50" x14ac:dyDescent="0.3">
      <c r="A508" s="32">
        <v>498</v>
      </c>
      <c r="B508" s="33"/>
      <c r="C508" s="33"/>
      <c r="D508" s="33"/>
      <c r="E508" s="33" t="s">
        <v>24</v>
      </c>
      <c r="F508" s="71" t="str">
        <f t="shared" si="97"/>
        <v>-</v>
      </c>
      <c r="G508" s="33"/>
      <c r="H508" s="33"/>
      <c r="I508" s="46"/>
      <c r="J508" s="35"/>
      <c r="K508" s="35"/>
      <c r="L508" s="36">
        <f t="shared" si="98"/>
        <v>0</v>
      </c>
      <c r="M508" s="33"/>
      <c r="AN508" s="47">
        <v>498</v>
      </c>
      <c r="AO508" s="42">
        <f t="shared" si="89"/>
        <v>0</v>
      </c>
      <c r="AP508" s="43">
        <f t="shared" si="90"/>
        <v>0</v>
      </c>
      <c r="AQ508" s="42">
        <f t="shared" si="91"/>
        <v>0</v>
      </c>
      <c r="AR508" s="44">
        <f t="shared" si="92"/>
        <v>0</v>
      </c>
      <c r="AT508" s="39">
        <f t="shared" si="93"/>
        <v>0</v>
      </c>
      <c r="AU508" s="39">
        <f t="shared" si="94"/>
        <v>0</v>
      </c>
      <c r="AW508" s="45">
        <f t="shared" si="95"/>
        <v>0</v>
      </c>
      <c r="AX508" s="45">
        <f t="shared" si="96"/>
        <v>0</v>
      </c>
    </row>
    <row r="509" spans="1:50" x14ac:dyDescent="0.3">
      <c r="A509" s="32">
        <v>499</v>
      </c>
      <c r="B509" s="33"/>
      <c r="C509" s="33"/>
      <c r="D509" s="33"/>
      <c r="E509" s="33" t="s">
        <v>24</v>
      </c>
      <c r="F509" s="71" t="str">
        <f t="shared" si="97"/>
        <v>-</v>
      </c>
      <c r="G509" s="33"/>
      <c r="H509" s="33"/>
      <c r="I509" s="46"/>
      <c r="J509" s="35"/>
      <c r="K509" s="35"/>
      <c r="L509" s="36">
        <f t="shared" si="98"/>
        <v>0</v>
      </c>
      <c r="M509" s="33"/>
      <c r="AN509" s="47">
        <v>499</v>
      </c>
      <c r="AO509" s="42">
        <f t="shared" si="89"/>
        <v>0</v>
      </c>
      <c r="AP509" s="43">
        <f t="shared" si="90"/>
        <v>0</v>
      </c>
      <c r="AQ509" s="42">
        <f t="shared" si="91"/>
        <v>0</v>
      </c>
      <c r="AR509" s="44">
        <f t="shared" si="92"/>
        <v>0</v>
      </c>
      <c r="AT509" s="39">
        <f t="shared" si="93"/>
        <v>0</v>
      </c>
      <c r="AU509" s="39">
        <f t="shared" si="94"/>
        <v>0</v>
      </c>
      <c r="AW509" s="45">
        <f t="shared" si="95"/>
        <v>0</v>
      </c>
      <c r="AX509" s="45">
        <f t="shared" si="96"/>
        <v>0</v>
      </c>
    </row>
    <row r="510" spans="1:50" x14ac:dyDescent="0.3">
      <c r="A510" s="32">
        <v>500</v>
      </c>
      <c r="B510" s="33"/>
      <c r="C510" s="33"/>
      <c r="D510" s="33"/>
      <c r="E510" s="33" t="s">
        <v>24</v>
      </c>
      <c r="F510" s="71" t="str">
        <f t="shared" si="97"/>
        <v>-</v>
      </c>
      <c r="G510" s="33"/>
      <c r="H510" s="33"/>
      <c r="I510" s="46"/>
      <c r="J510" s="35"/>
      <c r="K510" s="35"/>
      <c r="L510" s="36">
        <f t="shared" si="98"/>
        <v>0</v>
      </c>
      <c r="M510" s="33"/>
      <c r="AN510" s="47">
        <v>500</v>
      </c>
      <c r="AO510" s="42">
        <f t="shared" si="89"/>
        <v>0</v>
      </c>
      <c r="AP510" s="43">
        <f t="shared" si="90"/>
        <v>0</v>
      </c>
      <c r="AQ510" s="42">
        <f t="shared" si="91"/>
        <v>0</v>
      </c>
      <c r="AR510" s="44">
        <f t="shared" si="92"/>
        <v>0</v>
      </c>
      <c r="AT510" s="39">
        <f t="shared" si="93"/>
        <v>0</v>
      </c>
      <c r="AU510" s="39">
        <f t="shared" si="94"/>
        <v>0</v>
      </c>
      <c r="AW510" s="45">
        <f t="shared" si="95"/>
        <v>0</v>
      </c>
      <c r="AX510" s="45">
        <f t="shared" si="96"/>
        <v>0</v>
      </c>
    </row>
  </sheetData>
  <sheetProtection algorithmName="SHA-512" hashValue="lXnY2WfmlEVRA9EF3l0T373gfDunWuR2Lf/UmXGWBURPQPpP26eZKUTSbWR4/ms+j1pPERJg7ul85Sf4ldcXjg==" saltValue="K75lHsXvAvc2nfcL98SXyQ==" spinCount="100000" sheet="1" formatRows="0" sort="0" autoFilter="0"/>
  <autoFilter ref="A10:L110" xr:uid="{899A6031-0CB8-42B6-9EFC-C1E0561AFAB2}"/>
  <mergeCells count="14">
    <mergeCell ref="D1:L1"/>
    <mergeCell ref="H3:I3"/>
    <mergeCell ref="H4:I4"/>
    <mergeCell ref="K3:L4"/>
    <mergeCell ref="K5:L5"/>
    <mergeCell ref="A8:B8"/>
    <mergeCell ref="C3:D3"/>
    <mergeCell ref="C4:D4"/>
    <mergeCell ref="C8:D8"/>
    <mergeCell ref="A3:B3"/>
    <mergeCell ref="A4:B4"/>
    <mergeCell ref="A5:B5"/>
    <mergeCell ref="A6:B6"/>
    <mergeCell ref="A7:B7"/>
  </mergeCells>
  <pageMargins left="0.74803149606299213" right="0.51181102362204722" top="0.78740157480314965" bottom="0.78740157480314965" header="0.31496062992125984" footer="0.31496062992125984"/>
  <pageSetup paperSize="9" scale="34" fitToHeight="0" orientation="landscape" blackAndWhite="1" r:id="rId1"/>
  <headerFooter>
    <oddFooter>Página &amp;P de &amp;N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075F051-9B8A-41E2-8DC6-E7CA257A8658}">
          <x14:formula1>
            <xm:f>PARÂMETROS!$M$4:$M$6</xm:f>
          </x14:formula1>
          <xm:sqref>H4</xm:sqref>
        </x14:dataValidation>
        <x14:dataValidation type="list" allowBlank="1" showInputMessage="1" showErrorMessage="1" xr:uid="{69BB13D2-E4AB-4F0D-B17F-DC23300D8833}">
          <x14:formula1>
            <xm:f>PARÂMETROS!$K$4:$K$104</xm:f>
          </x14:formula1>
          <xm:sqref>C8</xm:sqref>
        </x14:dataValidation>
        <x14:dataValidation type="list" allowBlank="1" showInputMessage="1" showErrorMessage="1" xr:uid="{05AB99BF-600A-49C9-AF03-A167B34292D0}">
          <x14:formula1>
            <xm:f>PARÂMETROS!$O$4:$O$8</xm:f>
          </x14:formula1>
          <xm:sqref>E11:E510</xm:sqref>
        </x14:dataValidation>
        <x14:dataValidation type="list" allowBlank="1" showInputMessage="1" showErrorMessage="1" xr:uid="{8BA56FB8-16AE-49CD-9414-2A744C27970D}">
          <x14:formula1>
            <xm:f>PARÂMETROS!$Q$4:$Q$33</xm:f>
          </x14:formula1>
          <xm:sqref>C3</xm:sqref>
        </x14:dataValidation>
        <x14:dataValidation type="list" allowBlank="1" showInputMessage="1" showErrorMessage="1" xr:uid="{EE928B34-C347-4508-B081-18566D094C31}">
          <x14:formula1>
            <xm:f>PARÂMETROS!$R$4:$R$33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104B-2CAC-4A0E-A929-5A644AA59530}">
  <sheetPr codeName="Planilha3">
    <tabColor rgb="FF00B050"/>
    <pageSetUpPr fitToPage="1"/>
  </sheetPr>
  <dimension ref="A1:X510"/>
  <sheetViews>
    <sheetView showGridLines="0" view="pageBreakPreview" zoomScale="85" zoomScaleNormal="85" zoomScaleSheetLayoutView="85" workbookViewId="0">
      <selection activeCell="C3" sqref="C3:D3"/>
    </sheetView>
  </sheetViews>
  <sheetFormatPr defaultColWidth="9.109375" defaultRowHeight="14.4" x14ac:dyDescent="0.3"/>
  <cols>
    <col min="1" max="1" width="9.6640625" style="53" customWidth="1"/>
    <col min="2" max="2" width="15.109375" style="53" customWidth="1"/>
    <col min="3" max="3" width="16.6640625" style="53" customWidth="1"/>
    <col min="4" max="4" width="56" style="52" customWidth="1"/>
    <col min="5" max="5" width="34.33203125" style="52" customWidth="1"/>
    <col min="6" max="6" width="17.6640625" style="52" customWidth="1"/>
    <col min="7" max="8" width="24.5546875" style="52" customWidth="1"/>
    <col min="9" max="9" width="45.5546875" style="52" customWidth="1"/>
    <col min="10" max="10" width="1.5546875" style="52" customWidth="1"/>
    <col min="11" max="11" width="19.33203125" style="52" customWidth="1"/>
    <col min="12" max="16384" width="9.109375" style="52"/>
  </cols>
  <sheetData>
    <row r="1" spans="1:24" ht="62.25" customHeight="1" x14ac:dyDescent="0.3">
      <c r="A1" s="99"/>
      <c r="B1" s="100"/>
      <c r="C1" s="103" t="str">
        <f>CONCATENATE("Composição de Valores - Distribuição - ",C8," - CTD ",C5," - Revisão: ",C6)</f>
        <v>Composição de Valores - Distribuição - - - CTD 0 - Revisão: 0</v>
      </c>
      <c r="D1" s="103"/>
      <c r="E1" s="103"/>
      <c r="F1" s="103"/>
      <c r="G1" s="103"/>
      <c r="H1" s="103"/>
      <c r="I1" s="79">
        <f ca="1">NOW()</f>
        <v>45665.529731828705</v>
      </c>
    </row>
    <row r="2" spans="1:24" ht="6" customHeight="1" x14ac:dyDescent="0.3">
      <c r="C2" s="82"/>
    </row>
    <row r="3" spans="1:24" ht="18" customHeight="1" x14ac:dyDescent="0.3">
      <c r="A3" s="105" t="s">
        <v>15</v>
      </c>
      <c r="B3" s="106"/>
      <c r="C3" s="104" t="str">
        <f>'COMPOSIÇÃO DE VALORES'!C3</f>
        <v>-</v>
      </c>
      <c r="D3" s="104"/>
      <c r="E3" s="54"/>
      <c r="F3" s="101" t="s">
        <v>23</v>
      </c>
      <c r="G3" s="101"/>
      <c r="H3" s="55"/>
      <c r="I3" s="67" t="s">
        <v>105</v>
      </c>
      <c r="J3" s="83"/>
    </row>
    <row r="4" spans="1:24" ht="18" customHeight="1" x14ac:dyDescent="0.3">
      <c r="A4" s="105" t="s">
        <v>22</v>
      </c>
      <c r="B4" s="106"/>
      <c r="C4" s="104" t="str">
        <f>'COMPOSIÇÃO DE VALORES'!C4</f>
        <v>-</v>
      </c>
      <c r="D4" s="104"/>
      <c r="E4" s="54"/>
      <c r="F4" s="102" t="str">
        <f>W4</f>
        <v>ATACADO</v>
      </c>
      <c r="G4" s="102"/>
      <c r="H4" s="56"/>
      <c r="I4" s="85">
        <f>SUM(H11:H5000)</f>
        <v>0</v>
      </c>
      <c r="J4" s="84"/>
      <c r="W4" s="57" t="str" cm="1">
        <f t="array" ref="W4:X4">'COMPOSIÇÃO DE VALORES'!H4:I4</f>
        <v>ATACADO</v>
      </c>
      <c r="X4" s="57">
        <v>0</v>
      </c>
    </row>
    <row r="5" spans="1:24" ht="18" customHeight="1" x14ac:dyDescent="0.3">
      <c r="A5" s="105" t="s">
        <v>85</v>
      </c>
      <c r="B5" s="106"/>
      <c r="C5" s="81">
        <f>'COMPOSIÇÃO DE VALORES'!C5</f>
        <v>0</v>
      </c>
      <c r="E5" s="54"/>
      <c r="F5" s="59"/>
      <c r="G5" s="56"/>
      <c r="H5" s="56"/>
      <c r="I5" s="56"/>
      <c r="W5" s="57"/>
      <c r="X5" s="57"/>
    </row>
    <row r="6" spans="1:24" ht="18" customHeight="1" x14ac:dyDescent="0.3">
      <c r="A6" s="105" t="s">
        <v>84</v>
      </c>
      <c r="B6" s="106"/>
      <c r="C6" s="81">
        <f>'COMPOSIÇÃO DE VALORES'!C6</f>
        <v>0</v>
      </c>
      <c r="E6" s="54"/>
      <c r="F6" s="59"/>
      <c r="G6" s="56"/>
      <c r="H6" s="56"/>
      <c r="I6" s="56"/>
      <c r="W6" s="57"/>
      <c r="X6" s="57"/>
    </row>
    <row r="7" spans="1:24" ht="4.5" customHeight="1" x14ac:dyDescent="0.3">
      <c r="A7" s="80"/>
      <c r="B7" s="80"/>
      <c r="D7" s="58"/>
      <c r="E7" s="54"/>
      <c r="F7" s="59"/>
      <c r="G7" s="56"/>
      <c r="H7" s="56"/>
      <c r="I7" s="56"/>
    </row>
    <row r="8" spans="1:24" ht="18" customHeight="1" x14ac:dyDescent="0.3">
      <c r="A8" s="105" t="s">
        <v>47</v>
      </c>
      <c r="B8" s="106"/>
      <c r="C8" s="104" t="str">
        <f>'COMPOSIÇÃO DE VALORES'!C8</f>
        <v>-</v>
      </c>
      <c r="D8" s="104"/>
      <c r="E8" s="54"/>
      <c r="F8" s="59"/>
      <c r="G8" s="56"/>
      <c r="H8" s="56"/>
      <c r="I8" s="56"/>
    </row>
    <row r="9" spans="1:24" ht="10.8" customHeight="1" x14ac:dyDescent="0.3">
      <c r="D9" s="60"/>
    </row>
    <row r="10" spans="1:24" s="59" customFormat="1" ht="34.5" customHeight="1" x14ac:dyDescent="0.3">
      <c r="A10" s="61" t="s">
        <v>103</v>
      </c>
      <c r="B10" s="61" t="s">
        <v>104</v>
      </c>
      <c r="C10" s="61" t="s">
        <v>18</v>
      </c>
      <c r="D10" s="62" t="s">
        <v>20</v>
      </c>
      <c r="E10" s="63" t="s">
        <v>17</v>
      </c>
      <c r="F10" s="63" t="s">
        <v>19</v>
      </c>
      <c r="G10" s="63" t="str">
        <f>_xlfn.CONCAT("Preço de Venda (Unitário): ",F4)</f>
        <v>Preço de Venda (Unitário): ATACADO</v>
      </c>
      <c r="H10" s="63" t="str">
        <f>_xlfn.CONCAT("Preço de Venda (Soma): ",F4)</f>
        <v>Preço de Venda (Soma): ATACADO</v>
      </c>
      <c r="I10" s="63" t="s">
        <v>102</v>
      </c>
    </row>
    <row r="11" spans="1:24" x14ac:dyDescent="0.3">
      <c r="A11" s="64">
        <v>1</v>
      </c>
      <c r="B11" s="65">
        <f>'COMPOSIÇÃO DE VALORES'!B11</f>
        <v>0</v>
      </c>
      <c r="C11" s="65">
        <f>'COMPOSIÇÃO DE VALORES'!C11</f>
        <v>0</v>
      </c>
      <c r="D11" s="65">
        <f>'COMPOSIÇÃO DE VALORES'!D11</f>
        <v>0</v>
      </c>
      <c r="E11" s="65">
        <f>'COMPOSIÇÃO DE VALORES'!G11</f>
        <v>0</v>
      </c>
      <c r="F11" s="65">
        <f>'COMPOSIÇÃO DE VALORES'!H11</f>
        <v>0</v>
      </c>
      <c r="G11" s="66">
        <f>'COMPOSIÇÃO DE VALORES'!L11</f>
        <v>0</v>
      </c>
      <c r="H11" s="66">
        <f t="shared" ref="H11:H42" si="0">G11*B11</f>
        <v>0</v>
      </c>
      <c r="I11" s="65">
        <f>'COMPOSIÇÃO DE VALORES'!M11</f>
        <v>0</v>
      </c>
    </row>
    <row r="12" spans="1:24" x14ac:dyDescent="0.3">
      <c r="A12" s="64">
        <v>2</v>
      </c>
      <c r="B12" s="65">
        <f>'COMPOSIÇÃO DE VALORES'!B12</f>
        <v>0</v>
      </c>
      <c r="C12" s="65">
        <f>'COMPOSIÇÃO DE VALORES'!C12</f>
        <v>0</v>
      </c>
      <c r="D12" s="65">
        <f>'COMPOSIÇÃO DE VALORES'!D12</f>
        <v>0</v>
      </c>
      <c r="E12" s="65">
        <f>'COMPOSIÇÃO DE VALORES'!G12</f>
        <v>0</v>
      </c>
      <c r="F12" s="65">
        <f>'COMPOSIÇÃO DE VALORES'!H12</f>
        <v>0</v>
      </c>
      <c r="G12" s="66">
        <f>'COMPOSIÇÃO DE VALORES'!L12</f>
        <v>0</v>
      </c>
      <c r="H12" s="66">
        <f t="shared" si="0"/>
        <v>0</v>
      </c>
      <c r="I12" s="65">
        <f>'COMPOSIÇÃO DE VALORES'!M12</f>
        <v>0</v>
      </c>
    </row>
    <row r="13" spans="1:24" x14ac:dyDescent="0.3">
      <c r="A13" s="64">
        <v>3</v>
      </c>
      <c r="B13" s="65">
        <f>'COMPOSIÇÃO DE VALORES'!B13</f>
        <v>0</v>
      </c>
      <c r="C13" s="65">
        <f>'COMPOSIÇÃO DE VALORES'!C13</f>
        <v>0</v>
      </c>
      <c r="D13" s="65">
        <f>'COMPOSIÇÃO DE VALORES'!D13</f>
        <v>0</v>
      </c>
      <c r="E13" s="65">
        <f>'COMPOSIÇÃO DE VALORES'!G13</f>
        <v>0</v>
      </c>
      <c r="F13" s="65">
        <f>'COMPOSIÇÃO DE VALORES'!H13</f>
        <v>0</v>
      </c>
      <c r="G13" s="66">
        <f>'COMPOSIÇÃO DE VALORES'!L13</f>
        <v>0</v>
      </c>
      <c r="H13" s="66">
        <f t="shared" si="0"/>
        <v>0</v>
      </c>
      <c r="I13" s="65">
        <f>'COMPOSIÇÃO DE VALORES'!M13</f>
        <v>0</v>
      </c>
    </row>
    <row r="14" spans="1:24" x14ac:dyDescent="0.3">
      <c r="A14" s="64">
        <v>4</v>
      </c>
      <c r="B14" s="65">
        <f>'COMPOSIÇÃO DE VALORES'!B14</f>
        <v>0</v>
      </c>
      <c r="C14" s="65">
        <f>'COMPOSIÇÃO DE VALORES'!C14</f>
        <v>0</v>
      </c>
      <c r="D14" s="65">
        <f>'COMPOSIÇÃO DE VALORES'!D14</f>
        <v>0</v>
      </c>
      <c r="E14" s="65">
        <f>'COMPOSIÇÃO DE VALORES'!G14</f>
        <v>0</v>
      </c>
      <c r="F14" s="65">
        <f>'COMPOSIÇÃO DE VALORES'!H14</f>
        <v>0</v>
      </c>
      <c r="G14" s="66">
        <f>'COMPOSIÇÃO DE VALORES'!L14</f>
        <v>0</v>
      </c>
      <c r="H14" s="66">
        <f t="shared" si="0"/>
        <v>0</v>
      </c>
      <c r="I14" s="65">
        <f>'COMPOSIÇÃO DE VALORES'!M14</f>
        <v>0</v>
      </c>
    </row>
    <row r="15" spans="1:24" x14ac:dyDescent="0.3">
      <c r="A15" s="64">
        <v>5</v>
      </c>
      <c r="B15" s="65">
        <f>'COMPOSIÇÃO DE VALORES'!B15</f>
        <v>0</v>
      </c>
      <c r="C15" s="65">
        <f>'COMPOSIÇÃO DE VALORES'!C15</f>
        <v>0</v>
      </c>
      <c r="D15" s="65">
        <f>'COMPOSIÇÃO DE VALORES'!D15</f>
        <v>0</v>
      </c>
      <c r="E15" s="65">
        <f>'COMPOSIÇÃO DE VALORES'!G15</f>
        <v>0</v>
      </c>
      <c r="F15" s="65">
        <f>'COMPOSIÇÃO DE VALORES'!H15</f>
        <v>0</v>
      </c>
      <c r="G15" s="66">
        <f>'COMPOSIÇÃO DE VALORES'!L15</f>
        <v>0</v>
      </c>
      <c r="H15" s="66">
        <f t="shared" si="0"/>
        <v>0</v>
      </c>
      <c r="I15" s="65">
        <f>'COMPOSIÇÃO DE VALORES'!M15</f>
        <v>0</v>
      </c>
    </row>
    <row r="16" spans="1:24" x14ac:dyDescent="0.3">
      <c r="A16" s="64">
        <v>6</v>
      </c>
      <c r="B16" s="65">
        <f>'COMPOSIÇÃO DE VALORES'!B16</f>
        <v>0</v>
      </c>
      <c r="C16" s="65">
        <f>'COMPOSIÇÃO DE VALORES'!C16</f>
        <v>0</v>
      </c>
      <c r="D16" s="65">
        <f>'COMPOSIÇÃO DE VALORES'!D16</f>
        <v>0</v>
      </c>
      <c r="E16" s="65">
        <f>'COMPOSIÇÃO DE VALORES'!G16</f>
        <v>0</v>
      </c>
      <c r="F16" s="65">
        <f>'COMPOSIÇÃO DE VALORES'!H16</f>
        <v>0</v>
      </c>
      <c r="G16" s="66">
        <f>'COMPOSIÇÃO DE VALORES'!L16</f>
        <v>0</v>
      </c>
      <c r="H16" s="66">
        <f t="shared" si="0"/>
        <v>0</v>
      </c>
      <c r="I16" s="65">
        <f>'COMPOSIÇÃO DE VALORES'!M16</f>
        <v>0</v>
      </c>
    </row>
    <row r="17" spans="1:9" x14ac:dyDescent="0.3">
      <c r="A17" s="64">
        <v>7</v>
      </c>
      <c r="B17" s="65">
        <f>'COMPOSIÇÃO DE VALORES'!B17</f>
        <v>0</v>
      </c>
      <c r="C17" s="65">
        <f>'COMPOSIÇÃO DE VALORES'!C17</f>
        <v>0</v>
      </c>
      <c r="D17" s="65">
        <f>'COMPOSIÇÃO DE VALORES'!D17</f>
        <v>0</v>
      </c>
      <c r="E17" s="65">
        <f>'COMPOSIÇÃO DE VALORES'!G17</f>
        <v>0</v>
      </c>
      <c r="F17" s="65">
        <f>'COMPOSIÇÃO DE VALORES'!H17</f>
        <v>0</v>
      </c>
      <c r="G17" s="66">
        <f>'COMPOSIÇÃO DE VALORES'!L17</f>
        <v>0</v>
      </c>
      <c r="H17" s="66">
        <f t="shared" si="0"/>
        <v>0</v>
      </c>
      <c r="I17" s="65">
        <f>'COMPOSIÇÃO DE VALORES'!M17</f>
        <v>0</v>
      </c>
    </row>
    <row r="18" spans="1:9" x14ac:dyDescent="0.3">
      <c r="A18" s="64">
        <v>8</v>
      </c>
      <c r="B18" s="65">
        <f>'COMPOSIÇÃO DE VALORES'!B18</f>
        <v>0</v>
      </c>
      <c r="C18" s="65">
        <f>'COMPOSIÇÃO DE VALORES'!C18</f>
        <v>0</v>
      </c>
      <c r="D18" s="65">
        <f>'COMPOSIÇÃO DE VALORES'!D18</f>
        <v>0</v>
      </c>
      <c r="E18" s="65">
        <f>'COMPOSIÇÃO DE VALORES'!G18</f>
        <v>0</v>
      </c>
      <c r="F18" s="65">
        <f>'COMPOSIÇÃO DE VALORES'!H18</f>
        <v>0</v>
      </c>
      <c r="G18" s="66">
        <f>'COMPOSIÇÃO DE VALORES'!L18</f>
        <v>0</v>
      </c>
      <c r="H18" s="66">
        <f t="shared" si="0"/>
        <v>0</v>
      </c>
      <c r="I18" s="65">
        <f>'COMPOSIÇÃO DE VALORES'!M18</f>
        <v>0</v>
      </c>
    </row>
    <row r="19" spans="1:9" x14ac:dyDescent="0.3">
      <c r="A19" s="64">
        <v>9</v>
      </c>
      <c r="B19" s="65">
        <f>'COMPOSIÇÃO DE VALORES'!B19</f>
        <v>0</v>
      </c>
      <c r="C19" s="65">
        <f>'COMPOSIÇÃO DE VALORES'!C19</f>
        <v>0</v>
      </c>
      <c r="D19" s="65">
        <f>'COMPOSIÇÃO DE VALORES'!D19</f>
        <v>0</v>
      </c>
      <c r="E19" s="65">
        <f>'COMPOSIÇÃO DE VALORES'!G19</f>
        <v>0</v>
      </c>
      <c r="F19" s="65">
        <f>'COMPOSIÇÃO DE VALORES'!H19</f>
        <v>0</v>
      </c>
      <c r="G19" s="66">
        <f>'COMPOSIÇÃO DE VALORES'!L19</f>
        <v>0</v>
      </c>
      <c r="H19" s="66">
        <f t="shared" si="0"/>
        <v>0</v>
      </c>
      <c r="I19" s="65">
        <f>'COMPOSIÇÃO DE VALORES'!M19</f>
        <v>0</v>
      </c>
    </row>
    <row r="20" spans="1:9" x14ac:dyDescent="0.3">
      <c r="A20" s="64">
        <v>10</v>
      </c>
      <c r="B20" s="65">
        <f>'COMPOSIÇÃO DE VALORES'!B20</f>
        <v>0</v>
      </c>
      <c r="C20" s="65">
        <f>'COMPOSIÇÃO DE VALORES'!C20</f>
        <v>0</v>
      </c>
      <c r="D20" s="65">
        <f>'COMPOSIÇÃO DE VALORES'!D20</f>
        <v>0</v>
      </c>
      <c r="E20" s="65">
        <f>'COMPOSIÇÃO DE VALORES'!G20</f>
        <v>0</v>
      </c>
      <c r="F20" s="65">
        <f>'COMPOSIÇÃO DE VALORES'!H20</f>
        <v>0</v>
      </c>
      <c r="G20" s="66">
        <f>'COMPOSIÇÃO DE VALORES'!L20</f>
        <v>0</v>
      </c>
      <c r="H20" s="66">
        <f t="shared" si="0"/>
        <v>0</v>
      </c>
      <c r="I20" s="65">
        <f>'COMPOSIÇÃO DE VALORES'!M20</f>
        <v>0</v>
      </c>
    </row>
    <row r="21" spans="1:9" x14ac:dyDescent="0.3">
      <c r="A21" s="64">
        <v>11</v>
      </c>
      <c r="B21" s="65">
        <f>'COMPOSIÇÃO DE VALORES'!B21</f>
        <v>0</v>
      </c>
      <c r="C21" s="65">
        <f>'COMPOSIÇÃO DE VALORES'!C21</f>
        <v>0</v>
      </c>
      <c r="D21" s="65">
        <f>'COMPOSIÇÃO DE VALORES'!D21</f>
        <v>0</v>
      </c>
      <c r="E21" s="65">
        <f>'COMPOSIÇÃO DE VALORES'!G21</f>
        <v>0</v>
      </c>
      <c r="F21" s="65">
        <f>'COMPOSIÇÃO DE VALORES'!H21</f>
        <v>0</v>
      </c>
      <c r="G21" s="66">
        <f>'COMPOSIÇÃO DE VALORES'!L21</f>
        <v>0</v>
      </c>
      <c r="H21" s="66">
        <f t="shared" si="0"/>
        <v>0</v>
      </c>
      <c r="I21" s="65">
        <f>'COMPOSIÇÃO DE VALORES'!M21</f>
        <v>0</v>
      </c>
    </row>
    <row r="22" spans="1:9" x14ac:dyDescent="0.3">
      <c r="A22" s="64">
        <v>12</v>
      </c>
      <c r="B22" s="65">
        <f>'COMPOSIÇÃO DE VALORES'!B22</f>
        <v>0</v>
      </c>
      <c r="C22" s="65">
        <f>'COMPOSIÇÃO DE VALORES'!C22</f>
        <v>0</v>
      </c>
      <c r="D22" s="65">
        <f>'COMPOSIÇÃO DE VALORES'!D22</f>
        <v>0</v>
      </c>
      <c r="E22" s="65">
        <f>'COMPOSIÇÃO DE VALORES'!G22</f>
        <v>0</v>
      </c>
      <c r="F22" s="65">
        <f>'COMPOSIÇÃO DE VALORES'!H22</f>
        <v>0</v>
      </c>
      <c r="G22" s="66">
        <f>'COMPOSIÇÃO DE VALORES'!L22</f>
        <v>0</v>
      </c>
      <c r="H22" s="66">
        <f t="shared" si="0"/>
        <v>0</v>
      </c>
      <c r="I22" s="65">
        <f>'COMPOSIÇÃO DE VALORES'!M22</f>
        <v>0</v>
      </c>
    </row>
    <row r="23" spans="1:9" x14ac:dyDescent="0.3">
      <c r="A23" s="64">
        <v>13</v>
      </c>
      <c r="B23" s="65">
        <f>'COMPOSIÇÃO DE VALORES'!B23</f>
        <v>0</v>
      </c>
      <c r="C23" s="65">
        <f>'COMPOSIÇÃO DE VALORES'!C23</f>
        <v>0</v>
      </c>
      <c r="D23" s="65">
        <f>'COMPOSIÇÃO DE VALORES'!D23</f>
        <v>0</v>
      </c>
      <c r="E23" s="65">
        <f>'COMPOSIÇÃO DE VALORES'!G23</f>
        <v>0</v>
      </c>
      <c r="F23" s="65">
        <f>'COMPOSIÇÃO DE VALORES'!H23</f>
        <v>0</v>
      </c>
      <c r="G23" s="66">
        <f>'COMPOSIÇÃO DE VALORES'!L23</f>
        <v>0</v>
      </c>
      <c r="H23" s="66">
        <f t="shared" si="0"/>
        <v>0</v>
      </c>
      <c r="I23" s="65">
        <f>'COMPOSIÇÃO DE VALORES'!M23</f>
        <v>0</v>
      </c>
    </row>
    <row r="24" spans="1:9" x14ac:dyDescent="0.3">
      <c r="A24" s="64">
        <v>14</v>
      </c>
      <c r="B24" s="65">
        <f>'COMPOSIÇÃO DE VALORES'!B24</f>
        <v>0</v>
      </c>
      <c r="C24" s="65">
        <f>'COMPOSIÇÃO DE VALORES'!C24</f>
        <v>0</v>
      </c>
      <c r="D24" s="65">
        <f>'COMPOSIÇÃO DE VALORES'!D24</f>
        <v>0</v>
      </c>
      <c r="E24" s="65">
        <f>'COMPOSIÇÃO DE VALORES'!G24</f>
        <v>0</v>
      </c>
      <c r="F24" s="65">
        <f>'COMPOSIÇÃO DE VALORES'!H24</f>
        <v>0</v>
      </c>
      <c r="G24" s="66">
        <f>'COMPOSIÇÃO DE VALORES'!L24</f>
        <v>0</v>
      </c>
      <c r="H24" s="66">
        <f t="shared" si="0"/>
        <v>0</v>
      </c>
      <c r="I24" s="65">
        <f>'COMPOSIÇÃO DE VALORES'!M24</f>
        <v>0</v>
      </c>
    </row>
    <row r="25" spans="1:9" x14ac:dyDescent="0.3">
      <c r="A25" s="64">
        <v>15</v>
      </c>
      <c r="B25" s="65">
        <f>'COMPOSIÇÃO DE VALORES'!B25</f>
        <v>0</v>
      </c>
      <c r="C25" s="65">
        <f>'COMPOSIÇÃO DE VALORES'!C25</f>
        <v>0</v>
      </c>
      <c r="D25" s="65">
        <f>'COMPOSIÇÃO DE VALORES'!D25</f>
        <v>0</v>
      </c>
      <c r="E25" s="65">
        <f>'COMPOSIÇÃO DE VALORES'!G25</f>
        <v>0</v>
      </c>
      <c r="F25" s="65">
        <f>'COMPOSIÇÃO DE VALORES'!H25</f>
        <v>0</v>
      </c>
      <c r="G25" s="66">
        <f>'COMPOSIÇÃO DE VALORES'!L25</f>
        <v>0</v>
      </c>
      <c r="H25" s="66">
        <f t="shared" si="0"/>
        <v>0</v>
      </c>
      <c r="I25" s="65">
        <f>'COMPOSIÇÃO DE VALORES'!M25</f>
        <v>0</v>
      </c>
    </row>
    <row r="26" spans="1:9" x14ac:dyDescent="0.3">
      <c r="A26" s="64">
        <v>16</v>
      </c>
      <c r="B26" s="65">
        <f>'COMPOSIÇÃO DE VALORES'!B26</f>
        <v>0</v>
      </c>
      <c r="C26" s="65">
        <f>'COMPOSIÇÃO DE VALORES'!C26</f>
        <v>0</v>
      </c>
      <c r="D26" s="65">
        <f>'COMPOSIÇÃO DE VALORES'!D26</f>
        <v>0</v>
      </c>
      <c r="E26" s="65">
        <f>'COMPOSIÇÃO DE VALORES'!G26</f>
        <v>0</v>
      </c>
      <c r="F26" s="65">
        <f>'COMPOSIÇÃO DE VALORES'!H26</f>
        <v>0</v>
      </c>
      <c r="G26" s="66">
        <f>'COMPOSIÇÃO DE VALORES'!L26</f>
        <v>0</v>
      </c>
      <c r="H26" s="66">
        <f t="shared" si="0"/>
        <v>0</v>
      </c>
      <c r="I26" s="65">
        <f>'COMPOSIÇÃO DE VALORES'!M26</f>
        <v>0</v>
      </c>
    </row>
    <row r="27" spans="1:9" x14ac:dyDescent="0.3">
      <c r="A27" s="64">
        <v>17</v>
      </c>
      <c r="B27" s="65">
        <f>'COMPOSIÇÃO DE VALORES'!B27</f>
        <v>0</v>
      </c>
      <c r="C27" s="65">
        <f>'COMPOSIÇÃO DE VALORES'!C27</f>
        <v>0</v>
      </c>
      <c r="D27" s="65">
        <f>'COMPOSIÇÃO DE VALORES'!D27</f>
        <v>0</v>
      </c>
      <c r="E27" s="65">
        <f>'COMPOSIÇÃO DE VALORES'!G27</f>
        <v>0</v>
      </c>
      <c r="F27" s="65">
        <f>'COMPOSIÇÃO DE VALORES'!H27</f>
        <v>0</v>
      </c>
      <c r="G27" s="66">
        <f>'COMPOSIÇÃO DE VALORES'!L27</f>
        <v>0</v>
      </c>
      <c r="H27" s="66">
        <f t="shared" si="0"/>
        <v>0</v>
      </c>
      <c r="I27" s="65">
        <f>'COMPOSIÇÃO DE VALORES'!M27</f>
        <v>0</v>
      </c>
    </row>
    <row r="28" spans="1:9" x14ac:dyDescent="0.3">
      <c r="A28" s="64">
        <v>18</v>
      </c>
      <c r="B28" s="65">
        <f>'COMPOSIÇÃO DE VALORES'!B28</f>
        <v>0</v>
      </c>
      <c r="C28" s="65">
        <f>'COMPOSIÇÃO DE VALORES'!C28</f>
        <v>0</v>
      </c>
      <c r="D28" s="65">
        <f>'COMPOSIÇÃO DE VALORES'!D28</f>
        <v>0</v>
      </c>
      <c r="E28" s="65">
        <f>'COMPOSIÇÃO DE VALORES'!G28</f>
        <v>0</v>
      </c>
      <c r="F28" s="65">
        <f>'COMPOSIÇÃO DE VALORES'!H28</f>
        <v>0</v>
      </c>
      <c r="G28" s="66">
        <f>'COMPOSIÇÃO DE VALORES'!L28</f>
        <v>0</v>
      </c>
      <c r="H28" s="66">
        <f t="shared" si="0"/>
        <v>0</v>
      </c>
      <c r="I28" s="65">
        <f>'COMPOSIÇÃO DE VALORES'!M28</f>
        <v>0</v>
      </c>
    </row>
    <row r="29" spans="1:9" x14ac:dyDescent="0.3">
      <c r="A29" s="64">
        <v>19</v>
      </c>
      <c r="B29" s="65">
        <f>'COMPOSIÇÃO DE VALORES'!B29</f>
        <v>0</v>
      </c>
      <c r="C29" s="65">
        <f>'COMPOSIÇÃO DE VALORES'!C29</f>
        <v>0</v>
      </c>
      <c r="D29" s="65">
        <f>'COMPOSIÇÃO DE VALORES'!D29</f>
        <v>0</v>
      </c>
      <c r="E29" s="65">
        <f>'COMPOSIÇÃO DE VALORES'!G29</f>
        <v>0</v>
      </c>
      <c r="F29" s="65">
        <f>'COMPOSIÇÃO DE VALORES'!H29</f>
        <v>0</v>
      </c>
      <c r="G29" s="66">
        <f>'COMPOSIÇÃO DE VALORES'!L29</f>
        <v>0</v>
      </c>
      <c r="H29" s="66">
        <f t="shared" si="0"/>
        <v>0</v>
      </c>
      <c r="I29" s="65">
        <f>'COMPOSIÇÃO DE VALORES'!M29</f>
        <v>0</v>
      </c>
    </row>
    <row r="30" spans="1:9" x14ac:dyDescent="0.3">
      <c r="A30" s="64">
        <v>20</v>
      </c>
      <c r="B30" s="65">
        <f>'COMPOSIÇÃO DE VALORES'!B30</f>
        <v>0</v>
      </c>
      <c r="C30" s="65">
        <f>'COMPOSIÇÃO DE VALORES'!C30</f>
        <v>0</v>
      </c>
      <c r="D30" s="65">
        <f>'COMPOSIÇÃO DE VALORES'!D30</f>
        <v>0</v>
      </c>
      <c r="E30" s="65">
        <f>'COMPOSIÇÃO DE VALORES'!G30</f>
        <v>0</v>
      </c>
      <c r="F30" s="65">
        <f>'COMPOSIÇÃO DE VALORES'!H30</f>
        <v>0</v>
      </c>
      <c r="G30" s="66">
        <f>'COMPOSIÇÃO DE VALORES'!L30</f>
        <v>0</v>
      </c>
      <c r="H30" s="66">
        <f t="shared" si="0"/>
        <v>0</v>
      </c>
      <c r="I30" s="65">
        <f>'COMPOSIÇÃO DE VALORES'!M30</f>
        <v>0</v>
      </c>
    </row>
    <row r="31" spans="1:9" x14ac:dyDescent="0.3">
      <c r="A31" s="64">
        <v>21</v>
      </c>
      <c r="B31" s="65">
        <f>'COMPOSIÇÃO DE VALORES'!B31</f>
        <v>0</v>
      </c>
      <c r="C31" s="65">
        <f>'COMPOSIÇÃO DE VALORES'!C31</f>
        <v>0</v>
      </c>
      <c r="D31" s="65">
        <f>'COMPOSIÇÃO DE VALORES'!D31</f>
        <v>0</v>
      </c>
      <c r="E31" s="65">
        <f>'COMPOSIÇÃO DE VALORES'!G31</f>
        <v>0</v>
      </c>
      <c r="F31" s="65">
        <f>'COMPOSIÇÃO DE VALORES'!H31</f>
        <v>0</v>
      </c>
      <c r="G31" s="66">
        <f>'COMPOSIÇÃO DE VALORES'!L31</f>
        <v>0</v>
      </c>
      <c r="H31" s="66">
        <f t="shared" si="0"/>
        <v>0</v>
      </c>
      <c r="I31" s="65">
        <f>'COMPOSIÇÃO DE VALORES'!M31</f>
        <v>0</v>
      </c>
    </row>
    <row r="32" spans="1:9" x14ac:dyDescent="0.3">
      <c r="A32" s="64">
        <v>22</v>
      </c>
      <c r="B32" s="65">
        <f>'COMPOSIÇÃO DE VALORES'!B32</f>
        <v>0</v>
      </c>
      <c r="C32" s="65">
        <f>'COMPOSIÇÃO DE VALORES'!C32</f>
        <v>0</v>
      </c>
      <c r="D32" s="65">
        <f>'COMPOSIÇÃO DE VALORES'!D32</f>
        <v>0</v>
      </c>
      <c r="E32" s="65">
        <f>'COMPOSIÇÃO DE VALORES'!G32</f>
        <v>0</v>
      </c>
      <c r="F32" s="65">
        <f>'COMPOSIÇÃO DE VALORES'!H32</f>
        <v>0</v>
      </c>
      <c r="G32" s="66">
        <f>'COMPOSIÇÃO DE VALORES'!L32</f>
        <v>0</v>
      </c>
      <c r="H32" s="66">
        <f t="shared" si="0"/>
        <v>0</v>
      </c>
      <c r="I32" s="65">
        <f>'COMPOSIÇÃO DE VALORES'!M32</f>
        <v>0</v>
      </c>
    </row>
    <row r="33" spans="1:9" x14ac:dyDescent="0.3">
      <c r="A33" s="64">
        <v>23</v>
      </c>
      <c r="B33" s="65">
        <f>'COMPOSIÇÃO DE VALORES'!B33</f>
        <v>0</v>
      </c>
      <c r="C33" s="65">
        <f>'COMPOSIÇÃO DE VALORES'!C33</f>
        <v>0</v>
      </c>
      <c r="D33" s="65">
        <f>'COMPOSIÇÃO DE VALORES'!D33</f>
        <v>0</v>
      </c>
      <c r="E33" s="65">
        <f>'COMPOSIÇÃO DE VALORES'!G33</f>
        <v>0</v>
      </c>
      <c r="F33" s="65">
        <f>'COMPOSIÇÃO DE VALORES'!H33</f>
        <v>0</v>
      </c>
      <c r="G33" s="66">
        <f>'COMPOSIÇÃO DE VALORES'!L33</f>
        <v>0</v>
      </c>
      <c r="H33" s="66">
        <f t="shared" si="0"/>
        <v>0</v>
      </c>
      <c r="I33" s="65">
        <f>'COMPOSIÇÃO DE VALORES'!M33</f>
        <v>0</v>
      </c>
    </row>
    <row r="34" spans="1:9" x14ac:dyDescent="0.3">
      <c r="A34" s="64">
        <v>24</v>
      </c>
      <c r="B34" s="65">
        <f>'COMPOSIÇÃO DE VALORES'!B34</f>
        <v>0</v>
      </c>
      <c r="C34" s="65">
        <f>'COMPOSIÇÃO DE VALORES'!C34</f>
        <v>0</v>
      </c>
      <c r="D34" s="65">
        <f>'COMPOSIÇÃO DE VALORES'!D34</f>
        <v>0</v>
      </c>
      <c r="E34" s="65">
        <f>'COMPOSIÇÃO DE VALORES'!G34</f>
        <v>0</v>
      </c>
      <c r="F34" s="65">
        <f>'COMPOSIÇÃO DE VALORES'!H34</f>
        <v>0</v>
      </c>
      <c r="G34" s="66">
        <f>'COMPOSIÇÃO DE VALORES'!L34</f>
        <v>0</v>
      </c>
      <c r="H34" s="66">
        <f t="shared" si="0"/>
        <v>0</v>
      </c>
      <c r="I34" s="65">
        <f>'COMPOSIÇÃO DE VALORES'!M34</f>
        <v>0</v>
      </c>
    </row>
    <row r="35" spans="1:9" x14ac:dyDescent="0.3">
      <c r="A35" s="64">
        <v>25</v>
      </c>
      <c r="B35" s="65">
        <f>'COMPOSIÇÃO DE VALORES'!B35</f>
        <v>0</v>
      </c>
      <c r="C35" s="65">
        <f>'COMPOSIÇÃO DE VALORES'!C35</f>
        <v>0</v>
      </c>
      <c r="D35" s="65">
        <f>'COMPOSIÇÃO DE VALORES'!D35</f>
        <v>0</v>
      </c>
      <c r="E35" s="65">
        <f>'COMPOSIÇÃO DE VALORES'!G35</f>
        <v>0</v>
      </c>
      <c r="F35" s="65">
        <f>'COMPOSIÇÃO DE VALORES'!H35</f>
        <v>0</v>
      </c>
      <c r="G35" s="66">
        <f>'COMPOSIÇÃO DE VALORES'!L35</f>
        <v>0</v>
      </c>
      <c r="H35" s="66">
        <f t="shared" si="0"/>
        <v>0</v>
      </c>
      <c r="I35" s="65">
        <f>'COMPOSIÇÃO DE VALORES'!M35</f>
        <v>0</v>
      </c>
    </row>
    <row r="36" spans="1:9" x14ac:dyDescent="0.3">
      <c r="A36" s="64">
        <v>26</v>
      </c>
      <c r="B36" s="65">
        <f>'COMPOSIÇÃO DE VALORES'!B36</f>
        <v>0</v>
      </c>
      <c r="C36" s="65">
        <f>'COMPOSIÇÃO DE VALORES'!C36</f>
        <v>0</v>
      </c>
      <c r="D36" s="65">
        <f>'COMPOSIÇÃO DE VALORES'!D36</f>
        <v>0</v>
      </c>
      <c r="E36" s="65">
        <f>'COMPOSIÇÃO DE VALORES'!G36</f>
        <v>0</v>
      </c>
      <c r="F36" s="65">
        <f>'COMPOSIÇÃO DE VALORES'!H36</f>
        <v>0</v>
      </c>
      <c r="G36" s="66">
        <f>'COMPOSIÇÃO DE VALORES'!L36</f>
        <v>0</v>
      </c>
      <c r="H36" s="66">
        <f t="shared" si="0"/>
        <v>0</v>
      </c>
      <c r="I36" s="65">
        <f>'COMPOSIÇÃO DE VALORES'!M36</f>
        <v>0</v>
      </c>
    </row>
    <row r="37" spans="1:9" x14ac:dyDescent="0.3">
      <c r="A37" s="64">
        <v>27</v>
      </c>
      <c r="B37" s="65">
        <f>'COMPOSIÇÃO DE VALORES'!B37</f>
        <v>0</v>
      </c>
      <c r="C37" s="65">
        <f>'COMPOSIÇÃO DE VALORES'!C37</f>
        <v>0</v>
      </c>
      <c r="D37" s="65">
        <f>'COMPOSIÇÃO DE VALORES'!D37</f>
        <v>0</v>
      </c>
      <c r="E37" s="65">
        <f>'COMPOSIÇÃO DE VALORES'!G37</f>
        <v>0</v>
      </c>
      <c r="F37" s="65">
        <f>'COMPOSIÇÃO DE VALORES'!H37</f>
        <v>0</v>
      </c>
      <c r="G37" s="66">
        <f>'COMPOSIÇÃO DE VALORES'!L37</f>
        <v>0</v>
      </c>
      <c r="H37" s="66">
        <f t="shared" si="0"/>
        <v>0</v>
      </c>
      <c r="I37" s="65">
        <f>'COMPOSIÇÃO DE VALORES'!M37</f>
        <v>0</v>
      </c>
    </row>
    <row r="38" spans="1:9" x14ac:dyDescent="0.3">
      <c r="A38" s="64">
        <v>28</v>
      </c>
      <c r="B38" s="65">
        <f>'COMPOSIÇÃO DE VALORES'!B38</f>
        <v>0</v>
      </c>
      <c r="C38" s="65">
        <f>'COMPOSIÇÃO DE VALORES'!C38</f>
        <v>0</v>
      </c>
      <c r="D38" s="65">
        <f>'COMPOSIÇÃO DE VALORES'!D38</f>
        <v>0</v>
      </c>
      <c r="E38" s="65">
        <f>'COMPOSIÇÃO DE VALORES'!G38</f>
        <v>0</v>
      </c>
      <c r="F38" s="65">
        <f>'COMPOSIÇÃO DE VALORES'!H38</f>
        <v>0</v>
      </c>
      <c r="G38" s="66">
        <f>'COMPOSIÇÃO DE VALORES'!L38</f>
        <v>0</v>
      </c>
      <c r="H38" s="66">
        <f t="shared" si="0"/>
        <v>0</v>
      </c>
      <c r="I38" s="65">
        <f>'COMPOSIÇÃO DE VALORES'!M38</f>
        <v>0</v>
      </c>
    </row>
    <row r="39" spans="1:9" x14ac:dyDescent="0.3">
      <c r="A39" s="64">
        <v>29</v>
      </c>
      <c r="B39" s="65">
        <f>'COMPOSIÇÃO DE VALORES'!B39</f>
        <v>0</v>
      </c>
      <c r="C39" s="65">
        <f>'COMPOSIÇÃO DE VALORES'!C39</f>
        <v>0</v>
      </c>
      <c r="D39" s="65">
        <f>'COMPOSIÇÃO DE VALORES'!D39</f>
        <v>0</v>
      </c>
      <c r="E39" s="65">
        <f>'COMPOSIÇÃO DE VALORES'!G39</f>
        <v>0</v>
      </c>
      <c r="F39" s="65">
        <f>'COMPOSIÇÃO DE VALORES'!H39</f>
        <v>0</v>
      </c>
      <c r="G39" s="66">
        <f>'COMPOSIÇÃO DE VALORES'!L39</f>
        <v>0</v>
      </c>
      <c r="H39" s="66">
        <f t="shared" si="0"/>
        <v>0</v>
      </c>
      <c r="I39" s="65">
        <f>'COMPOSIÇÃO DE VALORES'!M39</f>
        <v>0</v>
      </c>
    </row>
    <row r="40" spans="1:9" x14ac:dyDescent="0.3">
      <c r="A40" s="64">
        <v>30</v>
      </c>
      <c r="B40" s="65">
        <f>'COMPOSIÇÃO DE VALORES'!B40</f>
        <v>0</v>
      </c>
      <c r="C40" s="65">
        <f>'COMPOSIÇÃO DE VALORES'!C40</f>
        <v>0</v>
      </c>
      <c r="D40" s="65">
        <f>'COMPOSIÇÃO DE VALORES'!D40</f>
        <v>0</v>
      </c>
      <c r="E40" s="65">
        <f>'COMPOSIÇÃO DE VALORES'!G40</f>
        <v>0</v>
      </c>
      <c r="F40" s="65">
        <f>'COMPOSIÇÃO DE VALORES'!H40</f>
        <v>0</v>
      </c>
      <c r="G40" s="66">
        <f>'COMPOSIÇÃO DE VALORES'!L40</f>
        <v>0</v>
      </c>
      <c r="H40" s="66">
        <f t="shared" si="0"/>
        <v>0</v>
      </c>
      <c r="I40" s="65">
        <f>'COMPOSIÇÃO DE VALORES'!M40</f>
        <v>0</v>
      </c>
    </row>
    <row r="41" spans="1:9" x14ac:dyDescent="0.3">
      <c r="A41" s="64">
        <v>31</v>
      </c>
      <c r="B41" s="65">
        <f>'COMPOSIÇÃO DE VALORES'!B41</f>
        <v>0</v>
      </c>
      <c r="C41" s="65">
        <f>'COMPOSIÇÃO DE VALORES'!C41</f>
        <v>0</v>
      </c>
      <c r="D41" s="65">
        <f>'COMPOSIÇÃO DE VALORES'!D41</f>
        <v>0</v>
      </c>
      <c r="E41" s="65">
        <f>'COMPOSIÇÃO DE VALORES'!G41</f>
        <v>0</v>
      </c>
      <c r="F41" s="65">
        <f>'COMPOSIÇÃO DE VALORES'!H41</f>
        <v>0</v>
      </c>
      <c r="G41" s="66">
        <f>'COMPOSIÇÃO DE VALORES'!L41</f>
        <v>0</v>
      </c>
      <c r="H41" s="66">
        <f t="shared" si="0"/>
        <v>0</v>
      </c>
      <c r="I41" s="65">
        <f>'COMPOSIÇÃO DE VALORES'!M41</f>
        <v>0</v>
      </c>
    </row>
    <row r="42" spans="1:9" x14ac:dyDescent="0.3">
      <c r="A42" s="64">
        <v>32</v>
      </c>
      <c r="B42" s="65">
        <f>'COMPOSIÇÃO DE VALORES'!B42</f>
        <v>0</v>
      </c>
      <c r="C42" s="65">
        <f>'COMPOSIÇÃO DE VALORES'!C42</f>
        <v>0</v>
      </c>
      <c r="D42" s="65">
        <f>'COMPOSIÇÃO DE VALORES'!D42</f>
        <v>0</v>
      </c>
      <c r="E42" s="65">
        <f>'COMPOSIÇÃO DE VALORES'!G42</f>
        <v>0</v>
      </c>
      <c r="F42" s="65">
        <f>'COMPOSIÇÃO DE VALORES'!H42</f>
        <v>0</v>
      </c>
      <c r="G42" s="66">
        <f>'COMPOSIÇÃO DE VALORES'!L42</f>
        <v>0</v>
      </c>
      <c r="H42" s="66">
        <f t="shared" si="0"/>
        <v>0</v>
      </c>
      <c r="I42" s="65">
        <f>'COMPOSIÇÃO DE VALORES'!M42</f>
        <v>0</v>
      </c>
    </row>
    <row r="43" spans="1:9" x14ac:dyDescent="0.3">
      <c r="A43" s="64">
        <v>33</v>
      </c>
      <c r="B43" s="65">
        <f>'COMPOSIÇÃO DE VALORES'!B43</f>
        <v>0</v>
      </c>
      <c r="C43" s="65">
        <f>'COMPOSIÇÃO DE VALORES'!C43</f>
        <v>0</v>
      </c>
      <c r="D43" s="65">
        <f>'COMPOSIÇÃO DE VALORES'!D43</f>
        <v>0</v>
      </c>
      <c r="E43" s="65">
        <f>'COMPOSIÇÃO DE VALORES'!G43</f>
        <v>0</v>
      </c>
      <c r="F43" s="65">
        <f>'COMPOSIÇÃO DE VALORES'!H43</f>
        <v>0</v>
      </c>
      <c r="G43" s="66">
        <f>'COMPOSIÇÃO DE VALORES'!L43</f>
        <v>0</v>
      </c>
      <c r="H43" s="66">
        <f t="shared" ref="H43:H74" si="1">G43*B43</f>
        <v>0</v>
      </c>
      <c r="I43" s="65">
        <f>'COMPOSIÇÃO DE VALORES'!M43</f>
        <v>0</v>
      </c>
    </row>
    <row r="44" spans="1:9" x14ac:dyDescent="0.3">
      <c r="A44" s="64">
        <v>34</v>
      </c>
      <c r="B44" s="65">
        <f>'COMPOSIÇÃO DE VALORES'!B44</f>
        <v>0</v>
      </c>
      <c r="C44" s="65">
        <f>'COMPOSIÇÃO DE VALORES'!C44</f>
        <v>0</v>
      </c>
      <c r="D44" s="65">
        <f>'COMPOSIÇÃO DE VALORES'!D44</f>
        <v>0</v>
      </c>
      <c r="E44" s="65">
        <f>'COMPOSIÇÃO DE VALORES'!G44</f>
        <v>0</v>
      </c>
      <c r="F44" s="65">
        <f>'COMPOSIÇÃO DE VALORES'!H44</f>
        <v>0</v>
      </c>
      <c r="G44" s="66">
        <f>'COMPOSIÇÃO DE VALORES'!L44</f>
        <v>0</v>
      </c>
      <c r="H44" s="66">
        <f t="shared" si="1"/>
        <v>0</v>
      </c>
      <c r="I44" s="65">
        <f>'COMPOSIÇÃO DE VALORES'!M44</f>
        <v>0</v>
      </c>
    </row>
    <row r="45" spans="1:9" x14ac:dyDescent="0.3">
      <c r="A45" s="64">
        <v>35</v>
      </c>
      <c r="B45" s="65">
        <f>'COMPOSIÇÃO DE VALORES'!B45</f>
        <v>0</v>
      </c>
      <c r="C45" s="65">
        <f>'COMPOSIÇÃO DE VALORES'!C45</f>
        <v>0</v>
      </c>
      <c r="D45" s="65">
        <f>'COMPOSIÇÃO DE VALORES'!D45</f>
        <v>0</v>
      </c>
      <c r="E45" s="65">
        <f>'COMPOSIÇÃO DE VALORES'!G45</f>
        <v>0</v>
      </c>
      <c r="F45" s="65">
        <f>'COMPOSIÇÃO DE VALORES'!H45</f>
        <v>0</v>
      </c>
      <c r="G45" s="66">
        <f>'COMPOSIÇÃO DE VALORES'!L45</f>
        <v>0</v>
      </c>
      <c r="H45" s="66">
        <f t="shared" si="1"/>
        <v>0</v>
      </c>
      <c r="I45" s="65">
        <f>'COMPOSIÇÃO DE VALORES'!M45</f>
        <v>0</v>
      </c>
    </row>
    <row r="46" spans="1:9" x14ac:dyDescent="0.3">
      <c r="A46" s="64">
        <v>36</v>
      </c>
      <c r="B46" s="65">
        <f>'COMPOSIÇÃO DE VALORES'!B46</f>
        <v>0</v>
      </c>
      <c r="C46" s="65">
        <f>'COMPOSIÇÃO DE VALORES'!C46</f>
        <v>0</v>
      </c>
      <c r="D46" s="65">
        <f>'COMPOSIÇÃO DE VALORES'!D46</f>
        <v>0</v>
      </c>
      <c r="E46" s="65">
        <f>'COMPOSIÇÃO DE VALORES'!G46</f>
        <v>0</v>
      </c>
      <c r="F46" s="65">
        <f>'COMPOSIÇÃO DE VALORES'!H46</f>
        <v>0</v>
      </c>
      <c r="G46" s="66">
        <f>'COMPOSIÇÃO DE VALORES'!L46</f>
        <v>0</v>
      </c>
      <c r="H46" s="66">
        <f t="shared" si="1"/>
        <v>0</v>
      </c>
      <c r="I46" s="65">
        <f>'COMPOSIÇÃO DE VALORES'!M46</f>
        <v>0</v>
      </c>
    </row>
    <row r="47" spans="1:9" x14ac:dyDescent="0.3">
      <c r="A47" s="64">
        <v>37</v>
      </c>
      <c r="B47" s="65">
        <f>'COMPOSIÇÃO DE VALORES'!B47</f>
        <v>0</v>
      </c>
      <c r="C47" s="65">
        <f>'COMPOSIÇÃO DE VALORES'!C47</f>
        <v>0</v>
      </c>
      <c r="D47" s="65">
        <f>'COMPOSIÇÃO DE VALORES'!D47</f>
        <v>0</v>
      </c>
      <c r="E47" s="65">
        <f>'COMPOSIÇÃO DE VALORES'!G47</f>
        <v>0</v>
      </c>
      <c r="F47" s="65">
        <f>'COMPOSIÇÃO DE VALORES'!H47</f>
        <v>0</v>
      </c>
      <c r="G47" s="66">
        <f>'COMPOSIÇÃO DE VALORES'!L47</f>
        <v>0</v>
      </c>
      <c r="H47" s="66">
        <f t="shared" si="1"/>
        <v>0</v>
      </c>
      <c r="I47" s="65">
        <f>'COMPOSIÇÃO DE VALORES'!M47</f>
        <v>0</v>
      </c>
    </row>
    <row r="48" spans="1:9" x14ac:dyDescent="0.3">
      <c r="A48" s="64">
        <v>38</v>
      </c>
      <c r="B48" s="65">
        <f>'COMPOSIÇÃO DE VALORES'!B48</f>
        <v>0</v>
      </c>
      <c r="C48" s="65">
        <f>'COMPOSIÇÃO DE VALORES'!C48</f>
        <v>0</v>
      </c>
      <c r="D48" s="65">
        <f>'COMPOSIÇÃO DE VALORES'!D48</f>
        <v>0</v>
      </c>
      <c r="E48" s="65">
        <f>'COMPOSIÇÃO DE VALORES'!G48</f>
        <v>0</v>
      </c>
      <c r="F48" s="65">
        <f>'COMPOSIÇÃO DE VALORES'!H48</f>
        <v>0</v>
      </c>
      <c r="G48" s="66">
        <f>'COMPOSIÇÃO DE VALORES'!L48</f>
        <v>0</v>
      </c>
      <c r="H48" s="66">
        <f t="shared" si="1"/>
        <v>0</v>
      </c>
      <c r="I48" s="65">
        <f>'COMPOSIÇÃO DE VALORES'!M48</f>
        <v>0</v>
      </c>
    </row>
    <row r="49" spans="1:9" x14ac:dyDescent="0.3">
      <c r="A49" s="64">
        <v>39</v>
      </c>
      <c r="B49" s="65">
        <f>'COMPOSIÇÃO DE VALORES'!B49</f>
        <v>0</v>
      </c>
      <c r="C49" s="65">
        <f>'COMPOSIÇÃO DE VALORES'!C49</f>
        <v>0</v>
      </c>
      <c r="D49" s="65">
        <f>'COMPOSIÇÃO DE VALORES'!D49</f>
        <v>0</v>
      </c>
      <c r="E49" s="65">
        <f>'COMPOSIÇÃO DE VALORES'!G49</f>
        <v>0</v>
      </c>
      <c r="F49" s="65">
        <f>'COMPOSIÇÃO DE VALORES'!H49</f>
        <v>0</v>
      </c>
      <c r="G49" s="66">
        <f>'COMPOSIÇÃO DE VALORES'!L49</f>
        <v>0</v>
      </c>
      <c r="H49" s="66">
        <f t="shared" si="1"/>
        <v>0</v>
      </c>
      <c r="I49" s="65">
        <f>'COMPOSIÇÃO DE VALORES'!M49</f>
        <v>0</v>
      </c>
    </row>
    <row r="50" spans="1:9" x14ac:dyDescent="0.3">
      <c r="A50" s="64">
        <v>40</v>
      </c>
      <c r="B50" s="65">
        <f>'COMPOSIÇÃO DE VALORES'!B50</f>
        <v>0</v>
      </c>
      <c r="C50" s="65">
        <f>'COMPOSIÇÃO DE VALORES'!C50</f>
        <v>0</v>
      </c>
      <c r="D50" s="65">
        <f>'COMPOSIÇÃO DE VALORES'!D50</f>
        <v>0</v>
      </c>
      <c r="E50" s="65">
        <f>'COMPOSIÇÃO DE VALORES'!G50</f>
        <v>0</v>
      </c>
      <c r="F50" s="65">
        <f>'COMPOSIÇÃO DE VALORES'!H50</f>
        <v>0</v>
      </c>
      <c r="G50" s="66">
        <f>'COMPOSIÇÃO DE VALORES'!L50</f>
        <v>0</v>
      </c>
      <c r="H50" s="66">
        <f t="shared" si="1"/>
        <v>0</v>
      </c>
      <c r="I50" s="65">
        <f>'COMPOSIÇÃO DE VALORES'!M50</f>
        <v>0</v>
      </c>
    </row>
    <row r="51" spans="1:9" x14ac:dyDescent="0.3">
      <c r="A51" s="64">
        <v>41</v>
      </c>
      <c r="B51" s="65">
        <f>'COMPOSIÇÃO DE VALORES'!B51</f>
        <v>0</v>
      </c>
      <c r="C51" s="65">
        <f>'COMPOSIÇÃO DE VALORES'!C51</f>
        <v>0</v>
      </c>
      <c r="D51" s="65">
        <f>'COMPOSIÇÃO DE VALORES'!D51</f>
        <v>0</v>
      </c>
      <c r="E51" s="65">
        <f>'COMPOSIÇÃO DE VALORES'!G51</f>
        <v>0</v>
      </c>
      <c r="F51" s="65">
        <f>'COMPOSIÇÃO DE VALORES'!H51</f>
        <v>0</v>
      </c>
      <c r="G51" s="66">
        <f>'COMPOSIÇÃO DE VALORES'!L51</f>
        <v>0</v>
      </c>
      <c r="H51" s="66">
        <f t="shared" si="1"/>
        <v>0</v>
      </c>
      <c r="I51" s="65">
        <f>'COMPOSIÇÃO DE VALORES'!M51</f>
        <v>0</v>
      </c>
    </row>
    <row r="52" spans="1:9" x14ac:dyDescent="0.3">
      <c r="A52" s="64">
        <v>42</v>
      </c>
      <c r="B52" s="65">
        <f>'COMPOSIÇÃO DE VALORES'!B52</f>
        <v>0</v>
      </c>
      <c r="C52" s="65">
        <f>'COMPOSIÇÃO DE VALORES'!C52</f>
        <v>0</v>
      </c>
      <c r="D52" s="65">
        <f>'COMPOSIÇÃO DE VALORES'!D52</f>
        <v>0</v>
      </c>
      <c r="E52" s="65">
        <f>'COMPOSIÇÃO DE VALORES'!G52</f>
        <v>0</v>
      </c>
      <c r="F52" s="65">
        <f>'COMPOSIÇÃO DE VALORES'!H52</f>
        <v>0</v>
      </c>
      <c r="G52" s="66">
        <f>'COMPOSIÇÃO DE VALORES'!L52</f>
        <v>0</v>
      </c>
      <c r="H52" s="66">
        <f t="shared" si="1"/>
        <v>0</v>
      </c>
      <c r="I52" s="65">
        <f>'COMPOSIÇÃO DE VALORES'!M52</f>
        <v>0</v>
      </c>
    </row>
    <row r="53" spans="1:9" x14ac:dyDescent="0.3">
      <c r="A53" s="64">
        <v>43</v>
      </c>
      <c r="B53" s="65">
        <f>'COMPOSIÇÃO DE VALORES'!B53</f>
        <v>0</v>
      </c>
      <c r="C53" s="65">
        <f>'COMPOSIÇÃO DE VALORES'!C53</f>
        <v>0</v>
      </c>
      <c r="D53" s="65">
        <f>'COMPOSIÇÃO DE VALORES'!D53</f>
        <v>0</v>
      </c>
      <c r="E53" s="65">
        <f>'COMPOSIÇÃO DE VALORES'!G53</f>
        <v>0</v>
      </c>
      <c r="F53" s="65">
        <f>'COMPOSIÇÃO DE VALORES'!H53</f>
        <v>0</v>
      </c>
      <c r="G53" s="66">
        <f>'COMPOSIÇÃO DE VALORES'!L53</f>
        <v>0</v>
      </c>
      <c r="H53" s="66">
        <f t="shared" si="1"/>
        <v>0</v>
      </c>
      <c r="I53" s="65">
        <f>'COMPOSIÇÃO DE VALORES'!M53</f>
        <v>0</v>
      </c>
    </row>
    <row r="54" spans="1:9" x14ac:dyDescent="0.3">
      <c r="A54" s="64">
        <v>44</v>
      </c>
      <c r="B54" s="65">
        <f>'COMPOSIÇÃO DE VALORES'!B54</f>
        <v>0</v>
      </c>
      <c r="C54" s="65">
        <f>'COMPOSIÇÃO DE VALORES'!C54</f>
        <v>0</v>
      </c>
      <c r="D54" s="65">
        <f>'COMPOSIÇÃO DE VALORES'!D54</f>
        <v>0</v>
      </c>
      <c r="E54" s="65">
        <f>'COMPOSIÇÃO DE VALORES'!G54</f>
        <v>0</v>
      </c>
      <c r="F54" s="65">
        <f>'COMPOSIÇÃO DE VALORES'!H54</f>
        <v>0</v>
      </c>
      <c r="G54" s="66">
        <f>'COMPOSIÇÃO DE VALORES'!L54</f>
        <v>0</v>
      </c>
      <c r="H54" s="66">
        <f t="shared" si="1"/>
        <v>0</v>
      </c>
      <c r="I54" s="65">
        <f>'COMPOSIÇÃO DE VALORES'!M54</f>
        <v>0</v>
      </c>
    </row>
    <row r="55" spans="1:9" x14ac:dyDescent="0.3">
      <c r="A55" s="64">
        <v>45</v>
      </c>
      <c r="B55" s="65">
        <f>'COMPOSIÇÃO DE VALORES'!B55</f>
        <v>0</v>
      </c>
      <c r="C55" s="65">
        <f>'COMPOSIÇÃO DE VALORES'!C55</f>
        <v>0</v>
      </c>
      <c r="D55" s="65">
        <f>'COMPOSIÇÃO DE VALORES'!D55</f>
        <v>0</v>
      </c>
      <c r="E55" s="65">
        <f>'COMPOSIÇÃO DE VALORES'!G55</f>
        <v>0</v>
      </c>
      <c r="F55" s="65">
        <f>'COMPOSIÇÃO DE VALORES'!H55</f>
        <v>0</v>
      </c>
      <c r="G55" s="66">
        <f>'COMPOSIÇÃO DE VALORES'!L55</f>
        <v>0</v>
      </c>
      <c r="H55" s="66">
        <f t="shared" si="1"/>
        <v>0</v>
      </c>
      <c r="I55" s="65">
        <f>'COMPOSIÇÃO DE VALORES'!M55</f>
        <v>0</v>
      </c>
    </row>
    <row r="56" spans="1:9" x14ac:dyDescent="0.3">
      <c r="A56" s="64">
        <v>46</v>
      </c>
      <c r="B56" s="65">
        <f>'COMPOSIÇÃO DE VALORES'!B56</f>
        <v>0</v>
      </c>
      <c r="C56" s="65">
        <f>'COMPOSIÇÃO DE VALORES'!C56</f>
        <v>0</v>
      </c>
      <c r="D56" s="65">
        <f>'COMPOSIÇÃO DE VALORES'!D56</f>
        <v>0</v>
      </c>
      <c r="E56" s="65">
        <f>'COMPOSIÇÃO DE VALORES'!G56</f>
        <v>0</v>
      </c>
      <c r="F56" s="65">
        <f>'COMPOSIÇÃO DE VALORES'!H56</f>
        <v>0</v>
      </c>
      <c r="G56" s="66">
        <f>'COMPOSIÇÃO DE VALORES'!L56</f>
        <v>0</v>
      </c>
      <c r="H56" s="66">
        <f t="shared" si="1"/>
        <v>0</v>
      </c>
      <c r="I56" s="65">
        <f>'COMPOSIÇÃO DE VALORES'!M56</f>
        <v>0</v>
      </c>
    </row>
    <row r="57" spans="1:9" x14ac:dyDescent="0.3">
      <c r="A57" s="64">
        <v>47</v>
      </c>
      <c r="B57" s="65">
        <f>'COMPOSIÇÃO DE VALORES'!B57</f>
        <v>0</v>
      </c>
      <c r="C57" s="65">
        <f>'COMPOSIÇÃO DE VALORES'!C57</f>
        <v>0</v>
      </c>
      <c r="D57" s="65">
        <f>'COMPOSIÇÃO DE VALORES'!D57</f>
        <v>0</v>
      </c>
      <c r="E57" s="65">
        <f>'COMPOSIÇÃO DE VALORES'!G57</f>
        <v>0</v>
      </c>
      <c r="F57" s="65">
        <f>'COMPOSIÇÃO DE VALORES'!H57</f>
        <v>0</v>
      </c>
      <c r="G57" s="66">
        <f>'COMPOSIÇÃO DE VALORES'!L57</f>
        <v>0</v>
      </c>
      <c r="H57" s="66">
        <f t="shared" si="1"/>
        <v>0</v>
      </c>
      <c r="I57" s="65">
        <f>'COMPOSIÇÃO DE VALORES'!M57</f>
        <v>0</v>
      </c>
    </row>
    <row r="58" spans="1:9" x14ac:dyDescent="0.3">
      <c r="A58" s="64">
        <v>48</v>
      </c>
      <c r="B58" s="65">
        <f>'COMPOSIÇÃO DE VALORES'!B58</f>
        <v>0</v>
      </c>
      <c r="C58" s="65">
        <f>'COMPOSIÇÃO DE VALORES'!C58</f>
        <v>0</v>
      </c>
      <c r="D58" s="65">
        <f>'COMPOSIÇÃO DE VALORES'!D58</f>
        <v>0</v>
      </c>
      <c r="E58" s="65">
        <f>'COMPOSIÇÃO DE VALORES'!G58</f>
        <v>0</v>
      </c>
      <c r="F58" s="65">
        <f>'COMPOSIÇÃO DE VALORES'!H58</f>
        <v>0</v>
      </c>
      <c r="G58" s="66">
        <f>'COMPOSIÇÃO DE VALORES'!L58</f>
        <v>0</v>
      </c>
      <c r="H58" s="66">
        <f t="shared" si="1"/>
        <v>0</v>
      </c>
      <c r="I58" s="65">
        <f>'COMPOSIÇÃO DE VALORES'!M58</f>
        <v>0</v>
      </c>
    </row>
    <row r="59" spans="1:9" x14ac:dyDescent="0.3">
      <c r="A59" s="64">
        <v>49</v>
      </c>
      <c r="B59" s="65">
        <f>'COMPOSIÇÃO DE VALORES'!B59</f>
        <v>0</v>
      </c>
      <c r="C59" s="65">
        <f>'COMPOSIÇÃO DE VALORES'!C59</f>
        <v>0</v>
      </c>
      <c r="D59" s="65">
        <f>'COMPOSIÇÃO DE VALORES'!D59</f>
        <v>0</v>
      </c>
      <c r="E59" s="65">
        <f>'COMPOSIÇÃO DE VALORES'!G59</f>
        <v>0</v>
      </c>
      <c r="F59" s="65">
        <f>'COMPOSIÇÃO DE VALORES'!H59</f>
        <v>0</v>
      </c>
      <c r="G59" s="66">
        <f>'COMPOSIÇÃO DE VALORES'!L59</f>
        <v>0</v>
      </c>
      <c r="H59" s="66">
        <f t="shared" si="1"/>
        <v>0</v>
      </c>
      <c r="I59" s="65">
        <f>'COMPOSIÇÃO DE VALORES'!M59</f>
        <v>0</v>
      </c>
    </row>
    <row r="60" spans="1:9" x14ac:dyDescent="0.3">
      <c r="A60" s="64">
        <v>50</v>
      </c>
      <c r="B60" s="65">
        <f>'COMPOSIÇÃO DE VALORES'!B60</f>
        <v>0</v>
      </c>
      <c r="C60" s="65">
        <f>'COMPOSIÇÃO DE VALORES'!C60</f>
        <v>0</v>
      </c>
      <c r="D60" s="65">
        <f>'COMPOSIÇÃO DE VALORES'!D60</f>
        <v>0</v>
      </c>
      <c r="E60" s="65">
        <f>'COMPOSIÇÃO DE VALORES'!G60</f>
        <v>0</v>
      </c>
      <c r="F60" s="65">
        <f>'COMPOSIÇÃO DE VALORES'!H60</f>
        <v>0</v>
      </c>
      <c r="G60" s="66">
        <f>'COMPOSIÇÃO DE VALORES'!L60</f>
        <v>0</v>
      </c>
      <c r="H60" s="66">
        <f t="shared" si="1"/>
        <v>0</v>
      </c>
      <c r="I60" s="65">
        <f>'COMPOSIÇÃO DE VALORES'!M60</f>
        <v>0</v>
      </c>
    </row>
    <row r="61" spans="1:9" x14ac:dyDescent="0.3">
      <c r="A61" s="64">
        <v>51</v>
      </c>
      <c r="B61" s="65">
        <f>'COMPOSIÇÃO DE VALORES'!B61</f>
        <v>0</v>
      </c>
      <c r="C61" s="65">
        <f>'COMPOSIÇÃO DE VALORES'!C61</f>
        <v>0</v>
      </c>
      <c r="D61" s="65">
        <f>'COMPOSIÇÃO DE VALORES'!D61</f>
        <v>0</v>
      </c>
      <c r="E61" s="65">
        <f>'COMPOSIÇÃO DE VALORES'!G61</f>
        <v>0</v>
      </c>
      <c r="F61" s="65">
        <f>'COMPOSIÇÃO DE VALORES'!H61</f>
        <v>0</v>
      </c>
      <c r="G61" s="66">
        <f>'COMPOSIÇÃO DE VALORES'!L61</f>
        <v>0</v>
      </c>
      <c r="H61" s="66">
        <f t="shared" si="1"/>
        <v>0</v>
      </c>
      <c r="I61" s="65">
        <f>'COMPOSIÇÃO DE VALORES'!M61</f>
        <v>0</v>
      </c>
    </row>
    <row r="62" spans="1:9" x14ac:dyDescent="0.3">
      <c r="A62" s="64">
        <v>52</v>
      </c>
      <c r="B62" s="65">
        <f>'COMPOSIÇÃO DE VALORES'!B62</f>
        <v>0</v>
      </c>
      <c r="C62" s="65">
        <f>'COMPOSIÇÃO DE VALORES'!C62</f>
        <v>0</v>
      </c>
      <c r="D62" s="65">
        <f>'COMPOSIÇÃO DE VALORES'!D62</f>
        <v>0</v>
      </c>
      <c r="E62" s="65">
        <f>'COMPOSIÇÃO DE VALORES'!G62</f>
        <v>0</v>
      </c>
      <c r="F62" s="65">
        <f>'COMPOSIÇÃO DE VALORES'!H62</f>
        <v>0</v>
      </c>
      <c r="G62" s="66">
        <f>'COMPOSIÇÃO DE VALORES'!L62</f>
        <v>0</v>
      </c>
      <c r="H62" s="66">
        <f t="shared" si="1"/>
        <v>0</v>
      </c>
      <c r="I62" s="65">
        <f>'COMPOSIÇÃO DE VALORES'!M62</f>
        <v>0</v>
      </c>
    </row>
    <row r="63" spans="1:9" x14ac:dyDescent="0.3">
      <c r="A63" s="64">
        <v>53</v>
      </c>
      <c r="B63" s="65">
        <f>'COMPOSIÇÃO DE VALORES'!B63</f>
        <v>0</v>
      </c>
      <c r="C63" s="65">
        <f>'COMPOSIÇÃO DE VALORES'!C63</f>
        <v>0</v>
      </c>
      <c r="D63" s="65">
        <f>'COMPOSIÇÃO DE VALORES'!D63</f>
        <v>0</v>
      </c>
      <c r="E63" s="65">
        <f>'COMPOSIÇÃO DE VALORES'!G63</f>
        <v>0</v>
      </c>
      <c r="F63" s="65">
        <f>'COMPOSIÇÃO DE VALORES'!H63</f>
        <v>0</v>
      </c>
      <c r="G63" s="66">
        <f>'COMPOSIÇÃO DE VALORES'!L63</f>
        <v>0</v>
      </c>
      <c r="H63" s="66">
        <f t="shared" si="1"/>
        <v>0</v>
      </c>
      <c r="I63" s="65">
        <f>'COMPOSIÇÃO DE VALORES'!M63</f>
        <v>0</v>
      </c>
    </row>
    <row r="64" spans="1:9" x14ac:dyDescent="0.3">
      <c r="A64" s="64">
        <v>54</v>
      </c>
      <c r="B64" s="65">
        <f>'COMPOSIÇÃO DE VALORES'!B64</f>
        <v>0</v>
      </c>
      <c r="C64" s="65">
        <f>'COMPOSIÇÃO DE VALORES'!C64</f>
        <v>0</v>
      </c>
      <c r="D64" s="65">
        <f>'COMPOSIÇÃO DE VALORES'!D64</f>
        <v>0</v>
      </c>
      <c r="E64" s="65">
        <f>'COMPOSIÇÃO DE VALORES'!G64</f>
        <v>0</v>
      </c>
      <c r="F64" s="65">
        <f>'COMPOSIÇÃO DE VALORES'!H64</f>
        <v>0</v>
      </c>
      <c r="G64" s="66">
        <f>'COMPOSIÇÃO DE VALORES'!L64</f>
        <v>0</v>
      </c>
      <c r="H64" s="66">
        <f t="shared" si="1"/>
        <v>0</v>
      </c>
      <c r="I64" s="65">
        <f>'COMPOSIÇÃO DE VALORES'!M64</f>
        <v>0</v>
      </c>
    </row>
    <row r="65" spans="1:9" x14ac:dyDescent="0.3">
      <c r="A65" s="64">
        <v>55</v>
      </c>
      <c r="B65" s="65">
        <f>'COMPOSIÇÃO DE VALORES'!B65</f>
        <v>0</v>
      </c>
      <c r="C65" s="65">
        <f>'COMPOSIÇÃO DE VALORES'!C65</f>
        <v>0</v>
      </c>
      <c r="D65" s="65">
        <f>'COMPOSIÇÃO DE VALORES'!D65</f>
        <v>0</v>
      </c>
      <c r="E65" s="65">
        <f>'COMPOSIÇÃO DE VALORES'!G65</f>
        <v>0</v>
      </c>
      <c r="F65" s="65">
        <f>'COMPOSIÇÃO DE VALORES'!H65</f>
        <v>0</v>
      </c>
      <c r="G65" s="66">
        <f>'COMPOSIÇÃO DE VALORES'!L65</f>
        <v>0</v>
      </c>
      <c r="H65" s="66">
        <f t="shared" si="1"/>
        <v>0</v>
      </c>
      <c r="I65" s="65">
        <f>'COMPOSIÇÃO DE VALORES'!M65</f>
        <v>0</v>
      </c>
    </row>
    <row r="66" spans="1:9" x14ac:dyDescent="0.3">
      <c r="A66" s="64">
        <v>56</v>
      </c>
      <c r="B66" s="65">
        <f>'COMPOSIÇÃO DE VALORES'!B66</f>
        <v>0</v>
      </c>
      <c r="C66" s="65">
        <f>'COMPOSIÇÃO DE VALORES'!C66</f>
        <v>0</v>
      </c>
      <c r="D66" s="65">
        <f>'COMPOSIÇÃO DE VALORES'!D66</f>
        <v>0</v>
      </c>
      <c r="E66" s="65">
        <f>'COMPOSIÇÃO DE VALORES'!G66</f>
        <v>0</v>
      </c>
      <c r="F66" s="65">
        <f>'COMPOSIÇÃO DE VALORES'!H66</f>
        <v>0</v>
      </c>
      <c r="G66" s="66">
        <f>'COMPOSIÇÃO DE VALORES'!L66</f>
        <v>0</v>
      </c>
      <c r="H66" s="66">
        <f t="shared" si="1"/>
        <v>0</v>
      </c>
      <c r="I66" s="65">
        <f>'COMPOSIÇÃO DE VALORES'!M66</f>
        <v>0</v>
      </c>
    </row>
    <row r="67" spans="1:9" x14ac:dyDescent="0.3">
      <c r="A67" s="64">
        <v>57</v>
      </c>
      <c r="B67" s="65">
        <f>'COMPOSIÇÃO DE VALORES'!B67</f>
        <v>0</v>
      </c>
      <c r="C67" s="65">
        <f>'COMPOSIÇÃO DE VALORES'!C67</f>
        <v>0</v>
      </c>
      <c r="D67" s="65">
        <f>'COMPOSIÇÃO DE VALORES'!D67</f>
        <v>0</v>
      </c>
      <c r="E67" s="65">
        <f>'COMPOSIÇÃO DE VALORES'!G67</f>
        <v>0</v>
      </c>
      <c r="F67" s="65">
        <f>'COMPOSIÇÃO DE VALORES'!H67</f>
        <v>0</v>
      </c>
      <c r="G67" s="66">
        <f>'COMPOSIÇÃO DE VALORES'!L67</f>
        <v>0</v>
      </c>
      <c r="H67" s="66">
        <f t="shared" si="1"/>
        <v>0</v>
      </c>
      <c r="I67" s="65">
        <f>'COMPOSIÇÃO DE VALORES'!M67</f>
        <v>0</v>
      </c>
    </row>
    <row r="68" spans="1:9" x14ac:dyDescent="0.3">
      <c r="A68" s="64">
        <v>58</v>
      </c>
      <c r="B68" s="65">
        <f>'COMPOSIÇÃO DE VALORES'!B68</f>
        <v>0</v>
      </c>
      <c r="C68" s="65">
        <f>'COMPOSIÇÃO DE VALORES'!C68</f>
        <v>0</v>
      </c>
      <c r="D68" s="65">
        <f>'COMPOSIÇÃO DE VALORES'!D68</f>
        <v>0</v>
      </c>
      <c r="E68" s="65">
        <f>'COMPOSIÇÃO DE VALORES'!G68</f>
        <v>0</v>
      </c>
      <c r="F68" s="65">
        <f>'COMPOSIÇÃO DE VALORES'!H68</f>
        <v>0</v>
      </c>
      <c r="G68" s="66">
        <f>'COMPOSIÇÃO DE VALORES'!L68</f>
        <v>0</v>
      </c>
      <c r="H68" s="66">
        <f t="shared" si="1"/>
        <v>0</v>
      </c>
      <c r="I68" s="65">
        <f>'COMPOSIÇÃO DE VALORES'!M68</f>
        <v>0</v>
      </c>
    </row>
    <row r="69" spans="1:9" x14ac:dyDescent="0.3">
      <c r="A69" s="64">
        <v>59</v>
      </c>
      <c r="B69" s="65">
        <f>'COMPOSIÇÃO DE VALORES'!B69</f>
        <v>0</v>
      </c>
      <c r="C69" s="65">
        <f>'COMPOSIÇÃO DE VALORES'!C69</f>
        <v>0</v>
      </c>
      <c r="D69" s="65">
        <f>'COMPOSIÇÃO DE VALORES'!D69</f>
        <v>0</v>
      </c>
      <c r="E69" s="65">
        <f>'COMPOSIÇÃO DE VALORES'!G69</f>
        <v>0</v>
      </c>
      <c r="F69" s="65">
        <f>'COMPOSIÇÃO DE VALORES'!H69</f>
        <v>0</v>
      </c>
      <c r="G69" s="66">
        <f>'COMPOSIÇÃO DE VALORES'!L69</f>
        <v>0</v>
      </c>
      <c r="H69" s="66">
        <f t="shared" si="1"/>
        <v>0</v>
      </c>
      <c r="I69" s="65">
        <f>'COMPOSIÇÃO DE VALORES'!M69</f>
        <v>0</v>
      </c>
    </row>
    <row r="70" spans="1:9" x14ac:dyDescent="0.3">
      <c r="A70" s="64">
        <v>60</v>
      </c>
      <c r="B70" s="65">
        <f>'COMPOSIÇÃO DE VALORES'!B70</f>
        <v>0</v>
      </c>
      <c r="C70" s="65">
        <f>'COMPOSIÇÃO DE VALORES'!C70</f>
        <v>0</v>
      </c>
      <c r="D70" s="65">
        <f>'COMPOSIÇÃO DE VALORES'!D70</f>
        <v>0</v>
      </c>
      <c r="E70" s="65">
        <f>'COMPOSIÇÃO DE VALORES'!G70</f>
        <v>0</v>
      </c>
      <c r="F70" s="65">
        <f>'COMPOSIÇÃO DE VALORES'!H70</f>
        <v>0</v>
      </c>
      <c r="G70" s="66">
        <f>'COMPOSIÇÃO DE VALORES'!L70</f>
        <v>0</v>
      </c>
      <c r="H70" s="66">
        <f t="shared" si="1"/>
        <v>0</v>
      </c>
      <c r="I70" s="65">
        <f>'COMPOSIÇÃO DE VALORES'!M70</f>
        <v>0</v>
      </c>
    </row>
    <row r="71" spans="1:9" x14ac:dyDescent="0.3">
      <c r="A71" s="64">
        <v>61</v>
      </c>
      <c r="B71" s="65">
        <f>'COMPOSIÇÃO DE VALORES'!B71</f>
        <v>0</v>
      </c>
      <c r="C71" s="65">
        <f>'COMPOSIÇÃO DE VALORES'!C71</f>
        <v>0</v>
      </c>
      <c r="D71" s="65">
        <f>'COMPOSIÇÃO DE VALORES'!D71</f>
        <v>0</v>
      </c>
      <c r="E71" s="65">
        <f>'COMPOSIÇÃO DE VALORES'!G71</f>
        <v>0</v>
      </c>
      <c r="F71" s="65">
        <f>'COMPOSIÇÃO DE VALORES'!H71</f>
        <v>0</v>
      </c>
      <c r="G71" s="66">
        <f>'COMPOSIÇÃO DE VALORES'!L71</f>
        <v>0</v>
      </c>
      <c r="H71" s="66">
        <f t="shared" si="1"/>
        <v>0</v>
      </c>
      <c r="I71" s="65">
        <f>'COMPOSIÇÃO DE VALORES'!M71</f>
        <v>0</v>
      </c>
    </row>
    <row r="72" spans="1:9" x14ac:dyDescent="0.3">
      <c r="A72" s="64">
        <v>62</v>
      </c>
      <c r="B72" s="65">
        <f>'COMPOSIÇÃO DE VALORES'!B72</f>
        <v>0</v>
      </c>
      <c r="C72" s="65">
        <f>'COMPOSIÇÃO DE VALORES'!C72</f>
        <v>0</v>
      </c>
      <c r="D72" s="65">
        <f>'COMPOSIÇÃO DE VALORES'!D72</f>
        <v>0</v>
      </c>
      <c r="E72" s="65">
        <f>'COMPOSIÇÃO DE VALORES'!G72</f>
        <v>0</v>
      </c>
      <c r="F72" s="65">
        <f>'COMPOSIÇÃO DE VALORES'!H72</f>
        <v>0</v>
      </c>
      <c r="G72" s="66">
        <f>'COMPOSIÇÃO DE VALORES'!L72</f>
        <v>0</v>
      </c>
      <c r="H72" s="66">
        <f t="shared" si="1"/>
        <v>0</v>
      </c>
      <c r="I72" s="65">
        <f>'COMPOSIÇÃO DE VALORES'!M72</f>
        <v>0</v>
      </c>
    </row>
    <row r="73" spans="1:9" x14ac:dyDescent="0.3">
      <c r="A73" s="64">
        <v>63</v>
      </c>
      <c r="B73" s="65">
        <f>'COMPOSIÇÃO DE VALORES'!B73</f>
        <v>0</v>
      </c>
      <c r="C73" s="65">
        <f>'COMPOSIÇÃO DE VALORES'!C73</f>
        <v>0</v>
      </c>
      <c r="D73" s="65">
        <f>'COMPOSIÇÃO DE VALORES'!D73</f>
        <v>0</v>
      </c>
      <c r="E73" s="65">
        <f>'COMPOSIÇÃO DE VALORES'!G73</f>
        <v>0</v>
      </c>
      <c r="F73" s="65">
        <f>'COMPOSIÇÃO DE VALORES'!H73</f>
        <v>0</v>
      </c>
      <c r="G73" s="66">
        <f>'COMPOSIÇÃO DE VALORES'!L73</f>
        <v>0</v>
      </c>
      <c r="H73" s="66">
        <f t="shared" si="1"/>
        <v>0</v>
      </c>
      <c r="I73" s="65">
        <f>'COMPOSIÇÃO DE VALORES'!M73</f>
        <v>0</v>
      </c>
    </row>
    <row r="74" spans="1:9" x14ac:dyDescent="0.3">
      <c r="A74" s="64">
        <v>64</v>
      </c>
      <c r="B74" s="65">
        <f>'COMPOSIÇÃO DE VALORES'!B74</f>
        <v>0</v>
      </c>
      <c r="C74" s="65">
        <f>'COMPOSIÇÃO DE VALORES'!C74</f>
        <v>0</v>
      </c>
      <c r="D74" s="65">
        <f>'COMPOSIÇÃO DE VALORES'!D74</f>
        <v>0</v>
      </c>
      <c r="E74" s="65">
        <f>'COMPOSIÇÃO DE VALORES'!G74</f>
        <v>0</v>
      </c>
      <c r="F74" s="65">
        <f>'COMPOSIÇÃO DE VALORES'!H74</f>
        <v>0</v>
      </c>
      <c r="G74" s="66">
        <f>'COMPOSIÇÃO DE VALORES'!L74</f>
        <v>0</v>
      </c>
      <c r="H74" s="66">
        <f t="shared" si="1"/>
        <v>0</v>
      </c>
      <c r="I74" s="65">
        <f>'COMPOSIÇÃO DE VALORES'!M74</f>
        <v>0</v>
      </c>
    </row>
    <row r="75" spans="1:9" x14ac:dyDescent="0.3">
      <c r="A75" s="64">
        <v>65</v>
      </c>
      <c r="B75" s="65">
        <f>'COMPOSIÇÃO DE VALORES'!B75</f>
        <v>0</v>
      </c>
      <c r="C75" s="65">
        <f>'COMPOSIÇÃO DE VALORES'!C75</f>
        <v>0</v>
      </c>
      <c r="D75" s="65">
        <f>'COMPOSIÇÃO DE VALORES'!D75</f>
        <v>0</v>
      </c>
      <c r="E75" s="65">
        <f>'COMPOSIÇÃO DE VALORES'!G75</f>
        <v>0</v>
      </c>
      <c r="F75" s="65">
        <f>'COMPOSIÇÃO DE VALORES'!H75</f>
        <v>0</v>
      </c>
      <c r="G75" s="66">
        <f>'COMPOSIÇÃO DE VALORES'!L75</f>
        <v>0</v>
      </c>
      <c r="H75" s="66">
        <f t="shared" ref="H75:H106" si="2">G75*B75</f>
        <v>0</v>
      </c>
      <c r="I75" s="65">
        <f>'COMPOSIÇÃO DE VALORES'!M75</f>
        <v>0</v>
      </c>
    </row>
    <row r="76" spans="1:9" x14ac:dyDescent="0.3">
      <c r="A76" s="64">
        <v>66</v>
      </c>
      <c r="B76" s="65">
        <f>'COMPOSIÇÃO DE VALORES'!B76</f>
        <v>0</v>
      </c>
      <c r="C76" s="65">
        <f>'COMPOSIÇÃO DE VALORES'!C76</f>
        <v>0</v>
      </c>
      <c r="D76" s="65">
        <f>'COMPOSIÇÃO DE VALORES'!D76</f>
        <v>0</v>
      </c>
      <c r="E76" s="65">
        <f>'COMPOSIÇÃO DE VALORES'!G76</f>
        <v>0</v>
      </c>
      <c r="F76" s="65">
        <f>'COMPOSIÇÃO DE VALORES'!H76</f>
        <v>0</v>
      </c>
      <c r="G76" s="66">
        <f>'COMPOSIÇÃO DE VALORES'!L76</f>
        <v>0</v>
      </c>
      <c r="H76" s="66">
        <f t="shared" si="2"/>
        <v>0</v>
      </c>
      <c r="I76" s="65">
        <f>'COMPOSIÇÃO DE VALORES'!M76</f>
        <v>0</v>
      </c>
    </row>
    <row r="77" spans="1:9" x14ac:dyDescent="0.3">
      <c r="A77" s="64">
        <v>67</v>
      </c>
      <c r="B77" s="65">
        <f>'COMPOSIÇÃO DE VALORES'!B77</f>
        <v>0</v>
      </c>
      <c r="C77" s="65">
        <f>'COMPOSIÇÃO DE VALORES'!C77</f>
        <v>0</v>
      </c>
      <c r="D77" s="65">
        <f>'COMPOSIÇÃO DE VALORES'!D77</f>
        <v>0</v>
      </c>
      <c r="E77" s="65">
        <f>'COMPOSIÇÃO DE VALORES'!G77</f>
        <v>0</v>
      </c>
      <c r="F77" s="65">
        <f>'COMPOSIÇÃO DE VALORES'!H77</f>
        <v>0</v>
      </c>
      <c r="G77" s="66">
        <f>'COMPOSIÇÃO DE VALORES'!L77</f>
        <v>0</v>
      </c>
      <c r="H77" s="66">
        <f t="shared" si="2"/>
        <v>0</v>
      </c>
      <c r="I77" s="65">
        <f>'COMPOSIÇÃO DE VALORES'!M77</f>
        <v>0</v>
      </c>
    </row>
    <row r="78" spans="1:9" x14ac:dyDescent="0.3">
      <c r="A78" s="64">
        <v>68</v>
      </c>
      <c r="B78" s="65">
        <f>'COMPOSIÇÃO DE VALORES'!B78</f>
        <v>0</v>
      </c>
      <c r="C78" s="65">
        <f>'COMPOSIÇÃO DE VALORES'!C78</f>
        <v>0</v>
      </c>
      <c r="D78" s="65">
        <f>'COMPOSIÇÃO DE VALORES'!D78</f>
        <v>0</v>
      </c>
      <c r="E78" s="65">
        <f>'COMPOSIÇÃO DE VALORES'!G78</f>
        <v>0</v>
      </c>
      <c r="F78" s="65">
        <f>'COMPOSIÇÃO DE VALORES'!H78</f>
        <v>0</v>
      </c>
      <c r="G78" s="66">
        <f>'COMPOSIÇÃO DE VALORES'!L78</f>
        <v>0</v>
      </c>
      <c r="H78" s="66">
        <f t="shared" si="2"/>
        <v>0</v>
      </c>
      <c r="I78" s="65">
        <f>'COMPOSIÇÃO DE VALORES'!M78</f>
        <v>0</v>
      </c>
    </row>
    <row r="79" spans="1:9" x14ac:dyDescent="0.3">
      <c r="A79" s="64">
        <v>69</v>
      </c>
      <c r="B79" s="65">
        <f>'COMPOSIÇÃO DE VALORES'!B79</f>
        <v>0</v>
      </c>
      <c r="C79" s="65">
        <f>'COMPOSIÇÃO DE VALORES'!C79</f>
        <v>0</v>
      </c>
      <c r="D79" s="65">
        <f>'COMPOSIÇÃO DE VALORES'!D79</f>
        <v>0</v>
      </c>
      <c r="E79" s="65">
        <f>'COMPOSIÇÃO DE VALORES'!G79</f>
        <v>0</v>
      </c>
      <c r="F79" s="65">
        <f>'COMPOSIÇÃO DE VALORES'!H79</f>
        <v>0</v>
      </c>
      <c r="G79" s="66">
        <f>'COMPOSIÇÃO DE VALORES'!L79</f>
        <v>0</v>
      </c>
      <c r="H79" s="66">
        <f t="shared" si="2"/>
        <v>0</v>
      </c>
      <c r="I79" s="65">
        <f>'COMPOSIÇÃO DE VALORES'!M79</f>
        <v>0</v>
      </c>
    </row>
    <row r="80" spans="1:9" x14ac:dyDescent="0.3">
      <c r="A80" s="64">
        <v>70</v>
      </c>
      <c r="B80" s="65">
        <f>'COMPOSIÇÃO DE VALORES'!B80</f>
        <v>0</v>
      </c>
      <c r="C80" s="65">
        <f>'COMPOSIÇÃO DE VALORES'!C80</f>
        <v>0</v>
      </c>
      <c r="D80" s="65">
        <f>'COMPOSIÇÃO DE VALORES'!D80</f>
        <v>0</v>
      </c>
      <c r="E80" s="65">
        <f>'COMPOSIÇÃO DE VALORES'!G80</f>
        <v>0</v>
      </c>
      <c r="F80" s="65">
        <f>'COMPOSIÇÃO DE VALORES'!H80</f>
        <v>0</v>
      </c>
      <c r="G80" s="66">
        <f>'COMPOSIÇÃO DE VALORES'!L80</f>
        <v>0</v>
      </c>
      <c r="H80" s="66">
        <f t="shared" si="2"/>
        <v>0</v>
      </c>
      <c r="I80" s="65">
        <f>'COMPOSIÇÃO DE VALORES'!M80</f>
        <v>0</v>
      </c>
    </row>
    <row r="81" spans="1:9" x14ac:dyDescent="0.3">
      <c r="A81" s="64">
        <v>71</v>
      </c>
      <c r="B81" s="65">
        <f>'COMPOSIÇÃO DE VALORES'!B81</f>
        <v>0</v>
      </c>
      <c r="C81" s="65">
        <f>'COMPOSIÇÃO DE VALORES'!C81</f>
        <v>0</v>
      </c>
      <c r="D81" s="65">
        <f>'COMPOSIÇÃO DE VALORES'!D81</f>
        <v>0</v>
      </c>
      <c r="E81" s="65">
        <f>'COMPOSIÇÃO DE VALORES'!G81</f>
        <v>0</v>
      </c>
      <c r="F81" s="65">
        <f>'COMPOSIÇÃO DE VALORES'!H81</f>
        <v>0</v>
      </c>
      <c r="G81" s="66">
        <f>'COMPOSIÇÃO DE VALORES'!L81</f>
        <v>0</v>
      </c>
      <c r="H81" s="66">
        <f t="shared" si="2"/>
        <v>0</v>
      </c>
      <c r="I81" s="65">
        <f>'COMPOSIÇÃO DE VALORES'!M81</f>
        <v>0</v>
      </c>
    </row>
    <row r="82" spans="1:9" x14ac:dyDescent="0.3">
      <c r="A82" s="64">
        <v>72</v>
      </c>
      <c r="B82" s="65">
        <f>'COMPOSIÇÃO DE VALORES'!B82</f>
        <v>0</v>
      </c>
      <c r="C82" s="65">
        <f>'COMPOSIÇÃO DE VALORES'!C82</f>
        <v>0</v>
      </c>
      <c r="D82" s="65">
        <f>'COMPOSIÇÃO DE VALORES'!D82</f>
        <v>0</v>
      </c>
      <c r="E82" s="65">
        <f>'COMPOSIÇÃO DE VALORES'!G82</f>
        <v>0</v>
      </c>
      <c r="F82" s="65">
        <f>'COMPOSIÇÃO DE VALORES'!H82</f>
        <v>0</v>
      </c>
      <c r="G82" s="66">
        <f>'COMPOSIÇÃO DE VALORES'!L82</f>
        <v>0</v>
      </c>
      <c r="H82" s="66">
        <f t="shared" si="2"/>
        <v>0</v>
      </c>
      <c r="I82" s="65">
        <f>'COMPOSIÇÃO DE VALORES'!M82</f>
        <v>0</v>
      </c>
    </row>
    <row r="83" spans="1:9" x14ac:dyDescent="0.3">
      <c r="A83" s="64">
        <v>73</v>
      </c>
      <c r="B83" s="65">
        <f>'COMPOSIÇÃO DE VALORES'!B83</f>
        <v>0</v>
      </c>
      <c r="C83" s="65">
        <f>'COMPOSIÇÃO DE VALORES'!C83</f>
        <v>0</v>
      </c>
      <c r="D83" s="65">
        <f>'COMPOSIÇÃO DE VALORES'!D83</f>
        <v>0</v>
      </c>
      <c r="E83" s="65">
        <f>'COMPOSIÇÃO DE VALORES'!G83</f>
        <v>0</v>
      </c>
      <c r="F83" s="65">
        <f>'COMPOSIÇÃO DE VALORES'!H83</f>
        <v>0</v>
      </c>
      <c r="G83" s="66">
        <f>'COMPOSIÇÃO DE VALORES'!L83</f>
        <v>0</v>
      </c>
      <c r="H83" s="66">
        <f t="shared" si="2"/>
        <v>0</v>
      </c>
      <c r="I83" s="65">
        <f>'COMPOSIÇÃO DE VALORES'!M83</f>
        <v>0</v>
      </c>
    </row>
    <row r="84" spans="1:9" x14ac:dyDescent="0.3">
      <c r="A84" s="64">
        <v>74</v>
      </c>
      <c r="B84" s="65">
        <f>'COMPOSIÇÃO DE VALORES'!B84</f>
        <v>0</v>
      </c>
      <c r="C84" s="65">
        <f>'COMPOSIÇÃO DE VALORES'!C84</f>
        <v>0</v>
      </c>
      <c r="D84" s="65">
        <f>'COMPOSIÇÃO DE VALORES'!D84</f>
        <v>0</v>
      </c>
      <c r="E84" s="65">
        <f>'COMPOSIÇÃO DE VALORES'!G84</f>
        <v>0</v>
      </c>
      <c r="F84" s="65">
        <f>'COMPOSIÇÃO DE VALORES'!H84</f>
        <v>0</v>
      </c>
      <c r="G84" s="66">
        <f>'COMPOSIÇÃO DE VALORES'!L84</f>
        <v>0</v>
      </c>
      <c r="H84" s="66">
        <f t="shared" si="2"/>
        <v>0</v>
      </c>
      <c r="I84" s="65">
        <f>'COMPOSIÇÃO DE VALORES'!M84</f>
        <v>0</v>
      </c>
    </row>
    <row r="85" spans="1:9" x14ac:dyDescent="0.3">
      <c r="A85" s="64">
        <v>75</v>
      </c>
      <c r="B85" s="65">
        <f>'COMPOSIÇÃO DE VALORES'!B85</f>
        <v>0</v>
      </c>
      <c r="C85" s="65">
        <f>'COMPOSIÇÃO DE VALORES'!C85</f>
        <v>0</v>
      </c>
      <c r="D85" s="65">
        <f>'COMPOSIÇÃO DE VALORES'!D85</f>
        <v>0</v>
      </c>
      <c r="E85" s="65">
        <f>'COMPOSIÇÃO DE VALORES'!G85</f>
        <v>0</v>
      </c>
      <c r="F85" s="65">
        <f>'COMPOSIÇÃO DE VALORES'!H85</f>
        <v>0</v>
      </c>
      <c r="G85" s="66">
        <f>'COMPOSIÇÃO DE VALORES'!L85</f>
        <v>0</v>
      </c>
      <c r="H85" s="66">
        <f t="shared" si="2"/>
        <v>0</v>
      </c>
      <c r="I85" s="65">
        <f>'COMPOSIÇÃO DE VALORES'!M85</f>
        <v>0</v>
      </c>
    </row>
    <row r="86" spans="1:9" x14ac:dyDescent="0.3">
      <c r="A86" s="64">
        <v>76</v>
      </c>
      <c r="B86" s="65">
        <f>'COMPOSIÇÃO DE VALORES'!B86</f>
        <v>0</v>
      </c>
      <c r="C86" s="65">
        <f>'COMPOSIÇÃO DE VALORES'!C86</f>
        <v>0</v>
      </c>
      <c r="D86" s="65">
        <f>'COMPOSIÇÃO DE VALORES'!D86</f>
        <v>0</v>
      </c>
      <c r="E86" s="65">
        <f>'COMPOSIÇÃO DE VALORES'!G86</f>
        <v>0</v>
      </c>
      <c r="F86" s="65">
        <f>'COMPOSIÇÃO DE VALORES'!H86</f>
        <v>0</v>
      </c>
      <c r="G86" s="66">
        <f>'COMPOSIÇÃO DE VALORES'!L86</f>
        <v>0</v>
      </c>
      <c r="H86" s="66">
        <f t="shared" si="2"/>
        <v>0</v>
      </c>
      <c r="I86" s="65">
        <f>'COMPOSIÇÃO DE VALORES'!M86</f>
        <v>0</v>
      </c>
    </row>
    <row r="87" spans="1:9" x14ac:dyDescent="0.3">
      <c r="A87" s="64">
        <v>77</v>
      </c>
      <c r="B87" s="65">
        <f>'COMPOSIÇÃO DE VALORES'!B87</f>
        <v>0</v>
      </c>
      <c r="C87" s="65">
        <f>'COMPOSIÇÃO DE VALORES'!C87</f>
        <v>0</v>
      </c>
      <c r="D87" s="65">
        <f>'COMPOSIÇÃO DE VALORES'!D87</f>
        <v>0</v>
      </c>
      <c r="E87" s="65">
        <f>'COMPOSIÇÃO DE VALORES'!G87</f>
        <v>0</v>
      </c>
      <c r="F87" s="65">
        <f>'COMPOSIÇÃO DE VALORES'!H87</f>
        <v>0</v>
      </c>
      <c r="G87" s="66">
        <f>'COMPOSIÇÃO DE VALORES'!L87</f>
        <v>0</v>
      </c>
      <c r="H87" s="66">
        <f t="shared" si="2"/>
        <v>0</v>
      </c>
      <c r="I87" s="65">
        <f>'COMPOSIÇÃO DE VALORES'!M87</f>
        <v>0</v>
      </c>
    </row>
    <row r="88" spans="1:9" x14ac:dyDescent="0.3">
      <c r="A88" s="64">
        <v>78</v>
      </c>
      <c r="B88" s="65">
        <f>'COMPOSIÇÃO DE VALORES'!B88</f>
        <v>0</v>
      </c>
      <c r="C88" s="65">
        <f>'COMPOSIÇÃO DE VALORES'!C88</f>
        <v>0</v>
      </c>
      <c r="D88" s="65">
        <f>'COMPOSIÇÃO DE VALORES'!D88</f>
        <v>0</v>
      </c>
      <c r="E88" s="65">
        <f>'COMPOSIÇÃO DE VALORES'!G88</f>
        <v>0</v>
      </c>
      <c r="F88" s="65">
        <f>'COMPOSIÇÃO DE VALORES'!H88</f>
        <v>0</v>
      </c>
      <c r="G88" s="66">
        <f>'COMPOSIÇÃO DE VALORES'!L88</f>
        <v>0</v>
      </c>
      <c r="H88" s="66">
        <f t="shared" si="2"/>
        <v>0</v>
      </c>
      <c r="I88" s="65">
        <f>'COMPOSIÇÃO DE VALORES'!M88</f>
        <v>0</v>
      </c>
    </row>
    <row r="89" spans="1:9" x14ac:dyDescent="0.3">
      <c r="A89" s="64">
        <v>79</v>
      </c>
      <c r="B89" s="65">
        <f>'COMPOSIÇÃO DE VALORES'!B89</f>
        <v>0</v>
      </c>
      <c r="C89" s="65">
        <f>'COMPOSIÇÃO DE VALORES'!C89</f>
        <v>0</v>
      </c>
      <c r="D89" s="65">
        <f>'COMPOSIÇÃO DE VALORES'!D89</f>
        <v>0</v>
      </c>
      <c r="E89" s="65">
        <f>'COMPOSIÇÃO DE VALORES'!G89</f>
        <v>0</v>
      </c>
      <c r="F89" s="65">
        <f>'COMPOSIÇÃO DE VALORES'!H89</f>
        <v>0</v>
      </c>
      <c r="G89" s="66">
        <f>'COMPOSIÇÃO DE VALORES'!L89</f>
        <v>0</v>
      </c>
      <c r="H89" s="66">
        <f t="shared" si="2"/>
        <v>0</v>
      </c>
      <c r="I89" s="65">
        <f>'COMPOSIÇÃO DE VALORES'!M89</f>
        <v>0</v>
      </c>
    </row>
    <row r="90" spans="1:9" x14ac:dyDescent="0.3">
      <c r="A90" s="64">
        <v>80</v>
      </c>
      <c r="B90" s="65">
        <f>'COMPOSIÇÃO DE VALORES'!B90</f>
        <v>0</v>
      </c>
      <c r="C90" s="65">
        <f>'COMPOSIÇÃO DE VALORES'!C90</f>
        <v>0</v>
      </c>
      <c r="D90" s="65">
        <f>'COMPOSIÇÃO DE VALORES'!D90</f>
        <v>0</v>
      </c>
      <c r="E90" s="65">
        <f>'COMPOSIÇÃO DE VALORES'!G90</f>
        <v>0</v>
      </c>
      <c r="F90" s="65">
        <f>'COMPOSIÇÃO DE VALORES'!H90</f>
        <v>0</v>
      </c>
      <c r="G90" s="66">
        <f>'COMPOSIÇÃO DE VALORES'!L90</f>
        <v>0</v>
      </c>
      <c r="H90" s="66">
        <f t="shared" si="2"/>
        <v>0</v>
      </c>
      <c r="I90" s="65">
        <f>'COMPOSIÇÃO DE VALORES'!M90</f>
        <v>0</v>
      </c>
    </row>
    <row r="91" spans="1:9" x14ac:dyDescent="0.3">
      <c r="A91" s="64">
        <v>81</v>
      </c>
      <c r="B91" s="65">
        <f>'COMPOSIÇÃO DE VALORES'!B91</f>
        <v>0</v>
      </c>
      <c r="C91" s="65">
        <f>'COMPOSIÇÃO DE VALORES'!C91</f>
        <v>0</v>
      </c>
      <c r="D91" s="65">
        <f>'COMPOSIÇÃO DE VALORES'!D91</f>
        <v>0</v>
      </c>
      <c r="E91" s="65">
        <f>'COMPOSIÇÃO DE VALORES'!G91</f>
        <v>0</v>
      </c>
      <c r="F91" s="65">
        <f>'COMPOSIÇÃO DE VALORES'!H91</f>
        <v>0</v>
      </c>
      <c r="G91" s="66">
        <f>'COMPOSIÇÃO DE VALORES'!L91</f>
        <v>0</v>
      </c>
      <c r="H91" s="66">
        <f t="shared" si="2"/>
        <v>0</v>
      </c>
      <c r="I91" s="65">
        <f>'COMPOSIÇÃO DE VALORES'!M91</f>
        <v>0</v>
      </c>
    </row>
    <row r="92" spans="1:9" x14ac:dyDescent="0.3">
      <c r="A92" s="64">
        <v>82</v>
      </c>
      <c r="B92" s="65">
        <f>'COMPOSIÇÃO DE VALORES'!B92</f>
        <v>0</v>
      </c>
      <c r="C92" s="65">
        <f>'COMPOSIÇÃO DE VALORES'!C92</f>
        <v>0</v>
      </c>
      <c r="D92" s="65">
        <f>'COMPOSIÇÃO DE VALORES'!D92</f>
        <v>0</v>
      </c>
      <c r="E92" s="65">
        <f>'COMPOSIÇÃO DE VALORES'!G92</f>
        <v>0</v>
      </c>
      <c r="F92" s="65">
        <f>'COMPOSIÇÃO DE VALORES'!H92</f>
        <v>0</v>
      </c>
      <c r="G92" s="66">
        <f>'COMPOSIÇÃO DE VALORES'!L92</f>
        <v>0</v>
      </c>
      <c r="H92" s="66">
        <f t="shared" si="2"/>
        <v>0</v>
      </c>
      <c r="I92" s="65">
        <f>'COMPOSIÇÃO DE VALORES'!M92</f>
        <v>0</v>
      </c>
    </row>
    <row r="93" spans="1:9" x14ac:dyDescent="0.3">
      <c r="A93" s="64">
        <v>83</v>
      </c>
      <c r="B93" s="65">
        <f>'COMPOSIÇÃO DE VALORES'!B93</f>
        <v>0</v>
      </c>
      <c r="C93" s="65">
        <f>'COMPOSIÇÃO DE VALORES'!C93</f>
        <v>0</v>
      </c>
      <c r="D93" s="65">
        <f>'COMPOSIÇÃO DE VALORES'!D93</f>
        <v>0</v>
      </c>
      <c r="E93" s="65">
        <f>'COMPOSIÇÃO DE VALORES'!G93</f>
        <v>0</v>
      </c>
      <c r="F93" s="65">
        <f>'COMPOSIÇÃO DE VALORES'!H93</f>
        <v>0</v>
      </c>
      <c r="G93" s="66">
        <f>'COMPOSIÇÃO DE VALORES'!L93</f>
        <v>0</v>
      </c>
      <c r="H93" s="66">
        <f t="shared" si="2"/>
        <v>0</v>
      </c>
      <c r="I93" s="65">
        <f>'COMPOSIÇÃO DE VALORES'!M93</f>
        <v>0</v>
      </c>
    </row>
    <row r="94" spans="1:9" x14ac:dyDescent="0.3">
      <c r="A94" s="64">
        <v>84</v>
      </c>
      <c r="B94" s="65">
        <f>'COMPOSIÇÃO DE VALORES'!B94</f>
        <v>0</v>
      </c>
      <c r="C94" s="65">
        <f>'COMPOSIÇÃO DE VALORES'!C94</f>
        <v>0</v>
      </c>
      <c r="D94" s="65">
        <f>'COMPOSIÇÃO DE VALORES'!D94</f>
        <v>0</v>
      </c>
      <c r="E94" s="65">
        <f>'COMPOSIÇÃO DE VALORES'!G94</f>
        <v>0</v>
      </c>
      <c r="F94" s="65">
        <f>'COMPOSIÇÃO DE VALORES'!H94</f>
        <v>0</v>
      </c>
      <c r="G94" s="66">
        <f>'COMPOSIÇÃO DE VALORES'!L94</f>
        <v>0</v>
      </c>
      <c r="H94" s="66">
        <f t="shared" si="2"/>
        <v>0</v>
      </c>
      <c r="I94" s="65">
        <f>'COMPOSIÇÃO DE VALORES'!M94</f>
        <v>0</v>
      </c>
    </row>
    <row r="95" spans="1:9" x14ac:dyDescent="0.3">
      <c r="A95" s="64">
        <v>85</v>
      </c>
      <c r="B95" s="65">
        <f>'COMPOSIÇÃO DE VALORES'!B95</f>
        <v>0</v>
      </c>
      <c r="C95" s="65">
        <f>'COMPOSIÇÃO DE VALORES'!C95</f>
        <v>0</v>
      </c>
      <c r="D95" s="65">
        <f>'COMPOSIÇÃO DE VALORES'!D95</f>
        <v>0</v>
      </c>
      <c r="E95" s="65">
        <f>'COMPOSIÇÃO DE VALORES'!G95</f>
        <v>0</v>
      </c>
      <c r="F95" s="65">
        <f>'COMPOSIÇÃO DE VALORES'!H95</f>
        <v>0</v>
      </c>
      <c r="G95" s="66">
        <f>'COMPOSIÇÃO DE VALORES'!L95</f>
        <v>0</v>
      </c>
      <c r="H95" s="66">
        <f t="shared" si="2"/>
        <v>0</v>
      </c>
      <c r="I95" s="65">
        <f>'COMPOSIÇÃO DE VALORES'!M95</f>
        <v>0</v>
      </c>
    </row>
    <row r="96" spans="1:9" x14ac:dyDescent="0.3">
      <c r="A96" s="64">
        <v>86</v>
      </c>
      <c r="B96" s="65">
        <f>'COMPOSIÇÃO DE VALORES'!B96</f>
        <v>0</v>
      </c>
      <c r="C96" s="65">
        <f>'COMPOSIÇÃO DE VALORES'!C96</f>
        <v>0</v>
      </c>
      <c r="D96" s="65">
        <f>'COMPOSIÇÃO DE VALORES'!D96</f>
        <v>0</v>
      </c>
      <c r="E96" s="65">
        <f>'COMPOSIÇÃO DE VALORES'!G96</f>
        <v>0</v>
      </c>
      <c r="F96" s="65">
        <f>'COMPOSIÇÃO DE VALORES'!H96</f>
        <v>0</v>
      </c>
      <c r="G96" s="66">
        <f>'COMPOSIÇÃO DE VALORES'!L96</f>
        <v>0</v>
      </c>
      <c r="H96" s="66">
        <f t="shared" si="2"/>
        <v>0</v>
      </c>
      <c r="I96" s="65">
        <f>'COMPOSIÇÃO DE VALORES'!M96</f>
        <v>0</v>
      </c>
    </row>
    <row r="97" spans="1:9" x14ac:dyDescent="0.3">
      <c r="A97" s="64">
        <v>87</v>
      </c>
      <c r="B97" s="65">
        <f>'COMPOSIÇÃO DE VALORES'!B97</f>
        <v>0</v>
      </c>
      <c r="C97" s="65">
        <f>'COMPOSIÇÃO DE VALORES'!C97</f>
        <v>0</v>
      </c>
      <c r="D97" s="65">
        <f>'COMPOSIÇÃO DE VALORES'!D97</f>
        <v>0</v>
      </c>
      <c r="E97" s="65">
        <f>'COMPOSIÇÃO DE VALORES'!G97</f>
        <v>0</v>
      </c>
      <c r="F97" s="65">
        <f>'COMPOSIÇÃO DE VALORES'!H97</f>
        <v>0</v>
      </c>
      <c r="G97" s="66">
        <f>'COMPOSIÇÃO DE VALORES'!L97</f>
        <v>0</v>
      </c>
      <c r="H97" s="66">
        <f t="shared" si="2"/>
        <v>0</v>
      </c>
      <c r="I97" s="65">
        <f>'COMPOSIÇÃO DE VALORES'!M97</f>
        <v>0</v>
      </c>
    </row>
    <row r="98" spans="1:9" x14ac:dyDescent="0.3">
      <c r="A98" s="64">
        <v>88</v>
      </c>
      <c r="B98" s="65">
        <f>'COMPOSIÇÃO DE VALORES'!B98</f>
        <v>0</v>
      </c>
      <c r="C98" s="65">
        <f>'COMPOSIÇÃO DE VALORES'!C98</f>
        <v>0</v>
      </c>
      <c r="D98" s="65">
        <f>'COMPOSIÇÃO DE VALORES'!D98</f>
        <v>0</v>
      </c>
      <c r="E98" s="65">
        <f>'COMPOSIÇÃO DE VALORES'!G98</f>
        <v>0</v>
      </c>
      <c r="F98" s="65">
        <f>'COMPOSIÇÃO DE VALORES'!H98</f>
        <v>0</v>
      </c>
      <c r="G98" s="66">
        <f>'COMPOSIÇÃO DE VALORES'!L98</f>
        <v>0</v>
      </c>
      <c r="H98" s="66">
        <f t="shared" si="2"/>
        <v>0</v>
      </c>
      <c r="I98" s="65">
        <f>'COMPOSIÇÃO DE VALORES'!M98</f>
        <v>0</v>
      </c>
    </row>
    <row r="99" spans="1:9" x14ac:dyDescent="0.3">
      <c r="A99" s="64">
        <v>89</v>
      </c>
      <c r="B99" s="65">
        <f>'COMPOSIÇÃO DE VALORES'!B99</f>
        <v>0</v>
      </c>
      <c r="C99" s="65">
        <f>'COMPOSIÇÃO DE VALORES'!C99</f>
        <v>0</v>
      </c>
      <c r="D99" s="65">
        <f>'COMPOSIÇÃO DE VALORES'!D99</f>
        <v>0</v>
      </c>
      <c r="E99" s="65">
        <f>'COMPOSIÇÃO DE VALORES'!G99</f>
        <v>0</v>
      </c>
      <c r="F99" s="65">
        <f>'COMPOSIÇÃO DE VALORES'!H99</f>
        <v>0</v>
      </c>
      <c r="G99" s="66">
        <f>'COMPOSIÇÃO DE VALORES'!L99</f>
        <v>0</v>
      </c>
      <c r="H99" s="66">
        <f t="shared" si="2"/>
        <v>0</v>
      </c>
      <c r="I99" s="65">
        <f>'COMPOSIÇÃO DE VALORES'!M99</f>
        <v>0</v>
      </c>
    </row>
    <row r="100" spans="1:9" x14ac:dyDescent="0.3">
      <c r="A100" s="64">
        <v>90</v>
      </c>
      <c r="B100" s="65">
        <f>'COMPOSIÇÃO DE VALORES'!B100</f>
        <v>0</v>
      </c>
      <c r="C100" s="65">
        <f>'COMPOSIÇÃO DE VALORES'!C100</f>
        <v>0</v>
      </c>
      <c r="D100" s="65">
        <f>'COMPOSIÇÃO DE VALORES'!D100</f>
        <v>0</v>
      </c>
      <c r="E100" s="65">
        <f>'COMPOSIÇÃO DE VALORES'!G100</f>
        <v>0</v>
      </c>
      <c r="F100" s="65">
        <f>'COMPOSIÇÃO DE VALORES'!H100</f>
        <v>0</v>
      </c>
      <c r="G100" s="66">
        <f>'COMPOSIÇÃO DE VALORES'!L100</f>
        <v>0</v>
      </c>
      <c r="H100" s="66">
        <f t="shared" si="2"/>
        <v>0</v>
      </c>
      <c r="I100" s="65">
        <f>'COMPOSIÇÃO DE VALORES'!M100</f>
        <v>0</v>
      </c>
    </row>
    <row r="101" spans="1:9" x14ac:dyDescent="0.3">
      <c r="A101" s="64">
        <v>91</v>
      </c>
      <c r="B101" s="65">
        <f>'COMPOSIÇÃO DE VALORES'!B101</f>
        <v>0</v>
      </c>
      <c r="C101" s="65">
        <f>'COMPOSIÇÃO DE VALORES'!C101</f>
        <v>0</v>
      </c>
      <c r="D101" s="65">
        <f>'COMPOSIÇÃO DE VALORES'!D101</f>
        <v>0</v>
      </c>
      <c r="E101" s="65">
        <f>'COMPOSIÇÃO DE VALORES'!G101</f>
        <v>0</v>
      </c>
      <c r="F101" s="65">
        <f>'COMPOSIÇÃO DE VALORES'!H101</f>
        <v>0</v>
      </c>
      <c r="G101" s="66">
        <f>'COMPOSIÇÃO DE VALORES'!L101</f>
        <v>0</v>
      </c>
      <c r="H101" s="66">
        <f t="shared" si="2"/>
        <v>0</v>
      </c>
      <c r="I101" s="65">
        <f>'COMPOSIÇÃO DE VALORES'!M101</f>
        <v>0</v>
      </c>
    </row>
    <row r="102" spans="1:9" x14ac:dyDescent="0.3">
      <c r="A102" s="64">
        <v>92</v>
      </c>
      <c r="B102" s="65">
        <f>'COMPOSIÇÃO DE VALORES'!B102</f>
        <v>0</v>
      </c>
      <c r="C102" s="65">
        <f>'COMPOSIÇÃO DE VALORES'!C102</f>
        <v>0</v>
      </c>
      <c r="D102" s="65">
        <f>'COMPOSIÇÃO DE VALORES'!D102</f>
        <v>0</v>
      </c>
      <c r="E102" s="65">
        <f>'COMPOSIÇÃO DE VALORES'!G102</f>
        <v>0</v>
      </c>
      <c r="F102" s="65">
        <f>'COMPOSIÇÃO DE VALORES'!H102</f>
        <v>0</v>
      </c>
      <c r="G102" s="66">
        <f>'COMPOSIÇÃO DE VALORES'!L102</f>
        <v>0</v>
      </c>
      <c r="H102" s="66">
        <f t="shared" si="2"/>
        <v>0</v>
      </c>
      <c r="I102" s="65">
        <f>'COMPOSIÇÃO DE VALORES'!M102</f>
        <v>0</v>
      </c>
    </row>
    <row r="103" spans="1:9" x14ac:dyDescent="0.3">
      <c r="A103" s="64">
        <v>93</v>
      </c>
      <c r="B103" s="65">
        <f>'COMPOSIÇÃO DE VALORES'!B103</f>
        <v>0</v>
      </c>
      <c r="C103" s="65">
        <f>'COMPOSIÇÃO DE VALORES'!C103</f>
        <v>0</v>
      </c>
      <c r="D103" s="65">
        <f>'COMPOSIÇÃO DE VALORES'!D103</f>
        <v>0</v>
      </c>
      <c r="E103" s="65">
        <f>'COMPOSIÇÃO DE VALORES'!G103</f>
        <v>0</v>
      </c>
      <c r="F103" s="65">
        <f>'COMPOSIÇÃO DE VALORES'!H103</f>
        <v>0</v>
      </c>
      <c r="G103" s="66">
        <f>'COMPOSIÇÃO DE VALORES'!L103</f>
        <v>0</v>
      </c>
      <c r="H103" s="66">
        <f t="shared" si="2"/>
        <v>0</v>
      </c>
      <c r="I103" s="65">
        <f>'COMPOSIÇÃO DE VALORES'!M103</f>
        <v>0</v>
      </c>
    </row>
    <row r="104" spans="1:9" x14ac:dyDescent="0.3">
      <c r="A104" s="64">
        <v>94</v>
      </c>
      <c r="B104" s="65">
        <f>'COMPOSIÇÃO DE VALORES'!B104</f>
        <v>0</v>
      </c>
      <c r="C104" s="65">
        <f>'COMPOSIÇÃO DE VALORES'!C104</f>
        <v>0</v>
      </c>
      <c r="D104" s="65">
        <f>'COMPOSIÇÃO DE VALORES'!D104</f>
        <v>0</v>
      </c>
      <c r="E104" s="65">
        <f>'COMPOSIÇÃO DE VALORES'!G104</f>
        <v>0</v>
      </c>
      <c r="F104" s="65">
        <f>'COMPOSIÇÃO DE VALORES'!H104</f>
        <v>0</v>
      </c>
      <c r="G104" s="66">
        <f>'COMPOSIÇÃO DE VALORES'!L104</f>
        <v>0</v>
      </c>
      <c r="H104" s="66">
        <f t="shared" si="2"/>
        <v>0</v>
      </c>
      <c r="I104" s="65">
        <f>'COMPOSIÇÃO DE VALORES'!M104</f>
        <v>0</v>
      </c>
    </row>
    <row r="105" spans="1:9" x14ac:dyDescent="0.3">
      <c r="A105" s="64">
        <v>95</v>
      </c>
      <c r="B105" s="65">
        <f>'COMPOSIÇÃO DE VALORES'!B105</f>
        <v>0</v>
      </c>
      <c r="C105" s="65">
        <f>'COMPOSIÇÃO DE VALORES'!C105</f>
        <v>0</v>
      </c>
      <c r="D105" s="65">
        <f>'COMPOSIÇÃO DE VALORES'!D105</f>
        <v>0</v>
      </c>
      <c r="E105" s="65">
        <f>'COMPOSIÇÃO DE VALORES'!G105</f>
        <v>0</v>
      </c>
      <c r="F105" s="65">
        <f>'COMPOSIÇÃO DE VALORES'!H105</f>
        <v>0</v>
      </c>
      <c r="G105" s="66">
        <f>'COMPOSIÇÃO DE VALORES'!L105</f>
        <v>0</v>
      </c>
      <c r="H105" s="66">
        <f t="shared" si="2"/>
        <v>0</v>
      </c>
      <c r="I105" s="65">
        <f>'COMPOSIÇÃO DE VALORES'!M105</f>
        <v>0</v>
      </c>
    </row>
    <row r="106" spans="1:9" x14ac:dyDescent="0.3">
      <c r="A106" s="64">
        <v>96</v>
      </c>
      <c r="B106" s="65">
        <f>'COMPOSIÇÃO DE VALORES'!B106</f>
        <v>0</v>
      </c>
      <c r="C106" s="65">
        <f>'COMPOSIÇÃO DE VALORES'!C106</f>
        <v>0</v>
      </c>
      <c r="D106" s="65">
        <f>'COMPOSIÇÃO DE VALORES'!D106</f>
        <v>0</v>
      </c>
      <c r="E106" s="65">
        <f>'COMPOSIÇÃO DE VALORES'!G106</f>
        <v>0</v>
      </c>
      <c r="F106" s="65">
        <f>'COMPOSIÇÃO DE VALORES'!H106</f>
        <v>0</v>
      </c>
      <c r="G106" s="66">
        <f>'COMPOSIÇÃO DE VALORES'!L106</f>
        <v>0</v>
      </c>
      <c r="H106" s="66">
        <f t="shared" si="2"/>
        <v>0</v>
      </c>
      <c r="I106" s="65">
        <f>'COMPOSIÇÃO DE VALORES'!M106</f>
        <v>0</v>
      </c>
    </row>
    <row r="107" spans="1:9" x14ac:dyDescent="0.3">
      <c r="A107" s="64">
        <v>97</v>
      </c>
      <c r="B107" s="65">
        <f>'COMPOSIÇÃO DE VALORES'!B107</f>
        <v>0</v>
      </c>
      <c r="C107" s="65">
        <f>'COMPOSIÇÃO DE VALORES'!C107</f>
        <v>0</v>
      </c>
      <c r="D107" s="65">
        <f>'COMPOSIÇÃO DE VALORES'!D107</f>
        <v>0</v>
      </c>
      <c r="E107" s="65">
        <f>'COMPOSIÇÃO DE VALORES'!G107</f>
        <v>0</v>
      </c>
      <c r="F107" s="65">
        <f>'COMPOSIÇÃO DE VALORES'!H107</f>
        <v>0</v>
      </c>
      <c r="G107" s="66">
        <f>'COMPOSIÇÃO DE VALORES'!L107</f>
        <v>0</v>
      </c>
      <c r="H107" s="66">
        <f t="shared" ref="H107:H110" si="3">G107*B107</f>
        <v>0</v>
      </c>
      <c r="I107" s="65">
        <f>'COMPOSIÇÃO DE VALORES'!M107</f>
        <v>0</v>
      </c>
    </row>
    <row r="108" spans="1:9" x14ac:dyDescent="0.3">
      <c r="A108" s="64">
        <v>98</v>
      </c>
      <c r="B108" s="65">
        <f>'COMPOSIÇÃO DE VALORES'!B108</f>
        <v>0</v>
      </c>
      <c r="C108" s="65">
        <f>'COMPOSIÇÃO DE VALORES'!C108</f>
        <v>0</v>
      </c>
      <c r="D108" s="65">
        <f>'COMPOSIÇÃO DE VALORES'!D108</f>
        <v>0</v>
      </c>
      <c r="E108" s="65">
        <f>'COMPOSIÇÃO DE VALORES'!G108</f>
        <v>0</v>
      </c>
      <c r="F108" s="65">
        <f>'COMPOSIÇÃO DE VALORES'!H108</f>
        <v>0</v>
      </c>
      <c r="G108" s="66">
        <f>'COMPOSIÇÃO DE VALORES'!L108</f>
        <v>0</v>
      </c>
      <c r="H108" s="66">
        <f t="shared" si="3"/>
        <v>0</v>
      </c>
      <c r="I108" s="65">
        <f>'COMPOSIÇÃO DE VALORES'!M108</f>
        <v>0</v>
      </c>
    </row>
    <row r="109" spans="1:9" x14ac:dyDescent="0.3">
      <c r="A109" s="64">
        <v>99</v>
      </c>
      <c r="B109" s="65">
        <f>'COMPOSIÇÃO DE VALORES'!B109</f>
        <v>0</v>
      </c>
      <c r="C109" s="65">
        <f>'COMPOSIÇÃO DE VALORES'!C109</f>
        <v>0</v>
      </c>
      <c r="D109" s="65">
        <f>'COMPOSIÇÃO DE VALORES'!D109</f>
        <v>0</v>
      </c>
      <c r="E109" s="65">
        <f>'COMPOSIÇÃO DE VALORES'!G109</f>
        <v>0</v>
      </c>
      <c r="F109" s="65">
        <f>'COMPOSIÇÃO DE VALORES'!H109</f>
        <v>0</v>
      </c>
      <c r="G109" s="66">
        <f>'COMPOSIÇÃO DE VALORES'!L109</f>
        <v>0</v>
      </c>
      <c r="H109" s="66">
        <f t="shared" si="3"/>
        <v>0</v>
      </c>
      <c r="I109" s="65">
        <f>'COMPOSIÇÃO DE VALORES'!M109</f>
        <v>0</v>
      </c>
    </row>
    <row r="110" spans="1:9" x14ac:dyDescent="0.3">
      <c r="A110" s="64">
        <v>100</v>
      </c>
      <c r="B110" s="65">
        <f>'COMPOSIÇÃO DE VALORES'!B110</f>
        <v>0</v>
      </c>
      <c r="C110" s="65">
        <f>'COMPOSIÇÃO DE VALORES'!C110</f>
        <v>0</v>
      </c>
      <c r="D110" s="65">
        <f>'COMPOSIÇÃO DE VALORES'!D110</f>
        <v>0</v>
      </c>
      <c r="E110" s="65">
        <f>'COMPOSIÇÃO DE VALORES'!G110</f>
        <v>0</v>
      </c>
      <c r="F110" s="65">
        <f>'COMPOSIÇÃO DE VALORES'!H110</f>
        <v>0</v>
      </c>
      <c r="G110" s="66">
        <f>'COMPOSIÇÃO DE VALORES'!L110</f>
        <v>0</v>
      </c>
      <c r="H110" s="66">
        <f t="shared" si="3"/>
        <v>0</v>
      </c>
      <c r="I110" s="65">
        <f>'COMPOSIÇÃO DE VALORES'!M110</f>
        <v>0</v>
      </c>
    </row>
    <row r="111" spans="1:9" x14ac:dyDescent="0.3">
      <c r="A111" s="64">
        <v>101</v>
      </c>
      <c r="B111" s="65">
        <f>'COMPOSIÇÃO DE VALORES'!B111</f>
        <v>0</v>
      </c>
      <c r="C111" s="65">
        <f>'COMPOSIÇÃO DE VALORES'!C111</f>
        <v>0</v>
      </c>
      <c r="D111" s="65">
        <f>'COMPOSIÇÃO DE VALORES'!D111</f>
        <v>0</v>
      </c>
      <c r="E111" s="65">
        <f>'COMPOSIÇÃO DE VALORES'!G111</f>
        <v>0</v>
      </c>
      <c r="F111" s="65">
        <f>'COMPOSIÇÃO DE VALORES'!H111</f>
        <v>0</v>
      </c>
      <c r="G111" s="66">
        <f>'COMPOSIÇÃO DE VALORES'!L111</f>
        <v>0</v>
      </c>
      <c r="H111" s="66">
        <f t="shared" ref="H111:H174" si="4">G111*B111</f>
        <v>0</v>
      </c>
      <c r="I111" s="65">
        <f>'COMPOSIÇÃO DE VALORES'!M111</f>
        <v>0</v>
      </c>
    </row>
    <row r="112" spans="1:9" x14ac:dyDescent="0.3">
      <c r="A112" s="64">
        <v>102</v>
      </c>
      <c r="B112" s="65">
        <f>'COMPOSIÇÃO DE VALORES'!B112</f>
        <v>0</v>
      </c>
      <c r="C112" s="65">
        <f>'COMPOSIÇÃO DE VALORES'!C112</f>
        <v>0</v>
      </c>
      <c r="D112" s="65">
        <f>'COMPOSIÇÃO DE VALORES'!D112</f>
        <v>0</v>
      </c>
      <c r="E112" s="65">
        <f>'COMPOSIÇÃO DE VALORES'!G112</f>
        <v>0</v>
      </c>
      <c r="F112" s="65">
        <f>'COMPOSIÇÃO DE VALORES'!H112</f>
        <v>0</v>
      </c>
      <c r="G112" s="66">
        <f>'COMPOSIÇÃO DE VALORES'!L112</f>
        <v>0</v>
      </c>
      <c r="H112" s="66">
        <f t="shared" si="4"/>
        <v>0</v>
      </c>
      <c r="I112" s="65">
        <f>'COMPOSIÇÃO DE VALORES'!M112</f>
        <v>0</v>
      </c>
    </row>
    <row r="113" spans="1:9" x14ac:dyDescent="0.3">
      <c r="A113" s="64">
        <v>103</v>
      </c>
      <c r="B113" s="65">
        <f>'COMPOSIÇÃO DE VALORES'!B113</f>
        <v>0</v>
      </c>
      <c r="C113" s="65">
        <f>'COMPOSIÇÃO DE VALORES'!C113</f>
        <v>0</v>
      </c>
      <c r="D113" s="65">
        <f>'COMPOSIÇÃO DE VALORES'!D113</f>
        <v>0</v>
      </c>
      <c r="E113" s="65">
        <f>'COMPOSIÇÃO DE VALORES'!G113</f>
        <v>0</v>
      </c>
      <c r="F113" s="65">
        <f>'COMPOSIÇÃO DE VALORES'!H113</f>
        <v>0</v>
      </c>
      <c r="G113" s="66">
        <f>'COMPOSIÇÃO DE VALORES'!L113</f>
        <v>0</v>
      </c>
      <c r="H113" s="66">
        <f t="shared" si="4"/>
        <v>0</v>
      </c>
      <c r="I113" s="65">
        <f>'COMPOSIÇÃO DE VALORES'!M113</f>
        <v>0</v>
      </c>
    </row>
    <row r="114" spans="1:9" x14ac:dyDescent="0.3">
      <c r="A114" s="64">
        <v>104</v>
      </c>
      <c r="B114" s="65">
        <f>'COMPOSIÇÃO DE VALORES'!B114</f>
        <v>0</v>
      </c>
      <c r="C114" s="65">
        <f>'COMPOSIÇÃO DE VALORES'!C114</f>
        <v>0</v>
      </c>
      <c r="D114" s="65">
        <f>'COMPOSIÇÃO DE VALORES'!D114</f>
        <v>0</v>
      </c>
      <c r="E114" s="65">
        <f>'COMPOSIÇÃO DE VALORES'!G114</f>
        <v>0</v>
      </c>
      <c r="F114" s="65">
        <f>'COMPOSIÇÃO DE VALORES'!H114</f>
        <v>0</v>
      </c>
      <c r="G114" s="66">
        <f>'COMPOSIÇÃO DE VALORES'!L114</f>
        <v>0</v>
      </c>
      <c r="H114" s="66">
        <f t="shared" si="4"/>
        <v>0</v>
      </c>
      <c r="I114" s="65">
        <f>'COMPOSIÇÃO DE VALORES'!M114</f>
        <v>0</v>
      </c>
    </row>
    <row r="115" spans="1:9" x14ac:dyDescent="0.3">
      <c r="A115" s="64">
        <v>105</v>
      </c>
      <c r="B115" s="65">
        <f>'COMPOSIÇÃO DE VALORES'!B115</f>
        <v>0</v>
      </c>
      <c r="C115" s="65">
        <f>'COMPOSIÇÃO DE VALORES'!C115</f>
        <v>0</v>
      </c>
      <c r="D115" s="65">
        <f>'COMPOSIÇÃO DE VALORES'!D115</f>
        <v>0</v>
      </c>
      <c r="E115" s="65">
        <f>'COMPOSIÇÃO DE VALORES'!G115</f>
        <v>0</v>
      </c>
      <c r="F115" s="65">
        <f>'COMPOSIÇÃO DE VALORES'!H115</f>
        <v>0</v>
      </c>
      <c r="G115" s="66">
        <f>'COMPOSIÇÃO DE VALORES'!L115</f>
        <v>0</v>
      </c>
      <c r="H115" s="66">
        <f t="shared" si="4"/>
        <v>0</v>
      </c>
      <c r="I115" s="65">
        <f>'COMPOSIÇÃO DE VALORES'!M115</f>
        <v>0</v>
      </c>
    </row>
    <row r="116" spans="1:9" x14ac:dyDescent="0.3">
      <c r="A116" s="64">
        <v>106</v>
      </c>
      <c r="B116" s="65">
        <f>'COMPOSIÇÃO DE VALORES'!B116</f>
        <v>0</v>
      </c>
      <c r="C116" s="65">
        <f>'COMPOSIÇÃO DE VALORES'!C116</f>
        <v>0</v>
      </c>
      <c r="D116" s="65">
        <f>'COMPOSIÇÃO DE VALORES'!D116</f>
        <v>0</v>
      </c>
      <c r="E116" s="65">
        <f>'COMPOSIÇÃO DE VALORES'!G116</f>
        <v>0</v>
      </c>
      <c r="F116" s="65">
        <f>'COMPOSIÇÃO DE VALORES'!H116</f>
        <v>0</v>
      </c>
      <c r="G116" s="66">
        <f>'COMPOSIÇÃO DE VALORES'!L116</f>
        <v>0</v>
      </c>
      <c r="H116" s="66">
        <f t="shared" si="4"/>
        <v>0</v>
      </c>
      <c r="I116" s="65">
        <f>'COMPOSIÇÃO DE VALORES'!M116</f>
        <v>0</v>
      </c>
    </row>
    <row r="117" spans="1:9" x14ac:dyDescent="0.3">
      <c r="A117" s="64">
        <v>107</v>
      </c>
      <c r="B117" s="65">
        <f>'COMPOSIÇÃO DE VALORES'!B117</f>
        <v>0</v>
      </c>
      <c r="C117" s="65">
        <f>'COMPOSIÇÃO DE VALORES'!C117</f>
        <v>0</v>
      </c>
      <c r="D117" s="65">
        <f>'COMPOSIÇÃO DE VALORES'!D117</f>
        <v>0</v>
      </c>
      <c r="E117" s="65">
        <f>'COMPOSIÇÃO DE VALORES'!G117</f>
        <v>0</v>
      </c>
      <c r="F117" s="65">
        <f>'COMPOSIÇÃO DE VALORES'!H117</f>
        <v>0</v>
      </c>
      <c r="G117" s="66">
        <f>'COMPOSIÇÃO DE VALORES'!L117</f>
        <v>0</v>
      </c>
      <c r="H117" s="66">
        <f t="shared" si="4"/>
        <v>0</v>
      </c>
      <c r="I117" s="65">
        <f>'COMPOSIÇÃO DE VALORES'!M117</f>
        <v>0</v>
      </c>
    </row>
    <row r="118" spans="1:9" x14ac:dyDescent="0.3">
      <c r="A118" s="64">
        <v>108</v>
      </c>
      <c r="B118" s="65">
        <f>'COMPOSIÇÃO DE VALORES'!B118</f>
        <v>0</v>
      </c>
      <c r="C118" s="65">
        <f>'COMPOSIÇÃO DE VALORES'!C118</f>
        <v>0</v>
      </c>
      <c r="D118" s="65">
        <f>'COMPOSIÇÃO DE VALORES'!D118</f>
        <v>0</v>
      </c>
      <c r="E118" s="65">
        <f>'COMPOSIÇÃO DE VALORES'!G118</f>
        <v>0</v>
      </c>
      <c r="F118" s="65">
        <f>'COMPOSIÇÃO DE VALORES'!H118</f>
        <v>0</v>
      </c>
      <c r="G118" s="66">
        <f>'COMPOSIÇÃO DE VALORES'!L118</f>
        <v>0</v>
      </c>
      <c r="H118" s="66">
        <f t="shared" si="4"/>
        <v>0</v>
      </c>
      <c r="I118" s="65">
        <f>'COMPOSIÇÃO DE VALORES'!M118</f>
        <v>0</v>
      </c>
    </row>
    <row r="119" spans="1:9" x14ac:dyDescent="0.3">
      <c r="A119" s="64">
        <v>109</v>
      </c>
      <c r="B119" s="65">
        <f>'COMPOSIÇÃO DE VALORES'!B119</f>
        <v>0</v>
      </c>
      <c r="C119" s="65">
        <f>'COMPOSIÇÃO DE VALORES'!C119</f>
        <v>0</v>
      </c>
      <c r="D119" s="65">
        <f>'COMPOSIÇÃO DE VALORES'!D119</f>
        <v>0</v>
      </c>
      <c r="E119" s="65">
        <f>'COMPOSIÇÃO DE VALORES'!G119</f>
        <v>0</v>
      </c>
      <c r="F119" s="65">
        <f>'COMPOSIÇÃO DE VALORES'!H119</f>
        <v>0</v>
      </c>
      <c r="G119" s="66">
        <f>'COMPOSIÇÃO DE VALORES'!L119</f>
        <v>0</v>
      </c>
      <c r="H119" s="66">
        <f t="shared" si="4"/>
        <v>0</v>
      </c>
      <c r="I119" s="65">
        <f>'COMPOSIÇÃO DE VALORES'!M119</f>
        <v>0</v>
      </c>
    </row>
    <row r="120" spans="1:9" x14ac:dyDescent="0.3">
      <c r="A120" s="64">
        <v>110</v>
      </c>
      <c r="B120" s="65">
        <f>'COMPOSIÇÃO DE VALORES'!B120</f>
        <v>0</v>
      </c>
      <c r="C120" s="65">
        <f>'COMPOSIÇÃO DE VALORES'!C120</f>
        <v>0</v>
      </c>
      <c r="D120" s="65">
        <f>'COMPOSIÇÃO DE VALORES'!D120</f>
        <v>0</v>
      </c>
      <c r="E120" s="65">
        <f>'COMPOSIÇÃO DE VALORES'!G120</f>
        <v>0</v>
      </c>
      <c r="F120" s="65">
        <f>'COMPOSIÇÃO DE VALORES'!H120</f>
        <v>0</v>
      </c>
      <c r="G120" s="66">
        <f>'COMPOSIÇÃO DE VALORES'!L120</f>
        <v>0</v>
      </c>
      <c r="H120" s="66">
        <f t="shared" si="4"/>
        <v>0</v>
      </c>
      <c r="I120" s="65">
        <f>'COMPOSIÇÃO DE VALORES'!M120</f>
        <v>0</v>
      </c>
    </row>
    <row r="121" spans="1:9" x14ac:dyDescent="0.3">
      <c r="A121" s="64">
        <v>111</v>
      </c>
      <c r="B121" s="65">
        <f>'COMPOSIÇÃO DE VALORES'!B121</f>
        <v>0</v>
      </c>
      <c r="C121" s="65">
        <f>'COMPOSIÇÃO DE VALORES'!C121</f>
        <v>0</v>
      </c>
      <c r="D121" s="65">
        <f>'COMPOSIÇÃO DE VALORES'!D121</f>
        <v>0</v>
      </c>
      <c r="E121" s="65">
        <f>'COMPOSIÇÃO DE VALORES'!G121</f>
        <v>0</v>
      </c>
      <c r="F121" s="65">
        <f>'COMPOSIÇÃO DE VALORES'!H121</f>
        <v>0</v>
      </c>
      <c r="G121" s="66">
        <f>'COMPOSIÇÃO DE VALORES'!L121</f>
        <v>0</v>
      </c>
      <c r="H121" s="66">
        <f t="shared" si="4"/>
        <v>0</v>
      </c>
      <c r="I121" s="65">
        <f>'COMPOSIÇÃO DE VALORES'!M121</f>
        <v>0</v>
      </c>
    </row>
    <row r="122" spans="1:9" x14ac:dyDescent="0.3">
      <c r="A122" s="64">
        <v>112</v>
      </c>
      <c r="B122" s="65">
        <f>'COMPOSIÇÃO DE VALORES'!B122</f>
        <v>0</v>
      </c>
      <c r="C122" s="65">
        <f>'COMPOSIÇÃO DE VALORES'!C122</f>
        <v>0</v>
      </c>
      <c r="D122" s="65">
        <f>'COMPOSIÇÃO DE VALORES'!D122</f>
        <v>0</v>
      </c>
      <c r="E122" s="65">
        <f>'COMPOSIÇÃO DE VALORES'!G122</f>
        <v>0</v>
      </c>
      <c r="F122" s="65">
        <f>'COMPOSIÇÃO DE VALORES'!H122</f>
        <v>0</v>
      </c>
      <c r="G122" s="66">
        <f>'COMPOSIÇÃO DE VALORES'!L122</f>
        <v>0</v>
      </c>
      <c r="H122" s="66">
        <f t="shared" si="4"/>
        <v>0</v>
      </c>
      <c r="I122" s="65">
        <f>'COMPOSIÇÃO DE VALORES'!M122</f>
        <v>0</v>
      </c>
    </row>
    <row r="123" spans="1:9" x14ac:dyDescent="0.3">
      <c r="A123" s="64">
        <v>113</v>
      </c>
      <c r="B123" s="65">
        <f>'COMPOSIÇÃO DE VALORES'!B123</f>
        <v>0</v>
      </c>
      <c r="C123" s="65">
        <f>'COMPOSIÇÃO DE VALORES'!C123</f>
        <v>0</v>
      </c>
      <c r="D123" s="65">
        <f>'COMPOSIÇÃO DE VALORES'!D123</f>
        <v>0</v>
      </c>
      <c r="E123" s="65">
        <f>'COMPOSIÇÃO DE VALORES'!G123</f>
        <v>0</v>
      </c>
      <c r="F123" s="65">
        <f>'COMPOSIÇÃO DE VALORES'!H123</f>
        <v>0</v>
      </c>
      <c r="G123" s="66">
        <f>'COMPOSIÇÃO DE VALORES'!L123</f>
        <v>0</v>
      </c>
      <c r="H123" s="66">
        <f t="shared" si="4"/>
        <v>0</v>
      </c>
      <c r="I123" s="65">
        <f>'COMPOSIÇÃO DE VALORES'!M123</f>
        <v>0</v>
      </c>
    </row>
    <row r="124" spans="1:9" x14ac:dyDescent="0.3">
      <c r="A124" s="64">
        <v>114</v>
      </c>
      <c r="B124" s="65">
        <f>'COMPOSIÇÃO DE VALORES'!B124</f>
        <v>0</v>
      </c>
      <c r="C124" s="65">
        <f>'COMPOSIÇÃO DE VALORES'!C124</f>
        <v>0</v>
      </c>
      <c r="D124" s="65">
        <f>'COMPOSIÇÃO DE VALORES'!D124</f>
        <v>0</v>
      </c>
      <c r="E124" s="65">
        <f>'COMPOSIÇÃO DE VALORES'!G124</f>
        <v>0</v>
      </c>
      <c r="F124" s="65">
        <f>'COMPOSIÇÃO DE VALORES'!H124</f>
        <v>0</v>
      </c>
      <c r="G124" s="66">
        <f>'COMPOSIÇÃO DE VALORES'!L124</f>
        <v>0</v>
      </c>
      <c r="H124" s="66">
        <f t="shared" si="4"/>
        <v>0</v>
      </c>
      <c r="I124" s="65">
        <f>'COMPOSIÇÃO DE VALORES'!M124</f>
        <v>0</v>
      </c>
    </row>
    <row r="125" spans="1:9" x14ac:dyDescent="0.3">
      <c r="A125" s="64">
        <v>115</v>
      </c>
      <c r="B125" s="65">
        <f>'COMPOSIÇÃO DE VALORES'!B125</f>
        <v>0</v>
      </c>
      <c r="C125" s="65">
        <f>'COMPOSIÇÃO DE VALORES'!C125</f>
        <v>0</v>
      </c>
      <c r="D125" s="65">
        <f>'COMPOSIÇÃO DE VALORES'!D125</f>
        <v>0</v>
      </c>
      <c r="E125" s="65">
        <f>'COMPOSIÇÃO DE VALORES'!G125</f>
        <v>0</v>
      </c>
      <c r="F125" s="65">
        <f>'COMPOSIÇÃO DE VALORES'!H125</f>
        <v>0</v>
      </c>
      <c r="G125" s="66">
        <f>'COMPOSIÇÃO DE VALORES'!L125</f>
        <v>0</v>
      </c>
      <c r="H125" s="66">
        <f t="shared" si="4"/>
        <v>0</v>
      </c>
      <c r="I125" s="65">
        <f>'COMPOSIÇÃO DE VALORES'!M125</f>
        <v>0</v>
      </c>
    </row>
    <row r="126" spans="1:9" x14ac:dyDescent="0.3">
      <c r="A126" s="64">
        <v>116</v>
      </c>
      <c r="B126" s="65">
        <f>'COMPOSIÇÃO DE VALORES'!B126</f>
        <v>0</v>
      </c>
      <c r="C126" s="65">
        <f>'COMPOSIÇÃO DE VALORES'!C126</f>
        <v>0</v>
      </c>
      <c r="D126" s="65">
        <f>'COMPOSIÇÃO DE VALORES'!D126</f>
        <v>0</v>
      </c>
      <c r="E126" s="65">
        <f>'COMPOSIÇÃO DE VALORES'!G126</f>
        <v>0</v>
      </c>
      <c r="F126" s="65">
        <f>'COMPOSIÇÃO DE VALORES'!H126</f>
        <v>0</v>
      </c>
      <c r="G126" s="66">
        <f>'COMPOSIÇÃO DE VALORES'!L126</f>
        <v>0</v>
      </c>
      <c r="H126" s="66">
        <f t="shared" si="4"/>
        <v>0</v>
      </c>
      <c r="I126" s="65">
        <f>'COMPOSIÇÃO DE VALORES'!M126</f>
        <v>0</v>
      </c>
    </row>
    <row r="127" spans="1:9" x14ac:dyDescent="0.3">
      <c r="A127" s="64">
        <v>117</v>
      </c>
      <c r="B127" s="65">
        <f>'COMPOSIÇÃO DE VALORES'!B127</f>
        <v>0</v>
      </c>
      <c r="C127" s="65">
        <f>'COMPOSIÇÃO DE VALORES'!C127</f>
        <v>0</v>
      </c>
      <c r="D127" s="65">
        <f>'COMPOSIÇÃO DE VALORES'!D127</f>
        <v>0</v>
      </c>
      <c r="E127" s="65">
        <f>'COMPOSIÇÃO DE VALORES'!G127</f>
        <v>0</v>
      </c>
      <c r="F127" s="65">
        <f>'COMPOSIÇÃO DE VALORES'!H127</f>
        <v>0</v>
      </c>
      <c r="G127" s="66">
        <f>'COMPOSIÇÃO DE VALORES'!L127</f>
        <v>0</v>
      </c>
      <c r="H127" s="66">
        <f t="shared" si="4"/>
        <v>0</v>
      </c>
      <c r="I127" s="65">
        <f>'COMPOSIÇÃO DE VALORES'!M127</f>
        <v>0</v>
      </c>
    </row>
    <row r="128" spans="1:9" x14ac:dyDescent="0.3">
      <c r="A128" s="64">
        <v>118</v>
      </c>
      <c r="B128" s="65">
        <f>'COMPOSIÇÃO DE VALORES'!B128</f>
        <v>0</v>
      </c>
      <c r="C128" s="65">
        <f>'COMPOSIÇÃO DE VALORES'!C128</f>
        <v>0</v>
      </c>
      <c r="D128" s="65">
        <f>'COMPOSIÇÃO DE VALORES'!D128</f>
        <v>0</v>
      </c>
      <c r="E128" s="65">
        <f>'COMPOSIÇÃO DE VALORES'!G128</f>
        <v>0</v>
      </c>
      <c r="F128" s="65">
        <f>'COMPOSIÇÃO DE VALORES'!H128</f>
        <v>0</v>
      </c>
      <c r="G128" s="66">
        <f>'COMPOSIÇÃO DE VALORES'!L128</f>
        <v>0</v>
      </c>
      <c r="H128" s="66">
        <f t="shared" si="4"/>
        <v>0</v>
      </c>
      <c r="I128" s="65">
        <f>'COMPOSIÇÃO DE VALORES'!M128</f>
        <v>0</v>
      </c>
    </row>
    <row r="129" spans="1:9" x14ac:dyDescent="0.3">
      <c r="A129" s="64">
        <v>119</v>
      </c>
      <c r="B129" s="65">
        <f>'COMPOSIÇÃO DE VALORES'!B129</f>
        <v>0</v>
      </c>
      <c r="C129" s="65">
        <f>'COMPOSIÇÃO DE VALORES'!C129</f>
        <v>0</v>
      </c>
      <c r="D129" s="65">
        <f>'COMPOSIÇÃO DE VALORES'!D129</f>
        <v>0</v>
      </c>
      <c r="E129" s="65">
        <f>'COMPOSIÇÃO DE VALORES'!G129</f>
        <v>0</v>
      </c>
      <c r="F129" s="65">
        <f>'COMPOSIÇÃO DE VALORES'!H129</f>
        <v>0</v>
      </c>
      <c r="G129" s="66">
        <f>'COMPOSIÇÃO DE VALORES'!L129</f>
        <v>0</v>
      </c>
      <c r="H129" s="66">
        <f t="shared" si="4"/>
        <v>0</v>
      </c>
      <c r="I129" s="65">
        <f>'COMPOSIÇÃO DE VALORES'!M129</f>
        <v>0</v>
      </c>
    </row>
    <row r="130" spans="1:9" x14ac:dyDescent="0.3">
      <c r="A130" s="64">
        <v>120</v>
      </c>
      <c r="B130" s="65">
        <f>'COMPOSIÇÃO DE VALORES'!B130</f>
        <v>0</v>
      </c>
      <c r="C130" s="65">
        <f>'COMPOSIÇÃO DE VALORES'!C130</f>
        <v>0</v>
      </c>
      <c r="D130" s="65">
        <f>'COMPOSIÇÃO DE VALORES'!D130</f>
        <v>0</v>
      </c>
      <c r="E130" s="65">
        <f>'COMPOSIÇÃO DE VALORES'!G130</f>
        <v>0</v>
      </c>
      <c r="F130" s="65">
        <f>'COMPOSIÇÃO DE VALORES'!H130</f>
        <v>0</v>
      </c>
      <c r="G130" s="66">
        <f>'COMPOSIÇÃO DE VALORES'!L130</f>
        <v>0</v>
      </c>
      <c r="H130" s="66">
        <f t="shared" si="4"/>
        <v>0</v>
      </c>
      <c r="I130" s="65">
        <f>'COMPOSIÇÃO DE VALORES'!M130</f>
        <v>0</v>
      </c>
    </row>
    <row r="131" spans="1:9" x14ac:dyDescent="0.3">
      <c r="A131" s="64">
        <v>121</v>
      </c>
      <c r="B131" s="65">
        <f>'COMPOSIÇÃO DE VALORES'!B131</f>
        <v>0</v>
      </c>
      <c r="C131" s="65">
        <f>'COMPOSIÇÃO DE VALORES'!C131</f>
        <v>0</v>
      </c>
      <c r="D131" s="65">
        <f>'COMPOSIÇÃO DE VALORES'!D131</f>
        <v>0</v>
      </c>
      <c r="E131" s="65">
        <f>'COMPOSIÇÃO DE VALORES'!G131</f>
        <v>0</v>
      </c>
      <c r="F131" s="65">
        <f>'COMPOSIÇÃO DE VALORES'!H131</f>
        <v>0</v>
      </c>
      <c r="G131" s="66">
        <f>'COMPOSIÇÃO DE VALORES'!L131</f>
        <v>0</v>
      </c>
      <c r="H131" s="66">
        <f t="shared" si="4"/>
        <v>0</v>
      </c>
      <c r="I131" s="65">
        <f>'COMPOSIÇÃO DE VALORES'!M131</f>
        <v>0</v>
      </c>
    </row>
    <row r="132" spans="1:9" x14ac:dyDescent="0.3">
      <c r="A132" s="64">
        <v>122</v>
      </c>
      <c r="B132" s="65">
        <f>'COMPOSIÇÃO DE VALORES'!B132</f>
        <v>0</v>
      </c>
      <c r="C132" s="65">
        <f>'COMPOSIÇÃO DE VALORES'!C132</f>
        <v>0</v>
      </c>
      <c r="D132" s="65">
        <f>'COMPOSIÇÃO DE VALORES'!D132</f>
        <v>0</v>
      </c>
      <c r="E132" s="65">
        <f>'COMPOSIÇÃO DE VALORES'!G132</f>
        <v>0</v>
      </c>
      <c r="F132" s="65">
        <f>'COMPOSIÇÃO DE VALORES'!H132</f>
        <v>0</v>
      </c>
      <c r="G132" s="66">
        <f>'COMPOSIÇÃO DE VALORES'!L132</f>
        <v>0</v>
      </c>
      <c r="H132" s="66">
        <f t="shared" si="4"/>
        <v>0</v>
      </c>
      <c r="I132" s="65">
        <f>'COMPOSIÇÃO DE VALORES'!M132</f>
        <v>0</v>
      </c>
    </row>
    <row r="133" spans="1:9" x14ac:dyDescent="0.3">
      <c r="A133" s="64">
        <v>123</v>
      </c>
      <c r="B133" s="65">
        <f>'COMPOSIÇÃO DE VALORES'!B133</f>
        <v>0</v>
      </c>
      <c r="C133" s="65">
        <f>'COMPOSIÇÃO DE VALORES'!C133</f>
        <v>0</v>
      </c>
      <c r="D133" s="65">
        <f>'COMPOSIÇÃO DE VALORES'!D133</f>
        <v>0</v>
      </c>
      <c r="E133" s="65">
        <f>'COMPOSIÇÃO DE VALORES'!G133</f>
        <v>0</v>
      </c>
      <c r="F133" s="65">
        <f>'COMPOSIÇÃO DE VALORES'!H133</f>
        <v>0</v>
      </c>
      <c r="G133" s="66">
        <f>'COMPOSIÇÃO DE VALORES'!L133</f>
        <v>0</v>
      </c>
      <c r="H133" s="66">
        <f t="shared" si="4"/>
        <v>0</v>
      </c>
      <c r="I133" s="65">
        <f>'COMPOSIÇÃO DE VALORES'!M133</f>
        <v>0</v>
      </c>
    </row>
    <row r="134" spans="1:9" x14ac:dyDescent="0.3">
      <c r="A134" s="64">
        <v>124</v>
      </c>
      <c r="B134" s="65">
        <f>'COMPOSIÇÃO DE VALORES'!B134</f>
        <v>0</v>
      </c>
      <c r="C134" s="65">
        <f>'COMPOSIÇÃO DE VALORES'!C134</f>
        <v>0</v>
      </c>
      <c r="D134" s="65">
        <f>'COMPOSIÇÃO DE VALORES'!D134</f>
        <v>0</v>
      </c>
      <c r="E134" s="65">
        <f>'COMPOSIÇÃO DE VALORES'!G134</f>
        <v>0</v>
      </c>
      <c r="F134" s="65">
        <f>'COMPOSIÇÃO DE VALORES'!H134</f>
        <v>0</v>
      </c>
      <c r="G134" s="66">
        <f>'COMPOSIÇÃO DE VALORES'!L134</f>
        <v>0</v>
      </c>
      <c r="H134" s="66">
        <f t="shared" si="4"/>
        <v>0</v>
      </c>
      <c r="I134" s="65">
        <f>'COMPOSIÇÃO DE VALORES'!M134</f>
        <v>0</v>
      </c>
    </row>
    <row r="135" spans="1:9" x14ac:dyDescent="0.3">
      <c r="A135" s="64">
        <v>125</v>
      </c>
      <c r="B135" s="65">
        <f>'COMPOSIÇÃO DE VALORES'!B135</f>
        <v>0</v>
      </c>
      <c r="C135" s="65">
        <f>'COMPOSIÇÃO DE VALORES'!C135</f>
        <v>0</v>
      </c>
      <c r="D135" s="65">
        <f>'COMPOSIÇÃO DE VALORES'!D135</f>
        <v>0</v>
      </c>
      <c r="E135" s="65">
        <f>'COMPOSIÇÃO DE VALORES'!G135</f>
        <v>0</v>
      </c>
      <c r="F135" s="65">
        <f>'COMPOSIÇÃO DE VALORES'!H135</f>
        <v>0</v>
      </c>
      <c r="G135" s="66">
        <f>'COMPOSIÇÃO DE VALORES'!L135</f>
        <v>0</v>
      </c>
      <c r="H135" s="66">
        <f t="shared" si="4"/>
        <v>0</v>
      </c>
      <c r="I135" s="65">
        <f>'COMPOSIÇÃO DE VALORES'!M135</f>
        <v>0</v>
      </c>
    </row>
    <row r="136" spans="1:9" x14ac:dyDescent="0.3">
      <c r="A136" s="64">
        <v>126</v>
      </c>
      <c r="B136" s="65">
        <f>'COMPOSIÇÃO DE VALORES'!B136</f>
        <v>0</v>
      </c>
      <c r="C136" s="65">
        <f>'COMPOSIÇÃO DE VALORES'!C136</f>
        <v>0</v>
      </c>
      <c r="D136" s="65">
        <f>'COMPOSIÇÃO DE VALORES'!D136</f>
        <v>0</v>
      </c>
      <c r="E136" s="65">
        <f>'COMPOSIÇÃO DE VALORES'!G136</f>
        <v>0</v>
      </c>
      <c r="F136" s="65">
        <f>'COMPOSIÇÃO DE VALORES'!H136</f>
        <v>0</v>
      </c>
      <c r="G136" s="66">
        <f>'COMPOSIÇÃO DE VALORES'!L136</f>
        <v>0</v>
      </c>
      <c r="H136" s="66">
        <f t="shared" si="4"/>
        <v>0</v>
      </c>
      <c r="I136" s="65">
        <f>'COMPOSIÇÃO DE VALORES'!M136</f>
        <v>0</v>
      </c>
    </row>
    <row r="137" spans="1:9" x14ac:dyDescent="0.3">
      <c r="A137" s="64">
        <v>127</v>
      </c>
      <c r="B137" s="65">
        <f>'COMPOSIÇÃO DE VALORES'!B137</f>
        <v>0</v>
      </c>
      <c r="C137" s="65">
        <f>'COMPOSIÇÃO DE VALORES'!C137</f>
        <v>0</v>
      </c>
      <c r="D137" s="65">
        <f>'COMPOSIÇÃO DE VALORES'!D137</f>
        <v>0</v>
      </c>
      <c r="E137" s="65">
        <f>'COMPOSIÇÃO DE VALORES'!G137</f>
        <v>0</v>
      </c>
      <c r="F137" s="65">
        <f>'COMPOSIÇÃO DE VALORES'!H137</f>
        <v>0</v>
      </c>
      <c r="G137" s="66">
        <f>'COMPOSIÇÃO DE VALORES'!L137</f>
        <v>0</v>
      </c>
      <c r="H137" s="66">
        <f t="shared" si="4"/>
        <v>0</v>
      </c>
      <c r="I137" s="65">
        <f>'COMPOSIÇÃO DE VALORES'!M137</f>
        <v>0</v>
      </c>
    </row>
    <row r="138" spans="1:9" x14ac:dyDescent="0.3">
      <c r="A138" s="64">
        <v>128</v>
      </c>
      <c r="B138" s="65">
        <f>'COMPOSIÇÃO DE VALORES'!B138</f>
        <v>0</v>
      </c>
      <c r="C138" s="65">
        <f>'COMPOSIÇÃO DE VALORES'!C138</f>
        <v>0</v>
      </c>
      <c r="D138" s="65">
        <f>'COMPOSIÇÃO DE VALORES'!D138</f>
        <v>0</v>
      </c>
      <c r="E138" s="65">
        <f>'COMPOSIÇÃO DE VALORES'!G138</f>
        <v>0</v>
      </c>
      <c r="F138" s="65">
        <f>'COMPOSIÇÃO DE VALORES'!H138</f>
        <v>0</v>
      </c>
      <c r="G138" s="66">
        <f>'COMPOSIÇÃO DE VALORES'!L138</f>
        <v>0</v>
      </c>
      <c r="H138" s="66">
        <f t="shared" si="4"/>
        <v>0</v>
      </c>
      <c r="I138" s="65">
        <f>'COMPOSIÇÃO DE VALORES'!M138</f>
        <v>0</v>
      </c>
    </row>
    <row r="139" spans="1:9" x14ac:dyDescent="0.3">
      <c r="A139" s="64">
        <v>129</v>
      </c>
      <c r="B139" s="65">
        <f>'COMPOSIÇÃO DE VALORES'!B139</f>
        <v>0</v>
      </c>
      <c r="C139" s="65">
        <f>'COMPOSIÇÃO DE VALORES'!C139</f>
        <v>0</v>
      </c>
      <c r="D139" s="65">
        <f>'COMPOSIÇÃO DE VALORES'!D139</f>
        <v>0</v>
      </c>
      <c r="E139" s="65">
        <f>'COMPOSIÇÃO DE VALORES'!G139</f>
        <v>0</v>
      </c>
      <c r="F139" s="65">
        <f>'COMPOSIÇÃO DE VALORES'!H139</f>
        <v>0</v>
      </c>
      <c r="G139" s="66">
        <f>'COMPOSIÇÃO DE VALORES'!L139</f>
        <v>0</v>
      </c>
      <c r="H139" s="66">
        <f t="shared" si="4"/>
        <v>0</v>
      </c>
      <c r="I139" s="65">
        <f>'COMPOSIÇÃO DE VALORES'!M139</f>
        <v>0</v>
      </c>
    </row>
    <row r="140" spans="1:9" x14ac:dyDescent="0.3">
      <c r="A140" s="64">
        <v>130</v>
      </c>
      <c r="B140" s="65">
        <f>'COMPOSIÇÃO DE VALORES'!B140</f>
        <v>0</v>
      </c>
      <c r="C140" s="65">
        <f>'COMPOSIÇÃO DE VALORES'!C140</f>
        <v>0</v>
      </c>
      <c r="D140" s="65">
        <f>'COMPOSIÇÃO DE VALORES'!D140</f>
        <v>0</v>
      </c>
      <c r="E140" s="65">
        <f>'COMPOSIÇÃO DE VALORES'!G140</f>
        <v>0</v>
      </c>
      <c r="F140" s="65">
        <f>'COMPOSIÇÃO DE VALORES'!H140</f>
        <v>0</v>
      </c>
      <c r="G140" s="66">
        <f>'COMPOSIÇÃO DE VALORES'!L140</f>
        <v>0</v>
      </c>
      <c r="H140" s="66">
        <f t="shared" si="4"/>
        <v>0</v>
      </c>
      <c r="I140" s="65">
        <f>'COMPOSIÇÃO DE VALORES'!M140</f>
        <v>0</v>
      </c>
    </row>
    <row r="141" spans="1:9" x14ac:dyDescent="0.3">
      <c r="A141" s="64">
        <v>131</v>
      </c>
      <c r="B141" s="65">
        <f>'COMPOSIÇÃO DE VALORES'!B141</f>
        <v>0</v>
      </c>
      <c r="C141" s="65">
        <f>'COMPOSIÇÃO DE VALORES'!C141</f>
        <v>0</v>
      </c>
      <c r="D141" s="65">
        <f>'COMPOSIÇÃO DE VALORES'!D141</f>
        <v>0</v>
      </c>
      <c r="E141" s="65">
        <f>'COMPOSIÇÃO DE VALORES'!G141</f>
        <v>0</v>
      </c>
      <c r="F141" s="65">
        <f>'COMPOSIÇÃO DE VALORES'!H141</f>
        <v>0</v>
      </c>
      <c r="G141" s="66">
        <f>'COMPOSIÇÃO DE VALORES'!L141</f>
        <v>0</v>
      </c>
      <c r="H141" s="66">
        <f t="shared" si="4"/>
        <v>0</v>
      </c>
      <c r="I141" s="65">
        <f>'COMPOSIÇÃO DE VALORES'!M141</f>
        <v>0</v>
      </c>
    </row>
    <row r="142" spans="1:9" x14ac:dyDescent="0.3">
      <c r="A142" s="64">
        <v>132</v>
      </c>
      <c r="B142" s="65">
        <f>'COMPOSIÇÃO DE VALORES'!B142</f>
        <v>0</v>
      </c>
      <c r="C142" s="65">
        <f>'COMPOSIÇÃO DE VALORES'!C142</f>
        <v>0</v>
      </c>
      <c r="D142" s="65">
        <f>'COMPOSIÇÃO DE VALORES'!D142</f>
        <v>0</v>
      </c>
      <c r="E142" s="65">
        <f>'COMPOSIÇÃO DE VALORES'!G142</f>
        <v>0</v>
      </c>
      <c r="F142" s="65">
        <f>'COMPOSIÇÃO DE VALORES'!H142</f>
        <v>0</v>
      </c>
      <c r="G142" s="66">
        <f>'COMPOSIÇÃO DE VALORES'!L142</f>
        <v>0</v>
      </c>
      <c r="H142" s="66">
        <f t="shared" si="4"/>
        <v>0</v>
      </c>
      <c r="I142" s="65">
        <f>'COMPOSIÇÃO DE VALORES'!M142</f>
        <v>0</v>
      </c>
    </row>
    <row r="143" spans="1:9" x14ac:dyDescent="0.3">
      <c r="A143" s="64">
        <v>133</v>
      </c>
      <c r="B143" s="65">
        <f>'COMPOSIÇÃO DE VALORES'!B143</f>
        <v>0</v>
      </c>
      <c r="C143" s="65">
        <f>'COMPOSIÇÃO DE VALORES'!C143</f>
        <v>0</v>
      </c>
      <c r="D143" s="65">
        <f>'COMPOSIÇÃO DE VALORES'!D143</f>
        <v>0</v>
      </c>
      <c r="E143" s="65">
        <f>'COMPOSIÇÃO DE VALORES'!G143</f>
        <v>0</v>
      </c>
      <c r="F143" s="65">
        <f>'COMPOSIÇÃO DE VALORES'!H143</f>
        <v>0</v>
      </c>
      <c r="G143" s="66">
        <f>'COMPOSIÇÃO DE VALORES'!L143</f>
        <v>0</v>
      </c>
      <c r="H143" s="66">
        <f t="shared" si="4"/>
        <v>0</v>
      </c>
      <c r="I143" s="65">
        <f>'COMPOSIÇÃO DE VALORES'!M143</f>
        <v>0</v>
      </c>
    </row>
    <row r="144" spans="1:9" x14ac:dyDescent="0.3">
      <c r="A144" s="64">
        <v>134</v>
      </c>
      <c r="B144" s="65">
        <f>'COMPOSIÇÃO DE VALORES'!B144</f>
        <v>0</v>
      </c>
      <c r="C144" s="65">
        <f>'COMPOSIÇÃO DE VALORES'!C144</f>
        <v>0</v>
      </c>
      <c r="D144" s="65">
        <f>'COMPOSIÇÃO DE VALORES'!D144</f>
        <v>0</v>
      </c>
      <c r="E144" s="65">
        <f>'COMPOSIÇÃO DE VALORES'!G144</f>
        <v>0</v>
      </c>
      <c r="F144" s="65">
        <f>'COMPOSIÇÃO DE VALORES'!H144</f>
        <v>0</v>
      </c>
      <c r="G144" s="66">
        <f>'COMPOSIÇÃO DE VALORES'!L144</f>
        <v>0</v>
      </c>
      <c r="H144" s="66">
        <f t="shared" si="4"/>
        <v>0</v>
      </c>
      <c r="I144" s="65">
        <f>'COMPOSIÇÃO DE VALORES'!M144</f>
        <v>0</v>
      </c>
    </row>
    <row r="145" spans="1:9" x14ac:dyDescent="0.3">
      <c r="A145" s="64">
        <v>135</v>
      </c>
      <c r="B145" s="65">
        <f>'COMPOSIÇÃO DE VALORES'!B145</f>
        <v>0</v>
      </c>
      <c r="C145" s="65">
        <f>'COMPOSIÇÃO DE VALORES'!C145</f>
        <v>0</v>
      </c>
      <c r="D145" s="65">
        <f>'COMPOSIÇÃO DE VALORES'!D145</f>
        <v>0</v>
      </c>
      <c r="E145" s="65">
        <f>'COMPOSIÇÃO DE VALORES'!G145</f>
        <v>0</v>
      </c>
      <c r="F145" s="65">
        <f>'COMPOSIÇÃO DE VALORES'!H145</f>
        <v>0</v>
      </c>
      <c r="G145" s="66">
        <f>'COMPOSIÇÃO DE VALORES'!L145</f>
        <v>0</v>
      </c>
      <c r="H145" s="66">
        <f t="shared" si="4"/>
        <v>0</v>
      </c>
      <c r="I145" s="65">
        <f>'COMPOSIÇÃO DE VALORES'!M145</f>
        <v>0</v>
      </c>
    </row>
    <row r="146" spans="1:9" x14ac:dyDescent="0.3">
      <c r="A146" s="64">
        <v>136</v>
      </c>
      <c r="B146" s="65">
        <f>'COMPOSIÇÃO DE VALORES'!B146</f>
        <v>0</v>
      </c>
      <c r="C146" s="65">
        <f>'COMPOSIÇÃO DE VALORES'!C146</f>
        <v>0</v>
      </c>
      <c r="D146" s="65">
        <f>'COMPOSIÇÃO DE VALORES'!D146</f>
        <v>0</v>
      </c>
      <c r="E146" s="65">
        <f>'COMPOSIÇÃO DE VALORES'!G146</f>
        <v>0</v>
      </c>
      <c r="F146" s="65">
        <f>'COMPOSIÇÃO DE VALORES'!H146</f>
        <v>0</v>
      </c>
      <c r="G146" s="66">
        <f>'COMPOSIÇÃO DE VALORES'!L146</f>
        <v>0</v>
      </c>
      <c r="H146" s="66">
        <f t="shared" si="4"/>
        <v>0</v>
      </c>
      <c r="I146" s="65">
        <f>'COMPOSIÇÃO DE VALORES'!M146</f>
        <v>0</v>
      </c>
    </row>
    <row r="147" spans="1:9" x14ac:dyDescent="0.3">
      <c r="A147" s="64">
        <v>137</v>
      </c>
      <c r="B147" s="65">
        <f>'COMPOSIÇÃO DE VALORES'!B147</f>
        <v>0</v>
      </c>
      <c r="C147" s="65">
        <f>'COMPOSIÇÃO DE VALORES'!C147</f>
        <v>0</v>
      </c>
      <c r="D147" s="65">
        <f>'COMPOSIÇÃO DE VALORES'!D147</f>
        <v>0</v>
      </c>
      <c r="E147" s="65">
        <f>'COMPOSIÇÃO DE VALORES'!G147</f>
        <v>0</v>
      </c>
      <c r="F147" s="65">
        <f>'COMPOSIÇÃO DE VALORES'!H147</f>
        <v>0</v>
      </c>
      <c r="G147" s="66">
        <f>'COMPOSIÇÃO DE VALORES'!L147</f>
        <v>0</v>
      </c>
      <c r="H147" s="66">
        <f t="shared" si="4"/>
        <v>0</v>
      </c>
      <c r="I147" s="65">
        <f>'COMPOSIÇÃO DE VALORES'!M147</f>
        <v>0</v>
      </c>
    </row>
    <row r="148" spans="1:9" x14ac:dyDescent="0.3">
      <c r="A148" s="64">
        <v>138</v>
      </c>
      <c r="B148" s="65">
        <f>'COMPOSIÇÃO DE VALORES'!B148</f>
        <v>0</v>
      </c>
      <c r="C148" s="65">
        <f>'COMPOSIÇÃO DE VALORES'!C148</f>
        <v>0</v>
      </c>
      <c r="D148" s="65">
        <f>'COMPOSIÇÃO DE VALORES'!D148</f>
        <v>0</v>
      </c>
      <c r="E148" s="65">
        <f>'COMPOSIÇÃO DE VALORES'!G148</f>
        <v>0</v>
      </c>
      <c r="F148" s="65">
        <f>'COMPOSIÇÃO DE VALORES'!H148</f>
        <v>0</v>
      </c>
      <c r="G148" s="66">
        <f>'COMPOSIÇÃO DE VALORES'!L148</f>
        <v>0</v>
      </c>
      <c r="H148" s="66">
        <f t="shared" si="4"/>
        <v>0</v>
      </c>
      <c r="I148" s="65">
        <f>'COMPOSIÇÃO DE VALORES'!M148</f>
        <v>0</v>
      </c>
    </row>
    <row r="149" spans="1:9" x14ac:dyDescent="0.3">
      <c r="A149" s="64">
        <v>139</v>
      </c>
      <c r="B149" s="65">
        <f>'COMPOSIÇÃO DE VALORES'!B149</f>
        <v>0</v>
      </c>
      <c r="C149" s="65">
        <f>'COMPOSIÇÃO DE VALORES'!C149</f>
        <v>0</v>
      </c>
      <c r="D149" s="65">
        <f>'COMPOSIÇÃO DE VALORES'!D149</f>
        <v>0</v>
      </c>
      <c r="E149" s="65">
        <f>'COMPOSIÇÃO DE VALORES'!G149</f>
        <v>0</v>
      </c>
      <c r="F149" s="65">
        <f>'COMPOSIÇÃO DE VALORES'!H149</f>
        <v>0</v>
      </c>
      <c r="G149" s="66">
        <f>'COMPOSIÇÃO DE VALORES'!L149</f>
        <v>0</v>
      </c>
      <c r="H149" s="66">
        <f t="shared" si="4"/>
        <v>0</v>
      </c>
      <c r="I149" s="65">
        <f>'COMPOSIÇÃO DE VALORES'!M149</f>
        <v>0</v>
      </c>
    </row>
    <row r="150" spans="1:9" x14ac:dyDescent="0.3">
      <c r="A150" s="64">
        <v>140</v>
      </c>
      <c r="B150" s="65">
        <f>'COMPOSIÇÃO DE VALORES'!B150</f>
        <v>0</v>
      </c>
      <c r="C150" s="65">
        <f>'COMPOSIÇÃO DE VALORES'!C150</f>
        <v>0</v>
      </c>
      <c r="D150" s="65">
        <f>'COMPOSIÇÃO DE VALORES'!D150</f>
        <v>0</v>
      </c>
      <c r="E150" s="65">
        <f>'COMPOSIÇÃO DE VALORES'!G150</f>
        <v>0</v>
      </c>
      <c r="F150" s="65">
        <f>'COMPOSIÇÃO DE VALORES'!H150</f>
        <v>0</v>
      </c>
      <c r="G150" s="66">
        <f>'COMPOSIÇÃO DE VALORES'!L150</f>
        <v>0</v>
      </c>
      <c r="H150" s="66">
        <f t="shared" si="4"/>
        <v>0</v>
      </c>
      <c r="I150" s="65">
        <f>'COMPOSIÇÃO DE VALORES'!M150</f>
        <v>0</v>
      </c>
    </row>
    <row r="151" spans="1:9" x14ac:dyDescent="0.3">
      <c r="A151" s="64">
        <v>141</v>
      </c>
      <c r="B151" s="65">
        <f>'COMPOSIÇÃO DE VALORES'!B151</f>
        <v>0</v>
      </c>
      <c r="C151" s="65">
        <f>'COMPOSIÇÃO DE VALORES'!C151</f>
        <v>0</v>
      </c>
      <c r="D151" s="65">
        <f>'COMPOSIÇÃO DE VALORES'!D151</f>
        <v>0</v>
      </c>
      <c r="E151" s="65">
        <f>'COMPOSIÇÃO DE VALORES'!G151</f>
        <v>0</v>
      </c>
      <c r="F151" s="65">
        <f>'COMPOSIÇÃO DE VALORES'!H151</f>
        <v>0</v>
      </c>
      <c r="G151" s="66">
        <f>'COMPOSIÇÃO DE VALORES'!L151</f>
        <v>0</v>
      </c>
      <c r="H151" s="66">
        <f t="shared" si="4"/>
        <v>0</v>
      </c>
      <c r="I151" s="65">
        <f>'COMPOSIÇÃO DE VALORES'!M151</f>
        <v>0</v>
      </c>
    </row>
    <row r="152" spans="1:9" x14ac:dyDescent="0.3">
      <c r="A152" s="64">
        <v>142</v>
      </c>
      <c r="B152" s="65">
        <f>'COMPOSIÇÃO DE VALORES'!B152</f>
        <v>0</v>
      </c>
      <c r="C152" s="65">
        <f>'COMPOSIÇÃO DE VALORES'!C152</f>
        <v>0</v>
      </c>
      <c r="D152" s="65">
        <f>'COMPOSIÇÃO DE VALORES'!D152</f>
        <v>0</v>
      </c>
      <c r="E152" s="65">
        <f>'COMPOSIÇÃO DE VALORES'!G152</f>
        <v>0</v>
      </c>
      <c r="F152" s="65">
        <f>'COMPOSIÇÃO DE VALORES'!H152</f>
        <v>0</v>
      </c>
      <c r="G152" s="66">
        <f>'COMPOSIÇÃO DE VALORES'!L152</f>
        <v>0</v>
      </c>
      <c r="H152" s="66">
        <f t="shared" si="4"/>
        <v>0</v>
      </c>
      <c r="I152" s="65">
        <f>'COMPOSIÇÃO DE VALORES'!M152</f>
        <v>0</v>
      </c>
    </row>
    <row r="153" spans="1:9" x14ac:dyDescent="0.3">
      <c r="A153" s="64">
        <v>143</v>
      </c>
      <c r="B153" s="65">
        <f>'COMPOSIÇÃO DE VALORES'!B153</f>
        <v>0</v>
      </c>
      <c r="C153" s="65">
        <f>'COMPOSIÇÃO DE VALORES'!C153</f>
        <v>0</v>
      </c>
      <c r="D153" s="65">
        <f>'COMPOSIÇÃO DE VALORES'!D153</f>
        <v>0</v>
      </c>
      <c r="E153" s="65">
        <f>'COMPOSIÇÃO DE VALORES'!G153</f>
        <v>0</v>
      </c>
      <c r="F153" s="65">
        <f>'COMPOSIÇÃO DE VALORES'!H153</f>
        <v>0</v>
      </c>
      <c r="G153" s="66">
        <f>'COMPOSIÇÃO DE VALORES'!L153</f>
        <v>0</v>
      </c>
      <c r="H153" s="66">
        <f t="shared" si="4"/>
        <v>0</v>
      </c>
      <c r="I153" s="65">
        <f>'COMPOSIÇÃO DE VALORES'!M153</f>
        <v>0</v>
      </c>
    </row>
    <row r="154" spans="1:9" x14ac:dyDescent="0.3">
      <c r="A154" s="64">
        <v>144</v>
      </c>
      <c r="B154" s="65">
        <f>'COMPOSIÇÃO DE VALORES'!B154</f>
        <v>0</v>
      </c>
      <c r="C154" s="65">
        <f>'COMPOSIÇÃO DE VALORES'!C154</f>
        <v>0</v>
      </c>
      <c r="D154" s="65">
        <f>'COMPOSIÇÃO DE VALORES'!D154</f>
        <v>0</v>
      </c>
      <c r="E154" s="65">
        <f>'COMPOSIÇÃO DE VALORES'!G154</f>
        <v>0</v>
      </c>
      <c r="F154" s="65">
        <f>'COMPOSIÇÃO DE VALORES'!H154</f>
        <v>0</v>
      </c>
      <c r="G154" s="66">
        <f>'COMPOSIÇÃO DE VALORES'!L154</f>
        <v>0</v>
      </c>
      <c r="H154" s="66">
        <f t="shared" si="4"/>
        <v>0</v>
      </c>
      <c r="I154" s="65">
        <f>'COMPOSIÇÃO DE VALORES'!M154</f>
        <v>0</v>
      </c>
    </row>
    <row r="155" spans="1:9" x14ac:dyDescent="0.3">
      <c r="A155" s="64">
        <v>145</v>
      </c>
      <c r="B155" s="65">
        <f>'COMPOSIÇÃO DE VALORES'!B155</f>
        <v>0</v>
      </c>
      <c r="C155" s="65">
        <f>'COMPOSIÇÃO DE VALORES'!C155</f>
        <v>0</v>
      </c>
      <c r="D155" s="65">
        <f>'COMPOSIÇÃO DE VALORES'!D155</f>
        <v>0</v>
      </c>
      <c r="E155" s="65">
        <f>'COMPOSIÇÃO DE VALORES'!G155</f>
        <v>0</v>
      </c>
      <c r="F155" s="65">
        <f>'COMPOSIÇÃO DE VALORES'!H155</f>
        <v>0</v>
      </c>
      <c r="G155" s="66">
        <f>'COMPOSIÇÃO DE VALORES'!L155</f>
        <v>0</v>
      </c>
      <c r="H155" s="66">
        <f t="shared" si="4"/>
        <v>0</v>
      </c>
      <c r="I155" s="65">
        <f>'COMPOSIÇÃO DE VALORES'!M155</f>
        <v>0</v>
      </c>
    </row>
    <row r="156" spans="1:9" x14ac:dyDescent="0.3">
      <c r="A156" s="64">
        <v>146</v>
      </c>
      <c r="B156" s="65">
        <f>'COMPOSIÇÃO DE VALORES'!B156</f>
        <v>0</v>
      </c>
      <c r="C156" s="65">
        <f>'COMPOSIÇÃO DE VALORES'!C156</f>
        <v>0</v>
      </c>
      <c r="D156" s="65">
        <f>'COMPOSIÇÃO DE VALORES'!D156</f>
        <v>0</v>
      </c>
      <c r="E156" s="65">
        <f>'COMPOSIÇÃO DE VALORES'!G156</f>
        <v>0</v>
      </c>
      <c r="F156" s="65">
        <f>'COMPOSIÇÃO DE VALORES'!H156</f>
        <v>0</v>
      </c>
      <c r="G156" s="66">
        <f>'COMPOSIÇÃO DE VALORES'!L156</f>
        <v>0</v>
      </c>
      <c r="H156" s="66">
        <f t="shared" si="4"/>
        <v>0</v>
      </c>
      <c r="I156" s="65">
        <f>'COMPOSIÇÃO DE VALORES'!M156</f>
        <v>0</v>
      </c>
    </row>
    <row r="157" spans="1:9" x14ac:dyDescent="0.3">
      <c r="A157" s="64">
        <v>147</v>
      </c>
      <c r="B157" s="65">
        <f>'COMPOSIÇÃO DE VALORES'!B157</f>
        <v>0</v>
      </c>
      <c r="C157" s="65">
        <f>'COMPOSIÇÃO DE VALORES'!C157</f>
        <v>0</v>
      </c>
      <c r="D157" s="65">
        <f>'COMPOSIÇÃO DE VALORES'!D157</f>
        <v>0</v>
      </c>
      <c r="E157" s="65">
        <f>'COMPOSIÇÃO DE VALORES'!G157</f>
        <v>0</v>
      </c>
      <c r="F157" s="65">
        <f>'COMPOSIÇÃO DE VALORES'!H157</f>
        <v>0</v>
      </c>
      <c r="G157" s="66">
        <f>'COMPOSIÇÃO DE VALORES'!L157</f>
        <v>0</v>
      </c>
      <c r="H157" s="66">
        <f t="shared" si="4"/>
        <v>0</v>
      </c>
      <c r="I157" s="65">
        <f>'COMPOSIÇÃO DE VALORES'!M157</f>
        <v>0</v>
      </c>
    </row>
    <row r="158" spans="1:9" x14ac:dyDescent="0.3">
      <c r="A158" s="64">
        <v>148</v>
      </c>
      <c r="B158" s="65">
        <f>'COMPOSIÇÃO DE VALORES'!B158</f>
        <v>0</v>
      </c>
      <c r="C158" s="65">
        <f>'COMPOSIÇÃO DE VALORES'!C158</f>
        <v>0</v>
      </c>
      <c r="D158" s="65">
        <f>'COMPOSIÇÃO DE VALORES'!D158</f>
        <v>0</v>
      </c>
      <c r="E158" s="65">
        <f>'COMPOSIÇÃO DE VALORES'!G158</f>
        <v>0</v>
      </c>
      <c r="F158" s="65">
        <f>'COMPOSIÇÃO DE VALORES'!H158</f>
        <v>0</v>
      </c>
      <c r="G158" s="66">
        <f>'COMPOSIÇÃO DE VALORES'!L158</f>
        <v>0</v>
      </c>
      <c r="H158" s="66">
        <f t="shared" si="4"/>
        <v>0</v>
      </c>
      <c r="I158" s="65">
        <f>'COMPOSIÇÃO DE VALORES'!M158</f>
        <v>0</v>
      </c>
    </row>
    <row r="159" spans="1:9" x14ac:dyDescent="0.3">
      <c r="A159" s="64">
        <v>149</v>
      </c>
      <c r="B159" s="65">
        <f>'COMPOSIÇÃO DE VALORES'!B159</f>
        <v>0</v>
      </c>
      <c r="C159" s="65">
        <f>'COMPOSIÇÃO DE VALORES'!C159</f>
        <v>0</v>
      </c>
      <c r="D159" s="65">
        <f>'COMPOSIÇÃO DE VALORES'!D159</f>
        <v>0</v>
      </c>
      <c r="E159" s="65">
        <f>'COMPOSIÇÃO DE VALORES'!G159</f>
        <v>0</v>
      </c>
      <c r="F159" s="65">
        <f>'COMPOSIÇÃO DE VALORES'!H159</f>
        <v>0</v>
      </c>
      <c r="G159" s="66">
        <f>'COMPOSIÇÃO DE VALORES'!L159</f>
        <v>0</v>
      </c>
      <c r="H159" s="66">
        <f t="shared" si="4"/>
        <v>0</v>
      </c>
      <c r="I159" s="65">
        <f>'COMPOSIÇÃO DE VALORES'!M159</f>
        <v>0</v>
      </c>
    </row>
    <row r="160" spans="1:9" x14ac:dyDescent="0.3">
      <c r="A160" s="64">
        <v>150</v>
      </c>
      <c r="B160" s="65">
        <f>'COMPOSIÇÃO DE VALORES'!B160</f>
        <v>0</v>
      </c>
      <c r="C160" s="65">
        <f>'COMPOSIÇÃO DE VALORES'!C160</f>
        <v>0</v>
      </c>
      <c r="D160" s="65">
        <f>'COMPOSIÇÃO DE VALORES'!D160</f>
        <v>0</v>
      </c>
      <c r="E160" s="65">
        <f>'COMPOSIÇÃO DE VALORES'!G160</f>
        <v>0</v>
      </c>
      <c r="F160" s="65">
        <f>'COMPOSIÇÃO DE VALORES'!H160</f>
        <v>0</v>
      </c>
      <c r="G160" s="66">
        <f>'COMPOSIÇÃO DE VALORES'!L160</f>
        <v>0</v>
      </c>
      <c r="H160" s="66">
        <f t="shared" si="4"/>
        <v>0</v>
      </c>
      <c r="I160" s="65">
        <f>'COMPOSIÇÃO DE VALORES'!M160</f>
        <v>0</v>
      </c>
    </row>
    <row r="161" spans="1:9" x14ac:dyDescent="0.3">
      <c r="A161" s="64">
        <v>151</v>
      </c>
      <c r="B161" s="65">
        <f>'COMPOSIÇÃO DE VALORES'!B161</f>
        <v>0</v>
      </c>
      <c r="C161" s="65">
        <f>'COMPOSIÇÃO DE VALORES'!C161</f>
        <v>0</v>
      </c>
      <c r="D161" s="65">
        <f>'COMPOSIÇÃO DE VALORES'!D161</f>
        <v>0</v>
      </c>
      <c r="E161" s="65">
        <f>'COMPOSIÇÃO DE VALORES'!G161</f>
        <v>0</v>
      </c>
      <c r="F161" s="65">
        <f>'COMPOSIÇÃO DE VALORES'!H161</f>
        <v>0</v>
      </c>
      <c r="G161" s="66">
        <f>'COMPOSIÇÃO DE VALORES'!L161</f>
        <v>0</v>
      </c>
      <c r="H161" s="66">
        <f t="shared" si="4"/>
        <v>0</v>
      </c>
      <c r="I161" s="65">
        <f>'COMPOSIÇÃO DE VALORES'!M161</f>
        <v>0</v>
      </c>
    </row>
    <row r="162" spans="1:9" x14ac:dyDescent="0.3">
      <c r="A162" s="64">
        <v>152</v>
      </c>
      <c r="B162" s="65">
        <f>'COMPOSIÇÃO DE VALORES'!B162</f>
        <v>0</v>
      </c>
      <c r="C162" s="65">
        <f>'COMPOSIÇÃO DE VALORES'!C162</f>
        <v>0</v>
      </c>
      <c r="D162" s="65">
        <f>'COMPOSIÇÃO DE VALORES'!D162</f>
        <v>0</v>
      </c>
      <c r="E162" s="65">
        <f>'COMPOSIÇÃO DE VALORES'!G162</f>
        <v>0</v>
      </c>
      <c r="F162" s="65">
        <f>'COMPOSIÇÃO DE VALORES'!H162</f>
        <v>0</v>
      </c>
      <c r="G162" s="66">
        <f>'COMPOSIÇÃO DE VALORES'!L162</f>
        <v>0</v>
      </c>
      <c r="H162" s="66">
        <f t="shared" si="4"/>
        <v>0</v>
      </c>
      <c r="I162" s="65">
        <f>'COMPOSIÇÃO DE VALORES'!M162</f>
        <v>0</v>
      </c>
    </row>
    <row r="163" spans="1:9" x14ac:dyDescent="0.3">
      <c r="A163" s="64">
        <v>153</v>
      </c>
      <c r="B163" s="65">
        <f>'COMPOSIÇÃO DE VALORES'!B163</f>
        <v>0</v>
      </c>
      <c r="C163" s="65">
        <f>'COMPOSIÇÃO DE VALORES'!C163</f>
        <v>0</v>
      </c>
      <c r="D163" s="65">
        <f>'COMPOSIÇÃO DE VALORES'!D163</f>
        <v>0</v>
      </c>
      <c r="E163" s="65">
        <f>'COMPOSIÇÃO DE VALORES'!G163</f>
        <v>0</v>
      </c>
      <c r="F163" s="65">
        <f>'COMPOSIÇÃO DE VALORES'!H163</f>
        <v>0</v>
      </c>
      <c r="G163" s="66">
        <f>'COMPOSIÇÃO DE VALORES'!L163</f>
        <v>0</v>
      </c>
      <c r="H163" s="66">
        <f t="shared" si="4"/>
        <v>0</v>
      </c>
      <c r="I163" s="65">
        <f>'COMPOSIÇÃO DE VALORES'!M163</f>
        <v>0</v>
      </c>
    </row>
    <row r="164" spans="1:9" x14ac:dyDescent="0.3">
      <c r="A164" s="64">
        <v>154</v>
      </c>
      <c r="B164" s="65">
        <f>'COMPOSIÇÃO DE VALORES'!B164</f>
        <v>0</v>
      </c>
      <c r="C164" s="65">
        <f>'COMPOSIÇÃO DE VALORES'!C164</f>
        <v>0</v>
      </c>
      <c r="D164" s="65">
        <f>'COMPOSIÇÃO DE VALORES'!D164</f>
        <v>0</v>
      </c>
      <c r="E164" s="65">
        <f>'COMPOSIÇÃO DE VALORES'!G164</f>
        <v>0</v>
      </c>
      <c r="F164" s="65">
        <f>'COMPOSIÇÃO DE VALORES'!H164</f>
        <v>0</v>
      </c>
      <c r="G164" s="66">
        <f>'COMPOSIÇÃO DE VALORES'!L164</f>
        <v>0</v>
      </c>
      <c r="H164" s="66">
        <f t="shared" si="4"/>
        <v>0</v>
      </c>
      <c r="I164" s="65">
        <f>'COMPOSIÇÃO DE VALORES'!M164</f>
        <v>0</v>
      </c>
    </row>
    <row r="165" spans="1:9" x14ac:dyDescent="0.3">
      <c r="A165" s="64">
        <v>155</v>
      </c>
      <c r="B165" s="65">
        <f>'COMPOSIÇÃO DE VALORES'!B165</f>
        <v>0</v>
      </c>
      <c r="C165" s="65">
        <f>'COMPOSIÇÃO DE VALORES'!C165</f>
        <v>0</v>
      </c>
      <c r="D165" s="65">
        <f>'COMPOSIÇÃO DE VALORES'!D165</f>
        <v>0</v>
      </c>
      <c r="E165" s="65">
        <f>'COMPOSIÇÃO DE VALORES'!G165</f>
        <v>0</v>
      </c>
      <c r="F165" s="65">
        <f>'COMPOSIÇÃO DE VALORES'!H165</f>
        <v>0</v>
      </c>
      <c r="G165" s="66">
        <f>'COMPOSIÇÃO DE VALORES'!L165</f>
        <v>0</v>
      </c>
      <c r="H165" s="66">
        <f t="shared" si="4"/>
        <v>0</v>
      </c>
      <c r="I165" s="65">
        <f>'COMPOSIÇÃO DE VALORES'!M165</f>
        <v>0</v>
      </c>
    </row>
    <row r="166" spans="1:9" x14ac:dyDescent="0.3">
      <c r="A166" s="64">
        <v>156</v>
      </c>
      <c r="B166" s="65">
        <f>'COMPOSIÇÃO DE VALORES'!B166</f>
        <v>0</v>
      </c>
      <c r="C166" s="65">
        <f>'COMPOSIÇÃO DE VALORES'!C166</f>
        <v>0</v>
      </c>
      <c r="D166" s="65">
        <f>'COMPOSIÇÃO DE VALORES'!D166</f>
        <v>0</v>
      </c>
      <c r="E166" s="65">
        <f>'COMPOSIÇÃO DE VALORES'!G166</f>
        <v>0</v>
      </c>
      <c r="F166" s="65">
        <f>'COMPOSIÇÃO DE VALORES'!H166</f>
        <v>0</v>
      </c>
      <c r="G166" s="66">
        <f>'COMPOSIÇÃO DE VALORES'!L166</f>
        <v>0</v>
      </c>
      <c r="H166" s="66">
        <f t="shared" si="4"/>
        <v>0</v>
      </c>
      <c r="I166" s="65">
        <f>'COMPOSIÇÃO DE VALORES'!M166</f>
        <v>0</v>
      </c>
    </row>
    <row r="167" spans="1:9" x14ac:dyDescent="0.3">
      <c r="A167" s="64">
        <v>157</v>
      </c>
      <c r="B167" s="65">
        <f>'COMPOSIÇÃO DE VALORES'!B167</f>
        <v>0</v>
      </c>
      <c r="C167" s="65">
        <f>'COMPOSIÇÃO DE VALORES'!C167</f>
        <v>0</v>
      </c>
      <c r="D167" s="65">
        <f>'COMPOSIÇÃO DE VALORES'!D167</f>
        <v>0</v>
      </c>
      <c r="E167" s="65">
        <f>'COMPOSIÇÃO DE VALORES'!G167</f>
        <v>0</v>
      </c>
      <c r="F167" s="65">
        <f>'COMPOSIÇÃO DE VALORES'!H167</f>
        <v>0</v>
      </c>
      <c r="G167" s="66">
        <f>'COMPOSIÇÃO DE VALORES'!L167</f>
        <v>0</v>
      </c>
      <c r="H167" s="66">
        <f t="shared" si="4"/>
        <v>0</v>
      </c>
      <c r="I167" s="65">
        <f>'COMPOSIÇÃO DE VALORES'!M167</f>
        <v>0</v>
      </c>
    </row>
    <row r="168" spans="1:9" x14ac:dyDescent="0.3">
      <c r="A168" s="64">
        <v>158</v>
      </c>
      <c r="B168" s="65">
        <f>'COMPOSIÇÃO DE VALORES'!B168</f>
        <v>0</v>
      </c>
      <c r="C168" s="65">
        <f>'COMPOSIÇÃO DE VALORES'!C168</f>
        <v>0</v>
      </c>
      <c r="D168" s="65">
        <f>'COMPOSIÇÃO DE VALORES'!D168</f>
        <v>0</v>
      </c>
      <c r="E168" s="65">
        <f>'COMPOSIÇÃO DE VALORES'!G168</f>
        <v>0</v>
      </c>
      <c r="F168" s="65">
        <f>'COMPOSIÇÃO DE VALORES'!H168</f>
        <v>0</v>
      </c>
      <c r="G168" s="66">
        <f>'COMPOSIÇÃO DE VALORES'!L168</f>
        <v>0</v>
      </c>
      <c r="H168" s="66">
        <f t="shared" si="4"/>
        <v>0</v>
      </c>
      <c r="I168" s="65">
        <f>'COMPOSIÇÃO DE VALORES'!M168</f>
        <v>0</v>
      </c>
    </row>
    <row r="169" spans="1:9" x14ac:dyDescent="0.3">
      <c r="A169" s="64">
        <v>159</v>
      </c>
      <c r="B169" s="65">
        <f>'COMPOSIÇÃO DE VALORES'!B169</f>
        <v>0</v>
      </c>
      <c r="C169" s="65">
        <f>'COMPOSIÇÃO DE VALORES'!C169</f>
        <v>0</v>
      </c>
      <c r="D169" s="65">
        <f>'COMPOSIÇÃO DE VALORES'!D169</f>
        <v>0</v>
      </c>
      <c r="E169" s="65">
        <f>'COMPOSIÇÃO DE VALORES'!G169</f>
        <v>0</v>
      </c>
      <c r="F169" s="65">
        <f>'COMPOSIÇÃO DE VALORES'!H169</f>
        <v>0</v>
      </c>
      <c r="G169" s="66">
        <f>'COMPOSIÇÃO DE VALORES'!L169</f>
        <v>0</v>
      </c>
      <c r="H169" s="66">
        <f t="shared" si="4"/>
        <v>0</v>
      </c>
      <c r="I169" s="65">
        <f>'COMPOSIÇÃO DE VALORES'!M169</f>
        <v>0</v>
      </c>
    </row>
    <row r="170" spans="1:9" x14ac:dyDescent="0.3">
      <c r="A170" s="64">
        <v>160</v>
      </c>
      <c r="B170" s="65">
        <f>'COMPOSIÇÃO DE VALORES'!B170</f>
        <v>0</v>
      </c>
      <c r="C170" s="65">
        <f>'COMPOSIÇÃO DE VALORES'!C170</f>
        <v>0</v>
      </c>
      <c r="D170" s="65">
        <f>'COMPOSIÇÃO DE VALORES'!D170</f>
        <v>0</v>
      </c>
      <c r="E170" s="65">
        <f>'COMPOSIÇÃO DE VALORES'!G170</f>
        <v>0</v>
      </c>
      <c r="F170" s="65">
        <f>'COMPOSIÇÃO DE VALORES'!H170</f>
        <v>0</v>
      </c>
      <c r="G170" s="66">
        <f>'COMPOSIÇÃO DE VALORES'!L170</f>
        <v>0</v>
      </c>
      <c r="H170" s="66">
        <f t="shared" si="4"/>
        <v>0</v>
      </c>
      <c r="I170" s="65">
        <f>'COMPOSIÇÃO DE VALORES'!M170</f>
        <v>0</v>
      </c>
    </row>
    <row r="171" spans="1:9" x14ac:dyDescent="0.3">
      <c r="A171" s="64">
        <v>161</v>
      </c>
      <c r="B171" s="65">
        <f>'COMPOSIÇÃO DE VALORES'!B171</f>
        <v>0</v>
      </c>
      <c r="C171" s="65">
        <f>'COMPOSIÇÃO DE VALORES'!C171</f>
        <v>0</v>
      </c>
      <c r="D171" s="65">
        <f>'COMPOSIÇÃO DE VALORES'!D171</f>
        <v>0</v>
      </c>
      <c r="E171" s="65">
        <f>'COMPOSIÇÃO DE VALORES'!G171</f>
        <v>0</v>
      </c>
      <c r="F171" s="65">
        <f>'COMPOSIÇÃO DE VALORES'!H171</f>
        <v>0</v>
      </c>
      <c r="G171" s="66">
        <f>'COMPOSIÇÃO DE VALORES'!L171</f>
        <v>0</v>
      </c>
      <c r="H171" s="66">
        <f t="shared" si="4"/>
        <v>0</v>
      </c>
      <c r="I171" s="65">
        <f>'COMPOSIÇÃO DE VALORES'!M171</f>
        <v>0</v>
      </c>
    </row>
    <row r="172" spans="1:9" x14ac:dyDescent="0.3">
      <c r="A172" s="64">
        <v>162</v>
      </c>
      <c r="B172" s="65">
        <f>'COMPOSIÇÃO DE VALORES'!B172</f>
        <v>0</v>
      </c>
      <c r="C172" s="65">
        <f>'COMPOSIÇÃO DE VALORES'!C172</f>
        <v>0</v>
      </c>
      <c r="D172" s="65">
        <f>'COMPOSIÇÃO DE VALORES'!D172</f>
        <v>0</v>
      </c>
      <c r="E172" s="65">
        <f>'COMPOSIÇÃO DE VALORES'!G172</f>
        <v>0</v>
      </c>
      <c r="F172" s="65">
        <f>'COMPOSIÇÃO DE VALORES'!H172</f>
        <v>0</v>
      </c>
      <c r="G172" s="66">
        <f>'COMPOSIÇÃO DE VALORES'!L172</f>
        <v>0</v>
      </c>
      <c r="H172" s="66">
        <f t="shared" si="4"/>
        <v>0</v>
      </c>
      <c r="I172" s="65">
        <f>'COMPOSIÇÃO DE VALORES'!M172</f>
        <v>0</v>
      </c>
    </row>
    <row r="173" spans="1:9" x14ac:dyDescent="0.3">
      <c r="A173" s="64">
        <v>163</v>
      </c>
      <c r="B173" s="65">
        <f>'COMPOSIÇÃO DE VALORES'!B173</f>
        <v>0</v>
      </c>
      <c r="C173" s="65">
        <f>'COMPOSIÇÃO DE VALORES'!C173</f>
        <v>0</v>
      </c>
      <c r="D173" s="65">
        <f>'COMPOSIÇÃO DE VALORES'!D173</f>
        <v>0</v>
      </c>
      <c r="E173" s="65">
        <f>'COMPOSIÇÃO DE VALORES'!G173</f>
        <v>0</v>
      </c>
      <c r="F173" s="65">
        <f>'COMPOSIÇÃO DE VALORES'!H173</f>
        <v>0</v>
      </c>
      <c r="G173" s="66">
        <f>'COMPOSIÇÃO DE VALORES'!L173</f>
        <v>0</v>
      </c>
      <c r="H173" s="66">
        <f t="shared" si="4"/>
        <v>0</v>
      </c>
      <c r="I173" s="65">
        <f>'COMPOSIÇÃO DE VALORES'!M173</f>
        <v>0</v>
      </c>
    </row>
    <row r="174" spans="1:9" x14ac:dyDescent="0.3">
      <c r="A174" s="64">
        <v>164</v>
      </c>
      <c r="B174" s="65">
        <f>'COMPOSIÇÃO DE VALORES'!B174</f>
        <v>0</v>
      </c>
      <c r="C174" s="65">
        <f>'COMPOSIÇÃO DE VALORES'!C174</f>
        <v>0</v>
      </c>
      <c r="D174" s="65">
        <f>'COMPOSIÇÃO DE VALORES'!D174</f>
        <v>0</v>
      </c>
      <c r="E174" s="65">
        <f>'COMPOSIÇÃO DE VALORES'!G174</f>
        <v>0</v>
      </c>
      <c r="F174" s="65">
        <f>'COMPOSIÇÃO DE VALORES'!H174</f>
        <v>0</v>
      </c>
      <c r="G174" s="66">
        <f>'COMPOSIÇÃO DE VALORES'!L174</f>
        <v>0</v>
      </c>
      <c r="H174" s="66">
        <f t="shared" si="4"/>
        <v>0</v>
      </c>
      <c r="I174" s="65">
        <f>'COMPOSIÇÃO DE VALORES'!M174</f>
        <v>0</v>
      </c>
    </row>
    <row r="175" spans="1:9" x14ac:dyDescent="0.3">
      <c r="A175" s="64">
        <v>165</v>
      </c>
      <c r="B175" s="65">
        <f>'COMPOSIÇÃO DE VALORES'!B175</f>
        <v>0</v>
      </c>
      <c r="C175" s="65">
        <f>'COMPOSIÇÃO DE VALORES'!C175</f>
        <v>0</v>
      </c>
      <c r="D175" s="65">
        <f>'COMPOSIÇÃO DE VALORES'!D175</f>
        <v>0</v>
      </c>
      <c r="E175" s="65">
        <f>'COMPOSIÇÃO DE VALORES'!G175</f>
        <v>0</v>
      </c>
      <c r="F175" s="65">
        <f>'COMPOSIÇÃO DE VALORES'!H175</f>
        <v>0</v>
      </c>
      <c r="G175" s="66">
        <f>'COMPOSIÇÃO DE VALORES'!L175</f>
        <v>0</v>
      </c>
      <c r="H175" s="66">
        <f t="shared" ref="H175:H197" si="5">G175*B175</f>
        <v>0</v>
      </c>
      <c r="I175" s="65">
        <f>'COMPOSIÇÃO DE VALORES'!M175</f>
        <v>0</v>
      </c>
    </row>
    <row r="176" spans="1:9" x14ac:dyDescent="0.3">
      <c r="A176" s="64">
        <v>166</v>
      </c>
      <c r="B176" s="65">
        <f>'COMPOSIÇÃO DE VALORES'!B176</f>
        <v>0</v>
      </c>
      <c r="C176" s="65">
        <f>'COMPOSIÇÃO DE VALORES'!C176</f>
        <v>0</v>
      </c>
      <c r="D176" s="65">
        <f>'COMPOSIÇÃO DE VALORES'!D176</f>
        <v>0</v>
      </c>
      <c r="E176" s="65">
        <f>'COMPOSIÇÃO DE VALORES'!G176</f>
        <v>0</v>
      </c>
      <c r="F176" s="65">
        <f>'COMPOSIÇÃO DE VALORES'!H176</f>
        <v>0</v>
      </c>
      <c r="G176" s="66">
        <f>'COMPOSIÇÃO DE VALORES'!L176</f>
        <v>0</v>
      </c>
      <c r="H176" s="66">
        <f t="shared" si="5"/>
        <v>0</v>
      </c>
      <c r="I176" s="65">
        <f>'COMPOSIÇÃO DE VALORES'!M176</f>
        <v>0</v>
      </c>
    </row>
    <row r="177" spans="1:9" x14ac:dyDescent="0.3">
      <c r="A177" s="64">
        <v>167</v>
      </c>
      <c r="B177" s="65">
        <f>'COMPOSIÇÃO DE VALORES'!B177</f>
        <v>0</v>
      </c>
      <c r="C177" s="65">
        <f>'COMPOSIÇÃO DE VALORES'!C177</f>
        <v>0</v>
      </c>
      <c r="D177" s="65">
        <f>'COMPOSIÇÃO DE VALORES'!D177</f>
        <v>0</v>
      </c>
      <c r="E177" s="65">
        <f>'COMPOSIÇÃO DE VALORES'!G177</f>
        <v>0</v>
      </c>
      <c r="F177" s="65">
        <f>'COMPOSIÇÃO DE VALORES'!H177</f>
        <v>0</v>
      </c>
      <c r="G177" s="66">
        <f>'COMPOSIÇÃO DE VALORES'!L177</f>
        <v>0</v>
      </c>
      <c r="H177" s="66">
        <f t="shared" si="5"/>
        <v>0</v>
      </c>
      <c r="I177" s="65">
        <f>'COMPOSIÇÃO DE VALORES'!M177</f>
        <v>0</v>
      </c>
    </row>
    <row r="178" spans="1:9" x14ac:dyDescent="0.3">
      <c r="A178" s="64">
        <v>168</v>
      </c>
      <c r="B178" s="65">
        <f>'COMPOSIÇÃO DE VALORES'!B178</f>
        <v>0</v>
      </c>
      <c r="C178" s="65">
        <f>'COMPOSIÇÃO DE VALORES'!C178</f>
        <v>0</v>
      </c>
      <c r="D178" s="65">
        <f>'COMPOSIÇÃO DE VALORES'!D178</f>
        <v>0</v>
      </c>
      <c r="E178" s="65">
        <f>'COMPOSIÇÃO DE VALORES'!G178</f>
        <v>0</v>
      </c>
      <c r="F178" s="65">
        <f>'COMPOSIÇÃO DE VALORES'!H178</f>
        <v>0</v>
      </c>
      <c r="G178" s="66">
        <f>'COMPOSIÇÃO DE VALORES'!L178</f>
        <v>0</v>
      </c>
      <c r="H178" s="66">
        <f t="shared" si="5"/>
        <v>0</v>
      </c>
      <c r="I178" s="65">
        <f>'COMPOSIÇÃO DE VALORES'!M178</f>
        <v>0</v>
      </c>
    </row>
    <row r="179" spans="1:9" x14ac:dyDescent="0.3">
      <c r="A179" s="64">
        <v>169</v>
      </c>
      <c r="B179" s="65">
        <f>'COMPOSIÇÃO DE VALORES'!B179</f>
        <v>0</v>
      </c>
      <c r="C179" s="65">
        <f>'COMPOSIÇÃO DE VALORES'!C179</f>
        <v>0</v>
      </c>
      <c r="D179" s="65">
        <f>'COMPOSIÇÃO DE VALORES'!D179</f>
        <v>0</v>
      </c>
      <c r="E179" s="65">
        <f>'COMPOSIÇÃO DE VALORES'!G179</f>
        <v>0</v>
      </c>
      <c r="F179" s="65">
        <f>'COMPOSIÇÃO DE VALORES'!H179</f>
        <v>0</v>
      </c>
      <c r="G179" s="66">
        <f>'COMPOSIÇÃO DE VALORES'!L179</f>
        <v>0</v>
      </c>
      <c r="H179" s="66">
        <f t="shared" si="5"/>
        <v>0</v>
      </c>
      <c r="I179" s="65">
        <f>'COMPOSIÇÃO DE VALORES'!M179</f>
        <v>0</v>
      </c>
    </row>
    <row r="180" spans="1:9" x14ac:dyDescent="0.3">
      <c r="A180" s="64">
        <v>170</v>
      </c>
      <c r="B180" s="65">
        <f>'COMPOSIÇÃO DE VALORES'!B180</f>
        <v>0</v>
      </c>
      <c r="C180" s="65">
        <f>'COMPOSIÇÃO DE VALORES'!C180</f>
        <v>0</v>
      </c>
      <c r="D180" s="65">
        <f>'COMPOSIÇÃO DE VALORES'!D180</f>
        <v>0</v>
      </c>
      <c r="E180" s="65">
        <f>'COMPOSIÇÃO DE VALORES'!G180</f>
        <v>0</v>
      </c>
      <c r="F180" s="65">
        <f>'COMPOSIÇÃO DE VALORES'!H180</f>
        <v>0</v>
      </c>
      <c r="G180" s="66">
        <f>'COMPOSIÇÃO DE VALORES'!L180</f>
        <v>0</v>
      </c>
      <c r="H180" s="66">
        <f t="shared" si="5"/>
        <v>0</v>
      </c>
      <c r="I180" s="65">
        <f>'COMPOSIÇÃO DE VALORES'!M180</f>
        <v>0</v>
      </c>
    </row>
    <row r="181" spans="1:9" x14ac:dyDescent="0.3">
      <c r="A181" s="64">
        <v>171</v>
      </c>
      <c r="B181" s="65">
        <f>'COMPOSIÇÃO DE VALORES'!B181</f>
        <v>0</v>
      </c>
      <c r="C181" s="65">
        <f>'COMPOSIÇÃO DE VALORES'!C181</f>
        <v>0</v>
      </c>
      <c r="D181" s="65">
        <f>'COMPOSIÇÃO DE VALORES'!D181</f>
        <v>0</v>
      </c>
      <c r="E181" s="65">
        <f>'COMPOSIÇÃO DE VALORES'!G181</f>
        <v>0</v>
      </c>
      <c r="F181" s="65">
        <f>'COMPOSIÇÃO DE VALORES'!H181</f>
        <v>0</v>
      </c>
      <c r="G181" s="66">
        <f>'COMPOSIÇÃO DE VALORES'!L181</f>
        <v>0</v>
      </c>
      <c r="H181" s="66">
        <f t="shared" si="5"/>
        <v>0</v>
      </c>
      <c r="I181" s="65">
        <f>'COMPOSIÇÃO DE VALORES'!M181</f>
        <v>0</v>
      </c>
    </row>
    <row r="182" spans="1:9" x14ac:dyDescent="0.3">
      <c r="A182" s="64">
        <v>172</v>
      </c>
      <c r="B182" s="65">
        <f>'COMPOSIÇÃO DE VALORES'!B182</f>
        <v>0</v>
      </c>
      <c r="C182" s="65">
        <f>'COMPOSIÇÃO DE VALORES'!C182</f>
        <v>0</v>
      </c>
      <c r="D182" s="65">
        <f>'COMPOSIÇÃO DE VALORES'!D182</f>
        <v>0</v>
      </c>
      <c r="E182" s="65">
        <f>'COMPOSIÇÃO DE VALORES'!G182</f>
        <v>0</v>
      </c>
      <c r="F182" s="65">
        <f>'COMPOSIÇÃO DE VALORES'!H182</f>
        <v>0</v>
      </c>
      <c r="G182" s="66">
        <f>'COMPOSIÇÃO DE VALORES'!L182</f>
        <v>0</v>
      </c>
      <c r="H182" s="66">
        <f t="shared" si="5"/>
        <v>0</v>
      </c>
      <c r="I182" s="65">
        <f>'COMPOSIÇÃO DE VALORES'!M182</f>
        <v>0</v>
      </c>
    </row>
    <row r="183" spans="1:9" x14ac:dyDescent="0.3">
      <c r="A183" s="64">
        <v>173</v>
      </c>
      <c r="B183" s="65">
        <f>'COMPOSIÇÃO DE VALORES'!B183</f>
        <v>0</v>
      </c>
      <c r="C183" s="65">
        <f>'COMPOSIÇÃO DE VALORES'!C183</f>
        <v>0</v>
      </c>
      <c r="D183" s="65">
        <f>'COMPOSIÇÃO DE VALORES'!D183</f>
        <v>0</v>
      </c>
      <c r="E183" s="65">
        <f>'COMPOSIÇÃO DE VALORES'!G183</f>
        <v>0</v>
      </c>
      <c r="F183" s="65">
        <f>'COMPOSIÇÃO DE VALORES'!H183</f>
        <v>0</v>
      </c>
      <c r="G183" s="66">
        <f>'COMPOSIÇÃO DE VALORES'!L183</f>
        <v>0</v>
      </c>
      <c r="H183" s="66">
        <f t="shared" si="5"/>
        <v>0</v>
      </c>
      <c r="I183" s="65">
        <f>'COMPOSIÇÃO DE VALORES'!M183</f>
        <v>0</v>
      </c>
    </row>
    <row r="184" spans="1:9" x14ac:dyDescent="0.3">
      <c r="A184" s="64">
        <v>174</v>
      </c>
      <c r="B184" s="65">
        <f>'COMPOSIÇÃO DE VALORES'!B184</f>
        <v>0</v>
      </c>
      <c r="C184" s="65">
        <f>'COMPOSIÇÃO DE VALORES'!C184</f>
        <v>0</v>
      </c>
      <c r="D184" s="65">
        <f>'COMPOSIÇÃO DE VALORES'!D184</f>
        <v>0</v>
      </c>
      <c r="E184" s="65">
        <f>'COMPOSIÇÃO DE VALORES'!G184</f>
        <v>0</v>
      </c>
      <c r="F184" s="65">
        <f>'COMPOSIÇÃO DE VALORES'!H184</f>
        <v>0</v>
      </c>
      <c r="G184" s="66">
        <f>'COMPOSIÇÃO DE VALORES'!L184</f>
        <v>0</v>
      </c>
      <c r="H184" s="66">
        <f t="shared" si="5"/>
        <v>0</v>
      </c>
      <c r="I184" s="65">
        <f>'COMPOSIÇÃO DE VALORES'!M184</f>
        <v>0</v>
      </c>
    </row>
    <row r="185" spans="1:9" x14ac:dyDescent="0.3">
      <c r="A185" s="64">
        <v>175</v>
      </c>
      <c r="B185" s="65">
        <f>'COMPOSIÇÃO DE VALORES'!B185</f>
        <v>0</v>
      </c>
      <c r="C185" s="65">
        <f>'COMPOSIÇÃO DE VALORES'!C185</f>
        <v>0</v>
      </c>
      <c r="D185" s="65">
        <f>'COMPOSIÇÃO DE VALORES'!D185</f>
        <v>0</v>
      </c>
      <c r="E185" s="65">
        <f>'COMPOSIÇÃO DE VALORES'!G185</f>
        <v>0</v>
      </c>
      <c r="F185" s="65">
        <f>'COMPOSIÇÃO DE VALORES'!H185</f>
        <v>0</v>
      </c>
      <c r="G185" s="66">
        <f>'COMPOSIÇÃO DE VALORES'!L185</f>
        <v>0</v>
      </c>
      <c r="H185" s="66">
        <f t="shared" si="5"/>
        <v>0</v>
      </c>
      <c r="I185" s="65">
        <f>'COMPOSIÇÃO DE VALORES'!M185</f>
        <v>0</v>
      </c>
    </row>
    <row r="186" spans="1:9" x14ac:dyDescent="0.3">
      <c r="A186" s="64">
        <v>176</v>
      </c>
      <c r="B186" s="65">
        <f>'COMPOSIÇÃO DE VALORES'!B186</f>
        <v>0</v>
      </c>
      <c r="C186" s="65">
        <f>'COMPOSIÇÃO DE VALORES'!C186</f>
        <v>0</v>
      </c>
      <c r="D186" s="65">
        <f>'COMPOSIÇÃO DE VALORES'!D186</f>
        <v>0</v>
      </c>
      <c r="E186" s="65">
        <f>'COMPOSIÇÃO DE VALORES'!G186</f>
        <v>0</v>
      </c>
      <c r="F186" s="65">
        <f>'COMPOSIÇÃO DE VALORES'!H186</f>
        <v>0</v>
      </c>
      <c r="G186" s="66">
        <f>'COMPOSIÇÃO DE VALORES'!L186</f>
        <v>0</v>
      </c>
      <c r="H186" s="66">
        <f t="shared" si="5"/>
        <v>0</v>
      </c>
      <c r="I186" s="65">
        <f>'COMPOSIÇÃO DE VALORES'!M186</f>
        <v>0</v>
      </c>
    </row>
    <row r="187" spans="1:9" x14ac:dyDescent="0.3">
      <c r="A187" s="64">
        <v>177</v>
      </c>
      <c r="B187" s="65">
        <f>'COMPOSIÇÃO DE VALORES'!B187</f>
        <v>0</v>
      </c>
      <c r="C187" s="65">
        <f>'COMPOSIÇÃO DE VALORES'!C187</f>
        <v>0</v>
      </c>
      <c r="D187" s="65">
        <f>'COMPOSIÇÃO DE VALORES'!D187</f>
        <v>0</v>
      </c>
      <c r="E187" s="65">
        <f>'COMPOSIÇÃO DE VALORES'!G187</f>
        <v>0</v>
      </c>
      <c r="F187" s="65">
        <f>'COMPOSIÇÃO DE VALORES'!H187</f>
        <v>0</v>
      </c>
      <c r="G187" s="66">
        <f>'COMPOSIÇÃO DE VALORES'!L187</f>
        <v>0</v>
      </c>
      <c r="H187" s="66">
        <f t="shared" si="5"/>
        <v>0</v>
      </c>
      <c r="I187" s="65">
        <f>'COMPOSIÇÃO DE VALORES'!M187</f>
        <v>0</v>
      </c>
    </row>
    <row r="188" spans="1:9" x14ac:dyDescent="0.3">
      <c r="A188" s="64">
        <v>178</v>
      </c>
      <c r="B188" s="65">
        <f>'COMPOSIÇÃO DE VALORES'!B188</f>
        <v>0</v>
      </c>
      <c r="C188" s="65">
        <f>'COMPOSIÇÃO DE VALORES'!C188</f>
        <v>0</v>
      </c>
      <c r="D188" s="65">
        <f>'COMPOSIÇÃO DE VALORES'!D188</f>
        <v>0</v>
      </c>
      <c r="E188" s="65">
        <f>'COMPOSIÇÃO DE VALORES'!G188</f>
        <v>0</v>
      </c>
      <c r="F188" s="65">
        <f>'COMPOSIÇÃO DE VALORES'!H188</f>
        <v>0</v>
      </c>
      <c r="G188" s="66">
        <f>'COMPOSIÇÃO DE VALORES'!L188</f>
        <v>0</v>
      </c>
      <c r="H188" s="66">
        <f t="shared" si="5"/>
        <v>0</v>
      </c>
      <c r="I188" s="65">
        <f>'COMPOSIÇÃO DE VALORES'!M188</f>
        <v>0</v>
      </c>
    </row>
    <row r="189" spans="1:9" x14ac:dyDescent="0.3">
      <c r="A189" s="64">
        <v>179</v>
      </c>
      <c r="B189" s="65">
        <f>'COMPOSIÇÃO DE VALORES'!B189</f>
        <v>0</v>
      </c>
      <c r="C189" s="65">
        <f>'COMPOSIÇÃO DE VALORES'!C189</f>
        <v>0</v>
      </c>
      <c r="D189" s="65">
        <f>'COMPOSIÇÃO DE VALORES'!D189</f>
        <v>0</v>
      </c>
      <c r="E189" s="65">
        <f>'COMPOSIÇÃO DE VALORES'!G189</f>
        <v>0</v>
      </c>
      <c r="F189" s="65">
        <f>'COMPOSIÇÃO DE VALORES'!H189</f>
        <v>0</v>
      </c>
      <c r="G189" s="66">
        <f>'COMPOSIÇÃO DE VALORES'!L189</f>
        <v>0</v>
      </c>
      <c r="H189" s="66">
        <f t="shared" si="5"/>
        <v>0</v>
      </c>
      <c r="I189" s="65">
        <f>'COMPOSIÇÃO DE VALORES'!M189</f>
        <v>0</v>
      </c>
    </row>
    <row r="190" spans="1:9" x14ac:dyDescent="0.3">
      <c r="A190" s="64">
        <v>180</v>
      </c>
      <c r="B190" s="65">
        <f>'COMPOSIÇÃO DE VALORES'!B190</f>
        <v>0</v>
      </c>
      <c r="C190" s="65">
        <f>'COMPOSIÇÃO DE VALORES'!C190</f>
        <v>0</v>
      </c>
      <c r="D190" s="65">
        <f>'COMPOSIÇÃO DE VALORES'!D190</f>
        <v>0</v>
      </c>
      <c r="E190" s="65">
        <f>'COMPOSIÇÃO DE VALORES'!G190</f>
        <v>0</v>
      </c>
      <c r="F190" s="65">
        <f>'COMPOSIÇÃO DE VALORES'!H190</f>
        <v>0</v>
      </c>
      <c r="G190" s="66">
        <f>'COMPOSIÇÃO DE VALORES'!L190</f>
        <v>0</v>
      </c>
      <c r="H190" s="66">
        <f t="shared" si="5"/>
        <v>0</v>
      </c>
      <c r="I190" s="65">
        <f>'COMPOSIÇÃO DE VALORES'!M190</f>
        <v>0</v>
      </c>
    </row>
    <row r="191" spans="1:9" x14ac:dyDescent="0.3">
      <c r="A191" s="64">
        <v>181</v>
      </c>
      <c r="B191" s="65">
        <f>'COMPOSIÇÃO DE VALORES'!B191</f>
        <v>0</v>
      </c>
      <c r="C191" s="65">
        <f>'COMPOSIÇÃO DE VALORES'!C191</f>
        <v>0</v>
      </c>
      <c r="D191" s="65">
        <f>'COMPOSIÇÃO DE VALORES'!D191</f>
        <v>0</v>
      </c>
      <c r="E191" s="65">
        <f>'COMPOSIÇÃO DE VALORES'!G191</f>
        <v>0</v>
      </c>
      <c r="F191" s="65">
        <f>'COMPOSIÇÃO DE VALORES'!H191</f>
        <v>0</v>
      </c>
      <c r="G191" s="66">
        <f>'COMPOSIÇÃO DE VALORES'!L191</f>
        <v>0</v>
      </c>
      <c r="H191" s="66">
        <f t="shared" si="5"/>
        <v>0</v>
      </c>
      <c r="I191" s="65">
        <f>'COMPOSIÇÃO DE VALORES'!M191</f>
        <v>0</v>
      </c>
    </row>
    <row r="192" spans="1:9" x14ac:dyDescent="0.3">
      <c r="A192" s="64">
        <v>182</v>
      </c>
      <c r="B192" s="65">
        <f>'COMPOSIÇÃO DE VALORES'!B192</f>
        <v>0</v>
      </c>
      <c r="C192" s="65">
        <f>'COMPOSIÇÃO DE VALORES'!C192</f>
        <v>0</v>
      </c>
      <c r="D192" s="65">
        <f>'COMPOSIÇÃO DE VALORES'!D192</f>
        <v>0</v>
      </c>
      <c r="E192" s="65">
        <f>'COMPOSIÇÃO DE VALORES'!G192</f>
        <v>0</v>
      </c>
      <c r="F192" s="65">
        <f>'COMPOSIÇÃO DE VALORES'!H192</f>
        <v>0</v>
      </c>
      <c r="G192" s="66">
        <f>'COMPOSIÇÃO DE VALORES'!L192</f>
        <v>0</v>
      </c>
      <c r="H192" s="66">
        <f t="shared" si="5"/>
        <v>0</v>
      </c>
      <c r="I192" s="65">
        <f>'COMPOSIÇÃO DE VALORES'!M192</f>
        <v>0</v>
      </c>
    </row>
    <row r="193" spans="1:9" x14ac:dyDescent="0.3">
      <c r="A193" s="64">
        <v>183</v>
      </c>
      <c r="B193" s="65">
        <f>'COMPOSIÇÃO DE VALORES'!B193</f>
        <v>0</v>
      </c>
      <c r="C193" s="65">
        <f>'COMPOSIÇÃO DE VALORES'!C193</f>
        <v>0</v>
      </c>
      <c r="D193" s="65">
        <f>'COMPOSIÇÃO DE VALORES'!D193</f>
        <v>0</v>
      </c>
      <c r="E193" s="65">
        <f>'COMPOSIÇÃO DE VALORES'!G193</f>
        <v>0</v>
      </c>
      <c r="F193" s="65">
        <f>'COMPOSIÇÃO DE VALORES'!H193</f>
        <v>0</v>
      </c>
      <c r="G193" s="66">
        <f>'COMPOSIÇÃO DE VALORES'!L193</f>
        <v>0</v>
      </c>
      <c r="H193" s="66">
        <f t="shared" si="5"/>
        <v>0</v>
      </c>
      <c r="I193" s="65">
        <f>'COMPOSIÇÃO DE VALORES'!M193</f>
        <v>0</v>
      </c>
    </row>
    <row r="194" spans="1:9" x14ac:dyDescent="0.3">
      <c r="A194" s="64">
        <v>184</v>
      </c>
      <c r="B194" s="65">
        <f>'COMPOSIÇÃO DE VALORES'!B194</f>
        <v>0</v>
      </c>
      <c r="C194" s="65">
        <f>'COMPOSIÇÃO DE VALORES'!C194</f>
        <v>0</v>
      </c>
      <c r="D194" s="65">
        <f>'COMPOSIÇÃO DE VALORES'!D194</f>
        <v>0</v>
      </c>
      <c r="E194" s="65">
        <f>'COMPOSIÇÃO DE VALORES'!G194</f>
        <v>0</v>
      </c>
      <c r="F194" s="65">
        <f>'COMPOSIÇÃO DE VALORES'!H194</f>
        <v>0</v>
      </c>
      <c r="G194" s="66">
        <f>'COMPOSIÇÃO DE VALORES'!L194</f>
        <v>0</v>
      </c>
      <c r="H194" s="66">
        <f t="shared" si="5"/>
        <v>0</v>
      </c>
      <c r="I194" s="65">
        <f>'COMPOSIÇÃO DE VALORES'!M194</f>
        <v>0</v>
      </c>
    </row>
    <row r="195" spans="1:9" x14ac:dyDescent="0.3">
      <c r="A195" s="64">
        <v>185</v>
      </c>
      <c r="B195" s="65">
        <f>'COMPOSIÇÃO DE VALORES'!B195</f>
        <v>0</v>
      </c>
      <c r="C195" s="65">
        <f>'COMPOSIÇÃO DE VALORES'!C195</f>
        <v>0</v>
      </c>
      <c r="D195" s="65">
        <f>'COMPOSIÇÃO DE VALORES'!D195</f>
        <v>0</v>
      </c>
      <c r="E195" s="65">
        <f>'COMPOSIÇÃO DE VALORES'!G195</f>
        <v>0</v>
      </c>
      <c r="F195" s="65">
        <f>'COMPOSIÇÃO DE VALORES'!H195</f>
        <v>0</v>
      </c>
      <c r="G195" s="66">
        <f>'COMPOSIÇÃO DE VALORES'!L195</f>
        <v>0</v>
      </c>
      <c r="H195" s="66">
        <f t="shared" si="5"/>
        <v>0</v>
      </c>
      <c r="I195" s="65">
        <f>'COMPOSIÇÃO DE VALORES'!M195</f>
        <v>0</v>
      </c>
    </row>
    <row r="196" spans="1:9" x14ac:dyDescent="0.3">
      <c r="A196" s="64">
        <v>186</v>
      </c>
      <c r="B196" s="65">
        <f>'COMPOSIÇÃO DE VALORES'!B196</f>
        <v>0</v>
      </c>
      <c r="C196" s="65">
        <f>'COMPOSIÇÃO DE VALORES'!C196</f>
        <v>0</v>
      </c>
      <c r="D196" s="65">
        <f>'COMPOSIÇÃO DE VALORES'!D196</f>
        <v>0</v>
      </c>
      <c r="E196" s="65">
        <f>'COMPOSIÇÃO DE VALORES'!G196</f>
        <v>0</v>
      </c>
      <c r="F196" s="65">
        <f>'COMPOSIÇÃO DE VALORES'!H196</f>
        <v>0</v>
      </c>
      <c r="G196" s="66">
        <f>'COMPOSIÇÃO DE VALORES'!L196</f>
        <v>0</v>
      </c>
      <c r="H196" s="66">
        <f t="shared" si="5"/>
        <v>0</v>
      </c>
      <c r="I196" s="65">
        <f>'COMPOSIÇÃO DE VALORES'!M196</f>
        <v>0</v>
      </c>
    </row>
    <row r="197" spans="1:9" x14ac:dyDescent="0.3">
      <c r="A197" s="64">
        <v>187</v>
      </c>
      <c r="B197" s="65">
        <f>'COMPOSIÇÃO DE VALORES'!B197</f>
        <v>0</v>
      </c>
      <c r="C197" s="65">
        <f>'COMPOSIÇÃO DE VALORES'!C197</f>
        <v>0</v>
      </c>
      <c r="D197" s="65">
        <f>'COMPOSIÇÃO DE VALORES'!D197</f>
        <v>0</v>
      </c>
      <c r="E197" s="65">
        <f>'COMPOSIÇÃO DE VALORES'!G197</f>
        <v>0</v>
      </c>
      <c r="F197" s="65">
        <f>'COMPOSIÇÃO DE VALORES'!H197</f>
        <v>0</v>
      </c>
      <c r="G197" s="66">
        <f>'COMPOSIÇÃO DE VALORES'!L197</f>
        <v>0</v>
      </c>
      <c r="H197" s="66">
        <f t="shared" si="5"/>
        <v>0</v>
      </c>
      <c r="I197" s="65">
        <f>'COMPOSIÇÃO DE VALORES'!M197</f>
        <v>0</v>
      </c>
    </row>
    <row r="198" spans="1:9" x14ac:dyDescent="0.3">
      <c r="A198" s="64">
        <v>188</v>
      </c>
      <c r="B198" s="65">
        <f>'COMPOSIÇÃO DE VALORES'!B198</f>
        <v>0</v>
      </c>
      <c r="C198" s="65">
        <f>'COMPOSIÇÃO DE VALORES'!C198</f>
        <v>0</v>
      </c>
      <c r="D198" s="65">
        <f>'COMPOSIÇÃO DE VALORES'!D198</f>
        <v>0</v>
      </c>
      <c r="E198" s="65">
        <f>'COMPOSIÇÃO DE VALORES'!G198</f>
        <v>0</v>
      </c>
      <c r="F198" s="65">
        <f>'COMPOSIÇÃO DE VALORES'!H198</f>
        <v>0</v>
      </c>
      <c r="G198" s="66">
        <f>'COMPOSIÇÃO DE VALORES'!L198</f>
        <v>0</v>
      </c>
      <c r="H198" s="66">
        <f>G198*B198</f>
        <v>0</v>
      </c>
      <c r="I198" s="65">
        <f>'COMPOSIÇÃO DE VALORES'!M198</f>
        <v>0</v>
      </c>
    </row>
    <row r="199" spans="1:9" x14ac:dyDescent="0.3">
      <c r="A199" s="64">
        <v>189</v>
      </c>
      <c r="B199" s="65">
        <f>'COMPOSIÇÃO DE VALORES'!B199</f>
        <v>0</v>
      </c>
      <c r="C199" s="65">
        <f>'COMPOSIÇÃO DE VALORES'!C199</f>
        <v>0</v>
      </c>
      <c r="D199" s="65">
        <f>'COMPOSIÇÃO DE VALORES'!D199</f>
        <v>0</v>
      </c>
      <c r="E199" s="65">
        <f>'COMPOSIÇÃO DE VALORES'!G199</f>
        <v>0</v>
      </c>
      <c r="F199" s="65">
        <f>'COMPOSIÇÃO DE VALORES'!H199</f>
        <v>0</v>
      </c>
      <c r="G199" s="66">
        <f>'COMPOSIÇÃO DE VALORES'!L199</f>
        <v>0</v>
      </c>
      <c r="H199" s="66">
        <f t="shared" ref="H199:H262" si="6">G199*B199</f>
        <v>0</v>
      </c>
      <c r="I199" s="65">
        <f>'COMPOSIÇÃO DE VALORES'!M199</f>
        <v>0</v>
      </c>
    </row>
    <row r="200" spans="1:9" x14ac:dyDescent="0.3">
      <c r="A200" s="64">
        <v>190</v>
      </c>
      <c r="B200" s="65">
        <f>'COMPOSIÇÃO DE VALORES'!B200</f>
        <v>0</v>
      </c>
      <c r="C200" s="65">
        <f>'COMPOSIÇÃO DE VALORES'!C200</f>
        <v>0</v>
      </c>
      <c r="D200" s="65">
        <f>'COMPOSIÇÃO DE VALORES'!D200</f>
        <v>0</v>
      </c>
      <c r="E200" s="65">
        <f>'COMPOSIÇÃO DE VALORES'!G200</f>
        <v>0</v>
      </c>
      <c r="F200" s="65">
        <f>'COMPOSIÇÃO DE VALORES'!H200</f>
        <v>0</v>
      </c>
      <c r="G200" s="66">
        <f>'COMPOSIÇÃO DE VALORES'!L200</f>
        <v>0</v>
      </c>
      <c r="H200" s="66">
        <f t="shared" si="6"/>
        <v>0</v>
      </c>
      <c r="I200" s="65">
        <f>'COMPOSIÇÃO DE VALORES'!M200</f>
        <v>0</v>
      </c>
    </row>
    <row r="201" spans="1:9" x14ac:dyDescent="0.3">
      <c r="A201" s="64">
        <v>191</v>
      </c>
      <c r="B201" s="65">
        <f>'COMPOSIÇÃO DE VALORES'!B201</f>
        <v>0</v>
      </c>
      <c r="C201" s="65">
        <f>'COMPOSIÇÃO DE VALORES'!C201</f>
        <v>0</v>
      </c>
      <c r="D201" s="65">
        <f>'COMPOSIÇÃO DE VALORES'!D201</f>
        <v>0</v>
      </c>
      <c r="E201" s="65">
        <f>'COMPOSIÇÃO DE VALORES'!G201</f>
        <v>0</v>
      </c>
      <c r="F201" s="65">
        <f>'COMPOSIÇÃO DE VALORES'!H201</f>
        <v>0</v>
      </c>
      <c r="G201" s="66">
        <f>'COMPOSIÇÃO DE VALORES'!L201</f>
        <v>0</v>
      </c>
      <c r="H201" s="66">
        <f t="shared" si="6"/>
        <v>0</v>
      </c>
      <c r="I201" s="65">
        <f>'COMPOSIÇÃO DE VALORES'!M201</f>
        <v>0</v>
      </c>
    </row>
    <row r="202" spans="1:9" x14ac:dyDescent="0.3">
      <c r="A202" s="64">
        <v>192</v>
      </c>
      <c r="B202" s="65">
        <f>'COMPOSIÇÃO DE VALORES'!B202</f>
        <v>0</v>
      </c>
      <c r="C202" s="65">
        <f>'COMPOSIÇÃO DE VALORES'!C202</f>
        <v>0</v>
      </c>
      <c r="D202" s="65">
        <f>'COMPOSIÇÃO DE VALORES'!D202</f>
        <v>0</v>
      </c>
      <c r="E202" s="65">
        <f>'COMPOSIÇÃO DE VALORES'!G202</f>
        <v>0</v>
      </c>
      <c r="F202" s="65">
        <f>'COMPOSIÇÃO DE VALORES'!H202</f>
        <v>0</v>
      </c>
      <c r="G202" s="66">
        <f>'COMPOSIÇÃO DE VALORES'!L202</f>
        <v>0</v>
      </c>
      <c r="H202" s="66">
        <f t="shared" si="6"/>
        <v>0</v>
      </c>
      <c r="I202" s="65">
        <f>'COMPOSIÇÃO DE VALORES'!M202</f>
        <v>0</v>
      </c>
    </row>
    <row r="203" spans="1:9" x14ac:dyDescent="0.3">
      <c r="A203" s="64">
        <v>193</v>
      </c>
      <c r="B203" s="65">
        <f>'COMPOSIÇÃO DE VALORES'!B203</f>
        <v>0</v>
      </c>
      <c r="C203" s="65">
        <f>'COMPOSIÇÃO DE VALORES'!C203</f>
        <v>0</v>
      </c>
      <c r="D203" s="65">
        <f>'COMPOSIÇÃO DE VALORES'!D203</f>
        <v>0</v>
      </c>
      <c r="E203" s="65">
        <f>'COMPOSIÇÃO DE VALORES'!G203</f>
        <v>0</v>
      </c>
      <c r="F203" s="65">
        <f>'COMPOSIÇÃO DE VALORES'!H203</f>
        <v>0</v>
      </c>
      <c r="G203" s="66">
        <f>'COMPOSIÇÃO DE VALORES'!L203</f>
        <v>0</v>
      </c>
      <c r="H203" s="66">
        <f t="shared" si="6"/>
        <v>0</v>
      </c>
      <c r="I203" s="65">
        <f>'COMPOSIÇÃO DE VALORES'!M203</f>
        <v>0</v>
      </c>
    </row>
    <row r="204" spans="1:9" x14ac:dyDescent="0.3">
      <c r="A204" s="64">
        <v>194</v>
      </c>
      <c r="B204" s="65">
        <f>'COMPOSIÇÃO DE VALORES'!B204</f>
        <v>0</v>
      </c>
      <c r="C204" s="65">
        <f>'COMPOSIÇÃO DE VALORES'!C204</f>
        <v>0</v>
      </c>
      <c r="D204" s="65">
        <f>'COMPOSIÇÃO DE VALORES'!D204</f>
        <v>0</v>
      </c>
      <c r="E204" s="65">
        <f>'COMPOSIÇÃO DE VALORES'!G204</f>
        <v>0</v>
      </c>
      <c r="F204" s="65">
        <f>'COMPOSIÇÃO DE VALORES'!H204</f>
        <v>0</v>
      </c>
      <c r="G204" s="66">
        <f>'COMPOSIÇÃO DE VALORES'!L204</f>
        <v>0</v>
      </c>
      <c r="H204" s="66">
        <f t="shared" si="6"/>
        <v>0</v>
      </c>
      <c r="I204" s="65">
        <f>'COMPOSIÇÃO DE VALORES'!M204</f>
        <v>0</v>
      </c>
    </row>
    <row r="205" spans="1:9" x14ac:dyDescent="0.3">
      <c r="A205" s="64">
        <v>195</v>
      </c>
      <c r="B205" s="65">
        <f>'COMPOSIÇÃO DE VALORES'!B205</f>
        <v>0</v>
      </c>
      <c r="C205" s="65">
        <f>'COMPOSIÇÃO DE VALORES'!C205</f>
        <v>0</v>
      </c>
      <c r="D205" s="65">
        <f>'COMPOSIÇÃO DE VALORES'!D205</f>
        <v>0</v>
      </c>
      <c r="E205" s="65">
        <f>'COMPOSIÇÃO DE VALORES'!G205</f>
        <v>0</v>
      </c>
      <c r="F205" s="65">
        <f>'COMPOSIÇÃO DE VALORES'!H205</f>
        <v>0</v>
      </c>
      <c r="G205" s="66">
        <f>'COMPOSIÇÃO DE VALORES'!L205</f>
        <v>0</v>
      </c>
      <c r="H205" s="66">
        <f t="shared" si="6"/>
        <v>0</v>
      </c>
      <c r="I205" s="65">
        <f>'COMPOSIÇÃO DE VALORES'!M205</f>
        <v>0</v>
      </c>
    </row>
    <row r="206" spans="1:9" x14ac:dyDescent="0.3">
      <c r="A206" s="64">
        <v>196</v>
      </c>
      <c r="B206" s="65">
        <f>'COMPOSIÇÃO DE VALORES'!B206</f>
        <v>0</v>
      </c>
      <c r="C206" s="65">
        <f>'COMPOSIÇÃO DE VALORES'!C206</f>
        <v>0</v>
      </c>
      <c r="D206" s="65">
        <f>'COMPOSIÇÃO DE VALORES'!D206</f>
        <v>0</v>
      </c>
      <c r="E206" s="65">
        <f>'COMPOSIÇÃO DE VALORES'!G206</f>
        <v>0</v>
      </c>
      <c r="F206" s="65">
        <f>'COMPOSIÇÃO DE VALORES'!H206</f>
        <v>0</v>
      </c>
      <c r="G206" s="66">
        <f>'COMPOSIÇÃO DE VALORES'!L206</f>
        <v>0</v>
      </c>
      <c r="H206" s="66">
        <f t="shared" si="6"/>
        <v>0</v>
      </c>
      <c r="I206" s="65">
        <f>'COMPOSIÇÃO DE VALORES'!M206</f>
        <v>0</v>
      </c>
    </row>
    <row r="207" spans="1:9" x14ac:dyDescent="0.3">
      <c r="A207" s="64">
        <v>197</v>
      </c>
      <c r="B207" s="65">
        <f>'COMPOSIÇÃO DE VALORES'!B207</f>
        <v>0</v>
      </c>
      <c r="C207" s="65">
        <f>'COMPOSIÇÃO DE VALORES'!C207</f>
        <v>0</v>
      </c>
      <c r="D207" s="65">
        <f>'COMPOSIÇÃO DE VALORES'!D207</f>
        <v>0</v>
      </c>
      <c r="E207" s="65">
        <f>'COMPOSIÇÃO DE VALORES'!G207</f>
        <v>0</v>
      </c>
      <c r="F207" s="65">
        <f>'COMPOSIÇÃO DE VALORES'!H207</f>
        <v>0</v>
      </c>
      <c r="G207" s="66">
        <f>'COMPOSIÇÃO DE VALORES'!L207</f>
        <v>0</v>
      </c>
      <c r="H207" s="66">
        <f t="shared" si="6"/>
        <v>0</v>
      </c>
      <c r="I207" s="65">
        <f>'COMPOSIÇÃO DE VALORES'!M207</f>
        <v>0</v>
      </c>
    </row>
    <row r="208" spans="1:9" x14ac:dyDescent="0.3">
      <c r="A208" s="64">
        <v>198</v>
      </c>
      <c r="B208" s="65">
        <f>'COMPOSIÇÃO DE VALORES'!B208</f>
        <v>0</v>
      </c>
      <c r="C208" s="65">
        <f>'COMPOSIÇÃO DE VALORES'!C208</f>
        <v>0</v>
      </c>
      <c r="D208" s="65">
        <f>'COMPOSIÇÃO DE VALORES'!D208</f>
        <v>0</v>
      </c>
      <c r="E208" s="65">
        <f>'COMPOSIÇÃO DE VALORES'!G208</f>
        <v>0</v>
      </c>
      <c r="F208" s="65">
        <f>'COMPOSIÇÃO DE VALORES'!H208</f>
        <v>0</v>
      </c>
      <c r="G208" s="66">
        <f>'COMPOSIÇÃO DE VALORES'!L208</f>
        <v>0</v>
      </c>
      <c r="H208" s="66">
        <f t="shared" si="6"/>
        <v>0</v>
      </c>
      <c r="I208" s="65">
        <f>'COMPOSIÇÃO DE VALORES'!M208</f>
        <v>0</v>
      </c>
    </row>
    <row r="209" spans="1:9" x14ac:dyDescent="0.3">
      <c r="A209" s="64">
        <v>199</v>
      </c>
      <c r="B209" s="65">
        <f>'COMPOSIÇÃO DE VALORES'!B209</f>
        <v>0</v>
      </c>
      <c r="C209" s="65">
        <f>'COMPOSIÇÃO DE VALORES'!C209</f>
        <v>0</v>
      </c>
      <c r="D209" s="65">
        <f>'COMPOSIÇÃO DE VALORES'!D209</f>
        <v>0</v>
      </c>
      <c r="E209" s="65">
        <f>'COMPOSIÇÃO DE VALORES'!G209</f>
        <v>0</v>
      </c>
      <c r="F209" s="65">
        <f>'COMPOSIÇÃO DE VALORES'!H209</f>
        <v>0</v>
      </c>
      <c r="G209" s="66">
        <f>'COMPOSIÇÃO DE VALORES'!L209</f>
        <v>0</v>
      </c>
      <c r="H209" s="66">
        <f t="shared" si="6"/>
        <v>0</v>
      </c>
      <c r="I209" s="65">
        <f>'COMPOSIÇÃO DE VALORES'!M209</f>
        <v>0</v>
      </c>
    </row>
    <row r="210" spans="1:9" x14ac:dyDescent="0.3">
      <c r="A210" s="64">
        <v>200</v>
      </c>
      <c r="B210" s="65">
        <f>'COMPOSIÇÃO DE VALORES'!B210</f>
        <v>0</v>
      </c>
      <c r="C210" s="65">
        <f>'COMPOSIÇÃO DE VALORES'!C210</f>
        <v>0</v>
      </c>
      <c r="D210" s="65">
        <f>'COMPOSIÇÃO DE VALORES'!D210</f>
        <v>0</v>
      </c>
      <c r="E210" s="65">
        <f>'COMPOSIÇÃO DE VALORES'!G210</f>
        <v>0</v>
      </c>
      <c r="F210" s="65">
        <f>'COMPOSIÇÃO DE VALORES'!H210</f>
        <v>0</v>
      </c>
      <c r="G210" s="66">
        <f>'COMPOSIÇÃO DE VALORES'!L210</f>
        <v>0</v>
      </c>
      <c r="H210" s="66">
        <f t="shared" si="6"/>
        <v>0</v>
      </c>
      <c r="I210" s="65">
        <f>'COMPOSIÇÃO DE VALORES'!M210</f>
        <v>0</v>
      </c>
    </row>
    <row r="211" spans="1:9" x14ac:dyDescent="0.3">
      <c r="A211" s="64">
        <v>201</v>
      </c>
      <c r="B211" s="65">
        <f>'COMPOSIÇÃO DE VALORES'!B211</f>
        <v>0</v>
      </c>
      <c r="C211" s="65">
        <f>'COMPOSIÇÃO DE VALORES'!C211</f>
        <v>0</v>
      </c>
      <c r="D211" s="65">
        <f>'COMPOSIÇÃO DE VALORES'!D211</f>
        <v>0</v>
      </c>
      <c r="E211" s="65">
        <f>'COMPOSIÇÃO DE VALORES'!G211</f>
        <v>0</v>
      </c>
      <c r="F211" s="65">
        <f>'COMPOSIÇÃO DE VALORES'!H211</f>
        <v>0</v>
      </c>
      <c r="G211" s="66">
        <f>'COMPOSIÇÃO DE VALORES'!L211</f>
        <v>0</v>
      </c>
      <c r="H211" s="66">
        <f t="shared" si="6"/>
        <v>0</v>
      </c>
      <c r="I211" s="65">
        <f>'COMPOSIÇÃO DE VALORES'!M211</f>
        <v>0</v>
      </c>
    </row>
    <row r="212" spans="1:9" x14ac:dyDescent="0.3">
      <c r="A212" s="64">
        <v>202</v>
      </c>
      <c r="B212" s="65">
        <f>'COMPOSIÇÃO DE VALORES'!B212</f>
        <v>0</v>
      </c>
      <c r="C212" s="65">
        <f>'COMPOSIÇÃO DE VALORES'!C212</f>
        <v>0</v>
      </c>
      <c r="D212" s="65">
        <f>'COMPOSIÇÃO DE VALORES'!D212</f>
        <v>0</v>
      </c>
      <c r="E212" s="65">
        <f>'COMPOSIÇÃO DE VALORES'!G212</f>
        <v>0</v>
      </c>
      <c r="F212" s="65">
        <f>'COMPOSIÇÃO DE VALORES'!H212</f>
        <v>0</v>
      </c>
      <c r="G212" s="66">
        <f>'COMPOSIÇÃO DE VALORES'!L212</f>
        <v>0</v>
      </c>
      <c r="H212" s="66">
        <f t="shared" si="6"/>
        <v>0</v>
      </c>
      <c r="I212" s="65">
        <f>'COMPOSIÇÃO DE VALORES'!M212</f>
        <v>0</v>
      </c>
    </row>
    <row r="213" spans="1:9" x14ac:dyDescent="0.3">
      <c r="A213" s="64">
        <v>203</v>
      </c>
      <c r="B213" s="65">
        <f>'COMPOSIÇÃO DE VALORES'!B213</f>
        <v>0</v>
      </c>
      <c r="C213" s="65">
        <f>'COMPOSIÇÃO DE VALORES'!C213</f>
        <v>0</v>
      </c>
      <c r="D213" s="65">
        <f>'COMPOSIÇÃO DE VALORES'!D213</f>
        <v>0</v>
      </c>
      <c r="E213" s="65">
        <f>'COMPOSIÇÃO DE VALORES'!G213</f>
        <v>0</v>
      </c>
      <c r="F213" s="65">
        <f>'COMPOSIÇÃO DE VALORES'!H213</f>
        <v>0</v>
      </c>
      <c r="G213" s="66">
        <f>'COMPOSIÇÃO DE VALORES'!L213</f>
        <v>0</v>
      </c>
      <c r="H213" s="66">
        <f t="shared" si="6"/>
        <v>0</v>
      </c>
      <c r="I213" s="65">
        <f>'COMPOSIÇÃO DE VALORES'!M213</f>
        <v>0</v>
      </c>
    </row>
    <row r="214" spans="1:9" x14ac:dyDescent="0.3">
      <c r="A214" s="64">
        <v>204</v>
      </c>
      <c r="B214" s="65">
        <f>'COMPOSIÇÃO DE VALORES'!B214</f>
        <v>0</v>
      </c>
      <c r="C214" s="65">
        <f>'COMPOSIÇÃO DE VALORES'!C214</f>
        <v>0</v>
      </c>
      <c r="D214" s="65">
        <f>'COMPOSIÇÃO DE VALORES'!D214</f>
        <v>0</v>
      </c>
      <c r="E214" s="65">
        <f>'COMPOSIÇÃO DE VALORES'!G214</f>
        <v>0</v>
      </c>
      <c r="F214" s="65">
        <f>'COMPOSIÇÃO DE VALORES'!H214</f>
        <v>0</v>
      </c>
      <c r="G214" s="66">
        <f>'COMPOSIÇÃO DE VALORES'!L214</f>
        <v>0</v>
      </c>
      <c r="H214" s="66">
        <f t="shared" si="6"/>
        <v>0</v>
      </c>
      <c r="I214" s="65">
        <f>'COMPOSIÇÃO DE VALORES'!M214</f>
        <v>0</v>
      </c>
    </row>
    <row r="215" spans="1:9" x14ac:dyDescent="0.3">
      <c r="A215" s="64">
        <v>205</v>
      </c>
      <c r="B215" s="65">
        <f>'COMPOSIÇÃO DE VALORES'!B215</f>
        <v>0</v>
      </c>
      <c r="C215" s="65">
        <f>'COMPOSIÇÃO DE VALORES'!C215</f>
        <v>0</v>
      </c>
      <c r="D215" s="65">
        <f>'COMPOSIÇÃO DE VALORES'!D215</f>
        <v>0</v>
      </c>
      <c r="E215" s="65">
        <f>'COMPOSIÇÃO DE VALORES'!G215</f>
        <v>0</v>
      </c>
      <c r="F215" s="65">
        <f>'COMPOSIÇÃO DE VALORES'!H215</f>
        <v>0</v>
      </c>
      <c r="G215" s="66">
        <f>'COMPOSIÇÃO DE VALORES'!L215</f>
        <v>0</v>
      </c>
      <c r="H215" s="66">
        <f t="shared" si="6"/>
        <v>0</v>
      </c>
      <c r="I215" s="65">
        <f>'COMPOSIÇÃO DE VALORES'!M215</f>
        <v>0</v>
      </c>
    </row>
    <row r="216" spans="1:9" x14ac:dyDescent="0.3">
      <c r="A216" s="64">
        <v>206</v>
      </c>
      <c r="B216" s="65">
        <f>'COMPOSIÇÃO DE VALORES'!B216</f>
        <v>0</v>
      </c>
      <c r="C216" s="65">
        <f>'COMPOSIÇÃO DE VALORES'!C216</f>
        <v>0</v>
      </c>
      <c r="D216" s="65">
        <f>'COMPOSIÇÃO DE VALORES'!D216</f>
        <v>0</v>
      </c>
      <c r="E216" s="65">
        <f>'COMPOSIÇÃO DE VALORES'!G216</f>
        <v>0</v>
      </c>
      <c r="F216" s="65">
        <f>'COMPOSIÇÃO DE VALORES'!H216</f>
        <v>0</v>
      </c>
      <c r="G216" s="66">
        <f>'COMPOSIÇÃO DE VALORES'!L216</f>
        <v>0</v>
      </c>
      <c r="H216" s="66">
        <f t="shared" si="6"/>
        <v>0</v>
      </c>
      <c r="I216" s="65">
        <f>'COMPOSIÇÃO DE VALORES'!M216</f>
        <v>0</v>
      </c>
    </row>
    <row r="217" spans="1:9" x14ac:dyDescent="0.3">
      <c r="A217" s="64">
        <v>207</v>
      </c>
      <c r="B217" s="65">
        <f>'COMPOSIÇÃO DE VALORES'!B217</f>
        <v>0</v>
      </c>
      <c r="C217" s="65">
        <f>'COMPOSIÇÃO DE VALORES'!C217</f>
        <v>0</v>
      </c>
      <c r="D217" s="65">
        <f>'COMPOSIÇÃO DE VALORES'!D217</f>
        <v>0</v>
      </c>
      <c r="E217" s="65">
        <f>'COMPOSIÇÃO DE VALORES'!G217</f>
        <v>0</v>
      </c>
      <c r="F217" s="65">
        <f>'COMPOSIÇÃO DE VALORES'!H217</f>
        <v>0</v>
      </c>
      <c r="G217" s="66">
        <f>'COMPOSIÇÃO DE VALORES'!L217</f>
        <v>0</v>
      </c>
      <c r="H217" s="66">
        <f t="shared" si="6"/>
        <v>0</v>
      </c>
      <c r="I217" s="65">
        <f>'COMPOSIÇÃO DE VALORES'!M217</f>
        <v>0</v>
      </c>
    </row>
    <row r="218" spans="1:9" x14ac:dyDescent="0.3">
      <c r="A218" s="64">
        <v>208</v>
      </c>
      <c r="B218" s="65">
        <f>'COMPOSIÇÃO DE VALORES'!B218</f>
        <v>0</v>
      </c>
      <c r="C218" s="65">
        <f>'COMPOSIÇÃO DE VALORES'!C218</f>
        <v>0</v>
      </c>
      <c r="D218" s="65">
        <f>'COMPOSIÇÃO DE VALORES'!D218</f>
        <v>0</v>
      </c>
      <c r="E218" s="65">
        <f>'COMPOSIÇÃO DE VALORES'!G218</f>
        <v>0</v>
      </c>
      <c r="F218" s="65">
        <f>'COMPOSIÇÃO DE VALORES'!H218</f>
        <v>0</v>
      </c>
      <c r="G218" s="66">
        <f>'COMPOSIÇÃO DE VALORES'!L218</f>
        <v>0</v>
      </c>
      <c r="H218" s="66">
        <f t="shared" si="6"/>
        <v>0</v>
      </c>
      <c r="I218" s="65">
        <f>'COMPOSIÇÃO DE VALORES'!M218</f>
        <v>0</v>
      </c>
    </row>
    <row r="219" spans="1:9" x14ac:dyDescent="0.3">
      <c r="A219" s="64">
        <v>209</v>
      </c>
      <c r="B219" s="65">
        <f>'COMPOSIÇÃO DE VALORES'!B219</f>
        <v>0</v>
      </c>
      <c r="C219" s="65">
        <f>'COMPOSIÇÃO DE VALORES'!C219</f>
        <v>0</v>
      </c>
      <c r="D219" s="65">
        <f>'COMPOSIÇÃO DE VALORES'!D219</f>
        <v>0</v>
      </c>
      <c r="E219" s="65">
        <f>'COMPOSIÇÃO DE VALORES'!G219</f>
        <v>0</v>
      </c>
      <c r="F219" s="65">
        <f>'COMPOSIÇÃO DE VALORES'!H219</f>
        <v>0</v>
      </c>
      <c r="G219" s="66">
        <f>'COMPOSIÇÃO DE VALORES'!L219</f>
        <v>0</v>
      </c>
      <c r="H219" s="66">
        <f t="shared" si="6"/>
        <v>0</v>
      </c>
      <c r="I219" s="65">
        <f>'COMPOSIÇÃO DE VALORES'!M219</f>
        <v>0</v>
      </c>
    </row>
    <row r="220" spans="1:9" x14ac:dyDescent="0.3">
      <c r="A220" s="64">
        <v>210</v>
      </c>
      <c r="B220" s="65">
        <f>'COMPOSIÇÃO DE VALORES'!B220</f>
        <v>0</v>
      </c>
      <c r="C220" s="65">
        <f>'COMPOSIÇÃO DE VALORES'!C220</f>
        <v>0</v>
      </c>
      <c r="D220" s="65">
        <f>'COMPOSIÇÃO DE VALORES'!D220</f>
        <v>0</v>
      </c>
      <c r="E220" s="65">
        <f>'COMPOSIÇÃO DE VALORES'!G220</f>
        <v>0</v>
      </c>
      <c r="F220" s="65">
        <f>'COMPOSIÇÃO DE VALORES'!H220</f>
        <v>0</v>
      </c>
      <c r="G220" s="66">
        <f>'COMPOSIÇÃO DE VALORES'!L220</f>
        <v>0</v>
      </c>
      <c r="H220" s="66">
        <f t="shared" si="6"/>
        <v>0</v>
      </c>
      <c r="I220" s="65">
        <f>'COMPOSIÇÃO DE VALORES'!M220</f>
        <v>0</v>
      </c>
    </row>
    <row r="221" spans="1:9" x14ac:dyDescent="0.3">
      <c r="A221" s="64">
        <v>211</v>
      </c>
      <c r="B221" s="65">
        <f>'COMPOSIÇÃO DE VALORES'!B221</f>
        <v>0</v>
      </c>
      <c r="C221" s="65">
        <f>'COMPOSIÇÃO DE VALORES'!C221</f>
        <v>0</v>
      </c>
      <c r="D221" s="65">
        <f>'COMPOSIÇÃO DE VALORES'!D221</f>
        <v>0</v>
      </c>
      <c r="E221" s="65">
        <f>'COMPOSIÇÃO DE VALORES'!G221</f>
        <v>0</v>
      </c>
      <c r="F221" s="65">
        <f>'COMPOSIÇÃO DE VALORES'!H221</f>
        <v>0</v>
      </c>
      <c r="G221" s="66">
        <f>'COMPOSIÇÃO DE VALORES'!L221</f>
        <v>0</v>
      </c>
      <c r="H221" s="66">
        <f t="shared" si="6"/>
        <v>0</v>
      </c>
      <c r="I221" s="65">
        <f>'COMPOSIÇÃO DE VALORES'!M221</f>
        <v>0</v>
      </c>
    </row>
    <row r="222" spans="1:9" x14ac:dyDescent="0.3">
      <c r="A222" s="64">
        <v>212</v>
      </c>
      <c r="B222" s="65">
        <f>'COMPOSIÇÃO DE VALORES'!B222</f>
        <v>0</v>
      </c>
      <c r="C222" s="65">
        <f>'COMPOSIÇÃO DE VALORES'!C222</f>
        <v>0</v>
      </c>
      <c r="D222" s="65">
        <f>'COMPOSIÇÃO DE VALORES'!D222</f>
        <v>0</v>
      </c>
      <c r="E222" s="65">
        <f>'COMPOSIÇÃO DE VALORES'!G222</f>
        <v>0</v>
      </c>
      <c r="F222" s="65">
        <f>'COMPOSIÇÃO DE VALORES'!H222</f>
        <v>0</v>
      </c>
      <c r="G222" s="66">
        <f>'COMPOSIÇÃO DE VALORES'!L222</f>
        <v>0</v>
      </c>
      <c r="H222" s="66">
        <f t="shared" si="6"/>
        <v>0</v>
      </c>
      <c r="I222" s="65">
        <f>'COMPOSIÇÃO DE VALORES'!M222</f>
        <v>0</v>
      </c>
    </row>
    <row r="223" spans="1:9" x14ac:dyDescent="0.3">
      <c r="A223" s="64">
        <v>213</v>
      </c>
      <c r="B223" s="65">
        <f>'COMPOSIÇÃO DE VALORES'!B223</f>
        <v>0</v>
      </c>
      <c r="C223" s="65">
        <f>'COMPOSIÇÃO DE VALORES'!C223</f>
        <v>0</v>
      </c>
      <c r="D223" s="65">
        <f>'COMPOSIÇÃO DE VALORES'!D223</f>
        <v>0</v>
      </c>
      <c r="E223" s="65">
        <f>'COMPOSIÇÃO DE VALORES'!G223</f>
        <v>0</v>
      </c>
      <c r="F223" s="65">
        <f>'COMPOSIÇÃO DE VALORES'!H223</f>
        <v>0</v>
      </c>
      <c r="G223" s="66">
        <f>'COMPOSIÇÃO DE VALORES'!L223</f>
        <v>0</v>
      </c>
      <c r="H223" s="66">
        <f t="shared" si="6"/>
        <v>0</v>
      </c>
      <c r="I223" s="65">
        <f>'COMPOSIÇÃO DE VALORES'!M223</f>
        <v>0</v>
      </c>
    </row>
    <row r="224" spans="1:9" x14ac:dyDescent="0.3">
      <c r="A224" s="64">
        <v>214</v>
      </c>
      <c r="B224" s="65">
        <f>'COMPOSIÇÃO DE VALORES'!B224</f>
        <v>0</v>
      </c>
      <c r="C224" s="65">
        <f>'COMPOSIÇÃO DE VALORES'!C224</f>
        <v>0</v>
      </c>
      <c r="D224" s="65">
        <f>'COMPOSIÇÃO DE VALORES'!D224</f>
        <v>0</v>
      </c>
      <c r="E224" s="65">
        <f>'COMPOSIÇÃO DE VALORES'!G224</f>
        <v>0</v>
      </c>
      <c r="F224" s="65">
        <f>'COMPOSIÇÃO DE VALORES'!H224</f>
        <v>0</v>
      </c>
      <c r="G224" s="66">
        <f>'COMPOSIÇÃO DE VALORES'!L224</f>
        <v>0</v>
      </c>
      <c r="H224" s="66">
        <f t="shared" si="6"/>
        <v>0</v>
      </c>
      <c r="I224" s="65">
        <f>'COMPOSIÇÃO DE VALORES'!M224</f>
        <v>0</v>
      </c>
    </row>
    <row r="225" spans="1:9" x14ac:dyDescent="0.3">
      <c r="A225" s="64">
        <v>215</v>
      </c>
      <c r="B225" s="65">
        <f>'COMPOSIÇÃO DE VALORES'!B225</f>
        <v>0</v>
      </c>
      <c r="C225" s="65">
        <f>'COMPOSIÇÃO DE VALORES'!C225</f>
        <v>0</v>
      </c>
      <c r="D225" s="65">
        <f>'COMPOSIÇÃO DE VALORES'!D225</f>
        <v>0</v>
      </c>
      <c r="E225" s="65">
        <f>'COMPOSIÇÃO DE VALORES'!G225</f>
        <v>0</v>
      </c>
      <c r="F225" s="65">
        <f>'COMPOSIÇÃO DE VALORES'!H225</f>
        <v>0</v>
      </c>
      <c r="G225" s="66">
        <f>'COMPOSIÇÃO DE VALORES'!L225</f>
        <v>0</v>
      </c>
      <c r="H225" s="66">
        <f t="shared" si="6"/>
        <v>0</v>
      </c>
      <c r="I225" s="65">
        <f>'COMPOSIÇÃO DE VALORES'!M225</f>
        <v>0</v>
      </c>
    </row>
    <row r="226" spans="1:9" x14ac:dyDescent="0.3">
      <c r="A226" s="64">
        <v>216</v>
      </c>
      <c r="B226" s="65">
        <f>'COMPOSIÇÃO DE VALORES'!B226</f>
        <v>0</v>
      </c>
      <c r="C226" s="65">
        <f>'COMPOSIÇÃO DE VALORES'!C226</f>
        <v>0</v>
      </c>
      <c r="D226" s="65">
        <f>'COMPOSIÇÃO DE VALORES'!D226</f>
        <v>0</v>
      </c>
      <c r="E226" s="65">
        <f>'COMPOSIÇÃO DE VALORES'!G226</f>
        <v>0</v>
      </c>
      <c r="F226" s="65">
        <f>'COMPOSIÇÃO DE VALORES'!H226</f>
        <v>0</v>
      </c>
      <c r="G226" s="66">
        <f>'COMPOSIÇÃO DE VALORES'!L226</f>
        <v>0</v>
      </c>
      <c r="H226" s="66">
        <f t="shared" si="6"/>
        <v>0</v>
      </c>
      <c r="I226" s="65">
        <f>'COMPOSIÇÃO DE VALORES'!M226</f>
        <v>0</v>
      </c>
    </row>
    <row r="227" spans="1:9" x14ac:dyDescent="0.3">
      <c r="A227" s="64">
        <v>217</v>
      </c>
      <c r="B227" s="65">
        <f>'COMPOSIÇÃO DE VALORES'!B227</f>
        <v>0</v>
      </c>
      <c r="C227" s="65">
        <f>'COMPOSIÇÃO DE VALORES'!C227</f>
        <v>0</v>
      </c>
      <c r="D227" s="65">
        <f>'COMPOSIÇÃO DE VALORES'!D227</f>
        <v>0</v>
      </c>
      <c r="E227" s="65">
        <f>'COMPOSIÇÃO DE VALORES'!G227</f>
        <v>0</v>
      </c>
      <c r="F227" s="65">
        <f>'COMPOSIÇÃO DE VALORES'!H227</f>
        <v>0</v>
      </c>
      <c r="G227" s="66">
        <f>'COMPOSIÇÃO DE VALORES'!L227</f>
        <v>0</v>
      </c>
      <c r="H227" s="66">
        <f t="shared" si="6"/>
        <v>0</v>
      </c>
      <c r="I227" s="65">
        <f>'COMPOSIÇÃO DE VALORES'!M227</f>
        <v>0</v>
      </c>
    </row>
    <row r="228" spans="1:9" x14ac:dyDescent="0.3">
      <c r="A228" s="64">
        <v>218</v>
      </c>
      <c r="B228" s="65">
        <f>'COMPOSIÇÃO DE VALORES'!B228</f>
        <v>0</v>
      </c>
      <c r="C228" s="65">
        <f>'COMPOSIÇÃO DE VALORES'!C228</f>
        <v>0</v>
      </c>
      <c r="D228" s="65">
        <f>'COMPOSIÇÃO DE VALORES'!D228</f>
        <v>0</v>
      </c>
      <c r="E228" s="65">
        <f>'COMPOSIÇÃO DE VALORES'!G228</f>
        <v>0</v>
      </c>
      <c r="F228" s="65">
        <f>'COMPOSIÇÃO DE VALORES'!H228</f>
        <v>0</v>
      </c>
      <c r="G228" s="66">
        <f>'COMPOSIÇÃO DE VALORES'!L228</f>
        <v>0</v>
      </c>
      <c r="H228" s="66">
        <f t="shared" si="6"/>
        <v>0</v>
      </c>
      <c r="I228" s="65">
        <f>'COMPOSIÇÃO DE VALORES'!M228</f>
        <v>0</v>
      </c>
    </row>
    <row r="229" spans="1:9" x14ac:dyDescent="0.3">
      <c r="A229" s="64">
        <v>219</v>
      </c>
      <c r="B229" s="65">
        <f>'COMPOSIÇÃO DE VALORES'!B229</f>
        <v>0</v>
      </c>
      <c r="C229" s="65">
        <f>'COMPOSIÇÃO DE VALORES'!C229</f>
        <v>0</v>
      </c>
      <c r="D229" s="65">
        <f>'COMPOSIÇÃO DE VALORES'!D229</f>
        <v>0</v>
      </c>
      <c r="E229" s="65">
        <f>'COMPOSIÇÃO DE VALORES'!G229</f>
        <v>0</v>
      </c>
      <c r="F229" s="65">
        <f>'COMPOSIÇÃO DE VALORES'!H229</f>
        <v>0</v>
      </c>
      <c r="G229" s="66">
        <f>'COMPOSIÇÃO DE VALORES'!L229</f>
        <v>0</v>
      </c>
      <c r="H229" s="66">
        <f t="shared" si="6"/>
        <v>0</v>
      </c>
      <c r="I229" s="65">
        <f>'COMPOSIÇÃO DE VALORES'!M229</f>
        <v>0</v>
      </c>
    </row>
    <row r="230" spans="1:9" x14ac:dyDescent="0.3">
      <c r="A230" s="64">
        <v>220</v>
      </c>
      <c r="B230" s="65">
        <f>'COMPOSIÇÃO DE VALORES'!B230</f>
        <v>0</v>
      </c>
      <c r="C230" s="65">
        <f>'COMPOSIÇÃO DE VALORES'!C230</f>
        <v>0</v>
      </c>
      <c r="D230" s="65">
        <f>'COMPOSIÇÃO DE VALORES'!D230</f>
        <v>0</v>
      </c>
      <c r="E230" s="65">
        <f>'COMPOSIÇÃO DE VALORES'!G230</f>
        <v>0</v>
      </c>
      <c r="F230" s="65">
        <f>'COMPOSIÇÃO DE VALORES'!H230</f>
        <v>0</v>
      </c>
      <c r="G230" s="66">
        <f>'COMPOSIÇÃO DE VALORES'!L230</f>
        <v>0</v>
      </c>
      <c r="H230" s="66">
        <f t="shared" si="6"/>
        <v>0</v>
      </c>
      <c r="I230" s="65">
        <f>'COMPOSIÇÃO DE VALORES'!M230</f>
        <v>0</v>
      </c>
    </row>
    <row r="231" spans="1:9" x14ac:dyDescent="0.3">
      <c r="A231" s="64">
        <v>221</v>
      </c>
      <c r="B231" s="65">
        <f>'COMPOSIÇÃO DE VALORES'!B231</f>
        <v>0</v>
      </c>
      <c r="C231" s="65">
        <f>'COMPOSIÇÃO DE VALORES'!C231</f>
        <v>0</v>
      </c>
      <c r="D231" s="65">
        <f>'COMPOSIÇÃO DE VALORES'!D231</f>
        <v>0</v>
      </c>
      <c r="E231" s="65">
        <f>'COMPOSIÇÃO DE VALORES'!G231</f>
        <v>0</v>
      </c>
      <c r="F231" s="65">
        <f>'COMPOSIÇÃO DE VALORES'!H231</f>
        <v>0</v>
      </c>
      <c r="G231" s="66">
        <f>'COMPOSIÇÃO DE VALORES'!L231</f>
        <v>0</v>
      </c>
      <c r="H231" s="66">
        <f t="shared" si="6"/>
        <v>0</v>
      </c>
      <c r="I231" s="65">
        <f>'COMPOSIÇÃO DE VALORES'!M231</f>
        <v>0</v>
      </c>
    </row>
    <row r="232" spans="1:9" x14ac:dyDescent="0.3">
      <c r="A232" s="64">
        <v>222</v>
      </c>
      <c r="B232" s="65">
        <f>'COMPOSIÇÃO DE VALORES'!B232</f>
        <v>0</v>
      </c>
      <c r="C232" s="65">
        <f>'COMPOSIÇÃO DE VALORES'!C232</f>
        <v>0</v>
      </c>
      <c r="D232" s="65">
        <f>'COMPOSIÇÃO DE VALORES'!D232</f>
        <v>0</v>
      </c>
      <c r="E232" s="65">
        <f>'COMPOSIÇÃO DE VALORES'!G232</f>
        <v>0</v>
      </c>
      <c r="F232" s="65">
        <f>'COMPOSIÇÃO DE VALORES'!H232</f>
        <v>0</v>
      </c>
      <c r="G232" s="66">
        <f>'COMPOSIÇÃO DE VALORES'!L232</f>
        <v>0</v>
      </c>
      <c r="H232" s="66">
        <f t="shared" si="6"/>
        <v>0</v>
      </c>
      <c r="I232" s="65">
        <f>'COMPOSIÇÃO DE VALORES'!M232</f>
        <v>0</v>
      </c>
    </row>
    <row r="233" spans="1:9" x14ac:dyDescent="0.3">
      <c r="A233" s="64">
        <v>223</v>
      </c>
      <c r="B233" s="65">
        <f>'COMPOSIÇÃO DE VALORES'!B233</f>
        <v>0</v>
      </c>
      <c r="C233" s="65">
        <f>'COMPOSIÇÃO DE VALORES'!C233</f>
        <v>0</v>
      </c>
      <c r="D233" s="65">
        <f>'COMPOSIÇÃO DE VALORES'!D233</f>
        <v>0</v>
      </c>
      <c r="E233" s="65">
        <f>'COMPOSIÇÃO DE VALORES'!G233</f>
        <v>0</v>
      </c>
      <c r="F233" s="65">
        <f>'COMPOSIÇÃO DE VALORES'!H233</f>
        <v>0</v>
      </c>
      <c r="G233" s="66">
        <f>'COMPOSIÇÃO DE VALORES'!L233</f>
        <v>0</v>
      </c>
      <c r="H233" s="66">
        <f t="shared" si="6"/>
        <v>0</v>
      </c>
      <c r="I233" s="65">
        <f>'COMPOSIÇÃO DE VALORES'!M233</f>
        <v>0</v>
      </c>
    </row>
    <row r="234" spans="1:9" x14ac:dyDescent="0.3">
      <c r="A234" s="64">
        <v>224</v>
      </c>
      <c r="B234" s="65">
        <f>'COMPOSIÇÃO DE VALORES'!B234</f>
        <v>0</v>
      </c>
      <c r="C234" s="65">
        <f>'COMPOSIÇÃO DE VALORES'!C234</f>
        <v>0</v>
      </c>
      <c r="D234" s="65">
        <f>'COMPOSIÇÃO DE VALORES'!D234</f>
        <v>0</v>
      </c>
      <c r="E234" s="65">
        <f>'COMPOSIÇÃO DE VALORES'!G234</f>
        <v>0</v>
      </c>
      <c r="F234" s="65">
        <f>'COMPOSIÇÃO DE VALORES'!H234</f>
        <v>0</v>
      </c>
      <c r="G234" s="66">
        <f>'COMPOSIÇÃO DE VALORES'!L234</f>
        <v>0</v>
      </c>
      <c r="H234" s="66">
        <f t="shared" si="6"/>
        <v>0</v>
      </c>
      <c r="I234" s="65">
        <f>'COMPOSIÇÃO DE VALORES'!M234</f>
        <v>0</v>
      </c>
    </row>
    <row r="235" spans="1:9" x14ac:dyDescent="0.3">
      <c r="A235" s="64">
        <v>225</v>
      </c>
      <c r="B235" s="65">
        <f>'COMPOSIÇÃO DE VALORES'!B235</f>
        <v>0</v>
      </c>
      <c r="C235" s="65">
        <f>'COMPOSIÇÃO DE VALORES'!C235</f>
        <v>0</v>
      </c>
      <c r="D235" s="65">
        <f>'COMPOSIÇÃO DE VALORES'!D235</f>
        <v>0</v>
      </c>
      <c r="E235" s="65">
        <f>'COMPOSIÇÃO DE VALORES'!G235</f>
        <v>0</v>
      </c>
      <c r="F235" s="65">
        <f>'COMPOSIÇÃO DE VALORES'!H235</f>
        <v>0</v>
      </c>
      <c r="G235" s="66">
        <f>'COMPOSIÇÃO DE VALORES'!L235</f>
        <v>0</v>
      </c>
      <c r="H235" s="66">
        <f t="shared" si="6"/>
        <v>0</v>
      </c>
      <c r="I235" s="65">
        <f>'COMPOSIÇÃO DE VALORES'!M235</f>
        <v>0</v>
      </c>
    </row>
    <row r="236" spans="1:9" x14ac:dyDescent="0.3">
      <c r="A236" s="64">
        <v>226</v>
      </c>
      <c r="B236" s="65">
        <f>'COMPOSIÇÃO DE VALORES'!B236</f>
        <v>0</v>
      </c>
      <c r="C236" s="65">
        <f>'COMPOSIÇÃO DE VALORES'!C236</f>
        <v>0</v>
      </c>
      <c r="D236" s="65">
        <f>'COMPOSIÇÃO DE VALORES'!D236</f>
        <v>0</v>
      </c>
      <c r="E236" s="65">
        <f>'COMPOSIÇÃO DE VALORES'!G236</f>
        <v>0</v>
      </c>
      <c r="F236" s="65">
        <f>'COMPOSIÇÃO DE VALORES'!H236</f>
        <v>0</v>
      </c>
      <c r="G236" s="66">
        <f>'COMPOSIÇÃO DE VALORES'!L236</f>
        <v>0</v>
      </c>
      <c r="H236" s="66">
        <f t="shared" si="6"/>
        <v>0</v>
      </c>
      <c r="I236" s="65">
        <f>'COMPOSIÇÃO DE VALORES'!M236</f>
        <v>0</v>
      </c>
    </row>
    <row r="237" spans="1:9" x14ac:dyDescent="0.3">
      <c r="A237" s="64">
        <v>227</v>
      </c>
      <c r="B237" s="65">
        <f>'COMPOSIÇÃO DE VALORES'!B237</f>
        <v>0</v>
      </c>
      <c r="C237" s="65">
        <f>'COMPOSIÇÃO DE VALORES'!C237</f>
        <v>0</v>
      </c>
      <c r="D237" s="65">
        <f>'COMPOSIÇÃO DE VALORES'!D237</f>
        <v>0</v>
      </c>
      <c r="E237" s="65">
        <f>'COMPOSIÇÃO DE VALORES'!G237</f>
        <v>0</v>
      </c>
      <c r="F237" s="65">
        <f>'COMPOSIÇÃO DE VALORES'!H237</f>
        <v>0</v>
      </c>
      <c r="G237" s="66">
        <f>'COMPOSIÇÃO DE VALORES'!L237</f>
        <v>0</v>
      </c>
      <c r="H237" s="66">
        <f t="shared" si="6"/>
        <v>0</v>
      </c>
      <c r="I237" s="65">
        <f>'COMPOSIÇÃO DE VALORES'!M237</f>
        <v>0</v>
      </c>
    </row>
    <row r="238" spans="1:9" x14ac:dyDescent="0.3">
      <c r="A238" s="64">
        <v>228</v>
      </c>
      <c r="B238" s="65">
        <f>'COMPOSIÇÃO DE VALORES'!B238</f>
        <v>0</v>
      </c>
      <c r="C238" s="65">
        <f>'COMPOSIÇÃO DE VALORES'!C238</f>
        <v>0</v>
      </c>
      <c r="D238" s="65">
        <f>'COMPOSIÇÃO DE VALORES'!D238</f>
        <v>0</v>
      </c>
      <c r="E238" s="65">
        <f>'COMPOSIÇÃO DE VALORES'!G238</f>
        <v>0</v>
      </c>
      <c r="F238" s="65">
        <f>'COMPOSIÇÃO DE VALORES'!H238</f>
        <v>0</v>
      </c>
      <c r="G238" s="66">
        <f>'COMPOSIÇÃO DE VALORES'!L238</f>
        <v>0</v>
      </c>
      <c r="H238" s="66">
        <f t="shared" si="6"/>
        <v>0</v>
      </c>
      <c r="I238" s="65">
        <f>'COMPOSIÇÃO DE VALORES'!M238</f>
        <v>0</v>
      </c>
    </row>
    <row r="239" spans="1:9" x14ac:dyDescent="0.3">
      <c r="A239" s="64">
        <v>229</v>
      </c>
      <c r="B239" s="65">
        <f>'COMPOSIÇÃO DE VALORES'!B239</f>
        <v>0</v>
      </c>
      <c r="C239" s="65">
        <f>'COMPOSIÇÃO DE VALORES'!C239</f>
        <v>0</v>
      </c>
      <c r="D239" s="65">
        <f>'COMPOSIÇÃO DE VALORES'!D239</f>
        <v>0</v>
      </c>
      <c r="E239" s="65">
        <f>'COMPOSIÇÃO DE VALORES'!G239</f>
        <v>0</v>
      </c>
      <c r="F239" s="65">
        <f>'COMPOSIÇÃO DE VALORES'!H239</f>
        <v>0</v>
      </c>
      <c r="G239" s="66">
        <f>'COMPOSIÇÃO DE VALORES'!L239</f>
        <v>0</v>
      </c>
      <c r="H239" s="66">
        <f t="shared" si="6"/>
        <v>0</v>
      </c>
      <c r="I239" s="65">
        <f>'COMPOSIÇÃO DE VALORES'!M239</f>
        <v>0</v>
      </c>
    </row>
    <row r="240" spans="1:9" x14ac:dyDescent="0.3">
      <c r="A240" s="64">
        <v>230</v>
      </c>
      <c r="B240" s="65">
        <f>'COMPOSIÇÃO DE VALORES'!B240</f>
        <v>0</v>
      </c>
      <c r="C240" s="65">
        <f>'COMPOSIÇÃO DE VALORES'!C240</f>
        <v>0</v>
      </c>
      <c r="D240" s="65">
        <f>'COMPOSIÇÃO DE VALORES'!D240</f>
        <v>0</v>
      </c>
      <c r="E240" s="65">
        <f>'COMPOSIÇÃO DE VALORES'!G240</f>
        <v>0</v>
      </c>
      <c r="F240" s="65">
        <f>'COMPOSIÇÃO DE VALORES'!H240</f>
        <v>0</v>
      </c>
      <c r="G240" s="66">
        <f>'COMPOSIÇÃO DE VALORES'!L240</f>
        <v>0</v>
      </c>
      <c r="H240" s="66">
        <f t="shared" si="6"/>
        <v>0</v>
      </c>
      <c r="I240" s="65">
        <f>'COMPOSIÇÃO DE VALORES'!M240</f>
        <v>0</v>
      </c>
    </row>
    <row r="241" spans="1:9" x14ac:dyDescent="0.3">
      <c r="A241" s="64">
        <v>231</v>
      </c>
      <c r="B241" s="65">
        <f>'COMPOSIÇÃO DE VALORES'!B241</f>
        <v>0</v>
      </c>
      <c r="C241" s="65">
        <f>'COMPOSIÇÃO DE VALORES'!C241</f>
        <v>0</v>
      </c>
      <c r="D241" s="65">
        <f>'COMPOSIÇÃO DE VALORES'!D241</f>
        <v>0</v>
      </c>
      <c r="E241" s="65">
        <f>'COMPOSIÇÃO DE VALORES'!G241</f>
        <v>0</v>
      </c>
      <c r="F241" s="65">
        <f>'COMPOSIÇÃO DE VALORES'!H241</f>
        <v>0</v>
      </c>
      <c r="G241" s="66">
        <f>'COMPOSIÇÃO DE VALORES'!L241</f>
        <v>0</v>
      </c>
      <c r="H241" s="66">
        <f t="shared" si="6"/>
        <v>0</v>
      </c>
      <c r="I241" s="65">
        <f>'COMPOSIÇÃO DE VALORES'!M241</f>
        <v>0</v>
      </c>
    </row>
    <row r="242" spans="1:9" x14ac:dyDescent="0.3">
      <c r="A242" s="64">
        <v>232</v>
      </c>
      <c r="B242" s="65">
        <f>'COMPOSIÇÃO DE VALORES'!B242</f>
        <v>0</v>
      </c>
      <c r="C242" s="65">
        <f>'COMPOSIÇÃO DE VALORES'!C242</f>
        <v>0</v>
      </c>
      <c r="D242" s="65">
        <f>'COMPOSIÇÃO DE VALORES'!D242</f>
        <v>0</v>
      </c>
      <c r="E242" s="65">
        <f>'COMPOSIÇÃO DE VALORES'!G242</f>
        <v>0</v>
      </c>
      <c r="F242" s="65">
        <f>'COMPOSIÇÃO DE VALORES'!H242</f>
        <v>0</v>
      </c>
      <c r="G242" s="66">
        <f>'COMPOSIÇÃO DE VALORES'!L242</f>
        <v>0</v>
      </c>
      <c r="H242" s="66">
        <f t="shared" si="6"/>
        <v>0</v>
      </c>
      <c r="I242" s="65">
        <f>'COMPOSIÇÃO DE VALORES'!M242</f>
        <v>0</v>
      </c>
    </row>
    <row r="243" spans="1:9" x14ac:dyDescent="0.3">
      <c r="A243" s="64">
        <v>233</v>
      </c>
      <c r="B243" s="65">
        <f>'COMPOSIÇÃO DE VALORES'!B243</f>
        <v>0</v>
      </c>
      <c r="C243" s="65">
        <f>'COMPOSIÇÃO DE VALORES'!C243</f>
        <v>0</v>
      </c>
      <c r="D243" s="65">
        <f>'COMPOSIÇÃO DE VALORES'!D243</f>
        <v>0</v>
      </c>
      <c r="E243" s="65">
        <f>'COMPOSIÇÃO DE VALORES'!G243</f>
        <v>0</v>
      </c>
      <c r="F243" s="65">
        <f>'COMPOSIÇÃO DE VALORES'!H243</f>
        <v>0</v>
      </c>
      <c r="G243" s="66">
        <f>'COMPOSIÇÃO DE VALORES'!L243</f>
        <v>0</v>
      </c>
      <c r="H243" s="66">
        <f t="shared" si="6"/>
        <v>0</v>
      </c>
      <c r="I243" s="65">
        <f>'COMPOSIÇÃO DE VALORES'!M243</f>
        <v>0</v>
      </c>
    </row>
    <row r="244" spans="1:9" x14ac:dyDescent="0.3">
      <c r="A244" s="64">
        <v>234</v>
      </c>
      <c r="B244" s="65">
        <f>'COMPOSIÇÃO DE VALORES'!B244</f>
        <v>0</v>
      </c>
      <c r="C244" s="65">
        <f>'COMPOSIÇÃO DE VALORES'!C244</f>
        <v>0</v>
      </c>
      <c r="D244" s="65">
        <f>'COMPOSIÇÃO DE VALORES'!D244</f>
        <v>0</v>
      </c>
      <c r="E244" s="65">
        <f>'COMPOSIÇÃO DE VALORES'!G244</f>
        <v>0</v>
      </c>
      <c r="F244" s="65">
        <f>'COMPOSIÇÃO DE VALORES'!H244</f>
        <v>0</v>
      </c>
      <c r="G244" s="66">
        <f>'COMPOSIÇÃO DE VALORES'!L244</f>
        <v>0</v>
      </c>
      <c r="H244" s="66">
        <f t="shared" si="6"/>
        <v>0</v>
      </c>
      <c r="I244" s="65">
        <f>'COMPOSIÇÃO DE VALORES'!M244</f>
        <v>0</v>
      </c>
    </row>
    <row r="245" spans="1:9" x14ac:dyDescent="0.3">
      <c r="A245" s="64">
        <v>235</v>
      </c>
      <c r="B245" s="65">
        <f>'COMPOSIÇÃO DE VALORES'!B245</f>
        <v>0</v>
      </c>
      <c r="C245" s="65">
        <f>'COMPOSIÇÃO DE VALORES'!C245</f>
        <v>0</v>
      </c>
      <c r="D245" s="65">
        <f>'COMPOSIÇÃO DE VALORES'!D245</f>
        <v>0</v>
      </c>
      <c r="E245" s="65">
        <f>'COMPOSIÇÃO DE VALORES'!G245</f>
        <v>0</v>
      </c>
      <c r="F245" s="65">
        <f>'COMPOSIÇÃO DE VALORES'!H245</f>
        <v>0</v>
      </c>
      <c r="G245" s="66">
        <f>'COMPOSIÇÃO DE VALORES'!L245</f>
        <v>0</v>
      </c>
      <c r="H245" s="66">
        <f t="shared" si="6"/>
        <v>0</v>
      </c>
      <c r="I245" s="65">
        <f>'COMPOSIÇÃO DE VALORES'!M245</f>
        <v>0</v>
      </c>
    </row>
    <row r="246" spans="1:9" x14ac:dyDescent="0.3">
      <c r="A246" s="64">
        <v>236</v>
      </c>
      <c r="B246" s="65">
        <f>'COMPOSIÇÃO DE VALORES'!B246</f>
        <v>0</v>
      </c>
      <c r="C246" s="65">
        <f>'COMPOSIÇÃO DE VALORES'!C246</f>
        <v>0</v>
      </c>
      <c r="D246" s="65">
        <f>'COMPOSIÇÃO DE VALORES'!D246</f>
        <v>0</v>
      </c>
      <c r="E246" s="65">
        <f>'COMPOSIÇÃO DE VALORES'!G246</f>
        <v>0</v>
      </c>
      <c r="F246" s="65">
        <f>'COMPOSIÇÃO DE VALORES'!H246</f>
        <v>0</v>
      </c>
      <c r="G246" s="66">
        <f>'COMPOSIÇÃO DE VALORES'!L246</f>
        <v>0</v>
      </c>
      <c r="H246" s="66">
        <f t="shared" si="6"/>
        <v>0</v>
      </c>
      <c r="I246" s="65">
        <f>'COMPOSIÇÃO DE VALORES'!M246</f>
        <v>0</v>
      </c>
    </row>
    <row r="247" spans="1:9" x14ac:dyDescent="0.3">
      <c r="A247" s="64">
        <v>237</v>
      </c>
      <c r="B247" s="65">
        <f>'COMPOSIÇÃO DE VALORES'!B247</f>
        <v>0</v>
      </c>
      <c r="C247" s="65">
        <f>'COMPOSIÇÃO DE VALORES'!C247</f>
        <v>0</v>
      </c>
      <c r="D247" s="65">
        <f>'COMPOSIÇÃO DE VALORES'!D247</f>
        <v>0</v>
      </c>
      <c r="E247" s="65">
        <f>'COMPOSIÇÃO DE VALORES'!G247</f>
        <v>0</v>
      </c>
      <c r="F247" s="65">
        <f>'COMPOSIÇÃO DE VALORES'!H247</f>
        <v>0</v>
      </c>
      <c r="G247" s="66">
        <f>'COMPOSIÇÃO DE VALORES'!L247</f>
        <v>0</v>
      </c>
      <c r="H247" s="66">
        <f t="shared" si="6"/>
        <v>0</v>
      </c>
      <c r="I247" s="65">
        <f>'COMPOSIÇÃO DE VALORES'!M247</f>
        <v>0</v>
      </c>
    </row>
    <row r="248" spans="1:9" x14ac:dyDescent="0.3">
      <c r="A248" s="64">
        <v>238</v>
      </c>
      <c r="B248" s="65">
        <f>'COMPOSIÇÃO DE VALORES'!B248</f>
        <v>0</v>
      </c>
      <c r="C248" s="65">
        <f>'COMPOSIÇÃO DE VALORES'!C248</f>
        <v>0</v>
      </c>
      <c r="D248" s="65">
        <f>'COMPOSIÇÃO DE VALORES'!D248</f>
        <v>0</v>
      </c>
      <c r="E248" s="65">
        <f>'COMPOSIÇÃO DE VALORES'!G248</f>
        <v>0</v>
      </c>
      <c r="F248" s="65">
        <f>'COMPOSIÇÃO DE VALORES'!H248</f>
        <v>0</v>
      </c>
      <c r="G248" s="66">
        <f>'COMPOSIÇÃO DE VALORES'!L248</f>
        <v>0</v>
      </c>
      <c r="H248" s="66">
        <f t="shared" si="6"/>
        <v>0</v>
      </c>
      <c r="I248" s="65">
        <f>'COMPOSIÇÃO DE VALORES'!M248</f>
        <v>0</v>
      </c>
    </row>
    <row r="249" spans="1:9" x14ac:dyDescent="0.3">
      <c r="A249" s="64">
        <v>239</v>
      </c>
      <c r="B249" s="65">
        <f>'COMPOSIÇÃO DE VALORES'!B249</f>
        <v>0</v>
      </c>
      <c r="C249" s="65">
        <f>'COMPOSIÇÃO DE VALORES'!C249</f>
        <v>0</v>
      </c>
      <c r="D249" s="65">
        <f>'COMPOSIÇÃO DE VALORES'!D249</f>
        <v>0</v>
      </c>
      <c r="E249" s="65">
        <f>'COMPOSIÇÃO DE VALORES'!G249</f>
        <v>0</v>
      </c>
      <c r="F249" s="65">
        <f>'COMPOSIÇÃO DE VALORES'!H249</f>
        <v>0</v>
      </c>
      <c r="G249" s="66">
        <f>'COMPOSIÇÃO DE VALORES'!L249</f>
        <v>0</v>
      </c>
      <c r="H249" s="66">
        <f t="shared" si="6"/>
        <v>0</v>
      </c>
      <c r="I249" s="65">
        <f>'COMPOSIÇÃO DE VALORES'!M249</f>
        <v>0</v>
      </c>
    </row>
    <row r="250" spans="1:9" x14ac:dyDescent="0.3">
      <c r="A250" s="64">
        <v>240</v>
      </c>
      <c r="B250" s="65">
        <f>'COMPOSIÇÃO DE VALORES'!B250</f>
        <v>0</v>
      </c>
      <c r="C250" s="65">
        <f>'COMPOSIÇÃO DE VALORES'!C250</f>
        <v>0</v>
      </c>
      <c r="D250" s="65">
        <f>'COMPOSIÇÃO DE VALORES'!D250</f>
        <v>0</v>
      </c>
      <c r="E250" s="65">
        <f>'COMPOSIÇÃO DE VALORES'!G250</f>
        <v>0</v>
      </c>
      <c r="F250" s="65">
        <f>'COMPOSIÇÃO DE VALORES'!H250</f>
        <v>0</v>
      </c>
      <c r="G250" s="66">
        <f>'COMPOSIÇÃO DE VALORES'!L250</f>
        <v>0</v>
      </c>
      <c r="H250" s="66">
        <f t="shared" si="6"/>
        <v>0</v>
      </c>
      <c r="I250" s="65">
        <f>'COMPOSIÇÃO DE VALORES'!M250</f>
        <v>0</v>
      </c>
    </row>
    <row r="251" spans="1:9" x14ac:dyDescent="0.3">
      <c r="A251" s="64">
        <v>241</v>
      </c>
      <c r="B251" s="65">
        <f>'COMPOSIÇÃO DE VALORES'!B251</f>
        <v>0</v>
      </c>
      <c r="C251" s="65">
        <f>'COMPOSIÇÃO DE VALORES'!C251</f>
        <v>0</v>
      </c>
      <c r="D251" s="65">
        <f>'COMPOSIÇÃO DE VALORES'!D251</f>
        <v>0</v>
      </c>
      <c r="E251" s="65">
        <f>'COMPOSIÇÃO DE VALORES'!G251</f>
        <v>0</v>
      </c>
      <c r="F251" s="65">
        <f>'COMPOSIÇÃO DE VALORES'!H251</f>
        <v>0</v>
      </c>
      <c r="G251" s="66">
        <f>'COMPOSIÇÃO DE VALORES'!L251</f>
        <v>0</v>
      </c>
      <c r="H251" s="66">
        <f t="shared" si="6"/>
        <v>0</v>
      </c>
      <c r="I251" s="65">
        <f>'COMPOSIÇÃO DE VALORES'!M251</f>
        <v>0</v>
      </c>
    </row>
    <row r="252" spans="1:9" x14ac:dyDescent="0.3">
      <c r="A252" s="64">
        <v>242</v>
      </c>
      <c r="B252" s="65">
        <f>'COMPOSIÇÃO DE VALORES'!B252</f>
        <v>0</v>
      </c>
      <c r="C252" s="65">
        <f>'COMPOSIÇÃO DE VALORES'!C252</f>
        <v>0</v>
      </c>
      <c r="D252" s="65">
        <f>'COMPOSIÇÃO DE VALORES'!D252</f>
        <v>0</v>
      </c>
      <c r="E252" s="65">
        <f>'COMPOSIÇÃO DE VALORES'!G252</f>
        <v>0</v>
      </c>
      <c r="F252" s="65">
        <f>'COMPOSIÇÃO DE VALORES'!H252</f>
        <v>0</v>
      </c>
      <c r="G252" s="66">
        <f>'COMPOSIÇÃO DE VALORES'!L252</f>
        <v>0</v>
      </c>
      <c r="H252" s="66">
        <f t="shared" si="6"/>
        <v>0</v>
      </c>
      <c r="I252" s="65">
        <f>'COMPOSIÇÃO DE VALORES'!M252</f>
        <v>0</v>
      </c>
    </row>
    <row r="253" spans="1:9" x14ac:dyDescent="0.3">
      <c r="A253" s="64">
        <v>243</v>
      </c>
      <c r="B253" s="65">
        <f>'COMPOSIÇÃO DE VALORES'!B253</f>
        <v>0</v>
      </c>
      <c r="C253" s="65">
        <f>'COMPOSIÇÃO DE VALORES'!C253</f>
        <v>0</v>
      </c>
      <c r="D253" s="65">
        <f>'COMPOSIÇÃO DE VALORES'!D253</f>
        <v>0</v>
      </c>
      <c r="E253" s="65">
        <f>'COMPOSIÇÃO DE VALORES'!G253</f>
        <v>0</v>
      </c>
      <c r="F253" s="65">
        <f>'COMPOSIÇÃO DE VALORES'!H253</f>
        <v>0</v>
      </c>
      <c r="G253" s="66">
        <f>'COMPOSIÇÃO DE VALORES'!L253</f>
        <v>0</v>
      </c>
      <c r="H253" s="66">
        <f t="shared" si="6"/>
        <v>0</v>
      </c>
      <c r="I253" s="65">
        <f>'COMPOSIÇÃO DE VALORES'!M253</f>
        <v>0</v>
      </c>
    </row>
    <row r="254" spans="1:9" x14ac:dyDescent="0.3">
      <c r="A254" s="64">
        <v>244</v>
      </c>
      <c r="B254" s="65">
        <f>'COMPOSIÇÃO DE VALORES'!B254</f>
        <v>0</v>
      </c>
      <c r="C254" s="65">
        <f>'COMPOSIÇÃO DE VALORES'!C254</f>
        <v>0</v>
      </c>
      <c r="D254" s="65">
        <f>'COMPOSIÇÃO DE VALORES'!D254</f>
        <v>0</v>
      </c>
      <c r="E254" s="65">
        <f>'COMPOSIÇÃO DE VALORES'!G254</f>
        <v>0</v>
      </c>
      <c r="F254" s="65">
        <f>'COMPOSIÇÃO DE VALORES'!H254</f>
        <v>0</v>
      </c>
      <c r="G254" s="66">
        <f>'COMPOSIÇÃO DE VALORES'!L254</f>
        <v>0</v>
      </c>
      <c r="H254" s="66">
        <f t="shared" si="6"/>
        <v>0</v>
      </c>
      <c r="I254" s="65">
        <f>'COMPOSIÇÃO DE VALORES'!M254</f>
        <v>0</v>
      </c>
    </row>
    <row r="255" spans="1:9" x14ac:dyDescent="0.3">
      <c r="A255" s="64">
        <v>245</v>
      </c>
      <c r="B255" s="65">
        <f>'COMPOSIÇÃO DE VALORES'!B255</f>
        <v>0</v>
      </c>
      <c r="C255" s="65">
        <f>'COMPOSIÇÃO DE VALORES'!C255</f>
        <v>0</v>
      </c>
      <c r="D255" s="65">
        <f>'COMPOSIÇÃO DE VALORES'!D255</f>
        <v>0</v>
      </c>
      <c r="E255" s="65">
        <f>'COMPOSIÇÃO DE VALORES'!G255</f>
        <v>0</v>
      </c>
      <c r="F255" s="65">
        <f>'COMPOSIÇÃO DE VALORES'!H255</f>
        <v>0</v>
      </c>
      <c r="G255" s="66">
        <f>'COMPOSIÇÃO DE VALORES'!L255</f>
        <v>0</v>
      </c>
      <c r="H255" s="66">
        <f t="shared" si="6"/>
        <v>0</v>
      </c>
      <c r="I255" s="65">
        <f>'COMPOSIÇÃO DE VALORES'!M255</f>
        <v>0</v>
      </c>
    </row>
    <row r="256" spans="1:9" x14ac:dyDescent="0.3">
      <c r="A256" s="64">
        <v>246</v>
      </c>
      <c r="B256" s="65">
        <f>'COMPOSIÇÃO DE VALORES'!B256</f>
        <v>0</v>
      </c>
      <c r="C256" s="65">
        <f>'COMPOSIÇÃO DE VALORES'!C256</f>
        <v>0</v>
      </c>
      <c r="D256" s="65">
        <f>'COMPOSIÇÃO DE VALORES'!D256</f>
        <v>0</v>
      </c>
      <c r="E256" s="65">
        <f>'COMPOSIÇÃO DE VALORES'!G256</f>
        <v>0</v>
      </c>
      <c r="F256" s="65">
        <f>'COMPOSIÇÃO DE VALORES'!H256</f>
        <v>0</v>
      </c>
      <c r="G256" s="66">
        <f>'COMPOSIÇÃO DE VALORES'!L256</f>
        <v>0</v>
      </c>
      <c r="H256" s="66">
        <f t="shared" si="6"/>
        <v>0</v>
      </c>
      <c r="I256" s="65">
        <f>'COMPOSIÇÃO DE VALORES'!M256</f>
        <v>0</v>
      </c>
    </row>
    <row r="257" spans="1:9" x14ac:dyDescent="0.3">
      <c r="A257" s="64">
        <v>247</v>
      </c>
      <c r="B257" s="65">
        <f>'COMPOSIÇÃO DE VALORES'!B257</f>
        <v>0</v>
      </c>
      <c r="C257" s="65">
        <f>'COMPOSIÇÃO DE VALORES'!C257</f>
        <v>0</v>
      </c>
      <c r="D257" s="65">
        <f>'COMPOSIÇÃO DE VALORES'!D257</f>
        <v>0</v>
      </c>
      <c r="E257" s="65">
        <f>'COMPOSIÇÃO DE VALORES'!G257</f>
        <v>0</v>
      </c>
      <c r="F257" s="65">
        <f>'COMPOSIÇÃO DE VALORES'!H257</f>
        <v>0</v>
      </c>
      <c r="G257" s="66">
        <f>'COMPOSIÇÃO DE VALORES'!L257</f>
        <v>0</v>
      </c>
      <c r="H257" s="66">
        <f t="shared" si="6"/>
        <v>0</v>
      </c>
      <c r="I257" s="65">
        <f>'COMPOSIÇÃO DE VALORES'!M257</f>
        <v>0</v>
      </c>
    </row>
    <row r="258" spans="1:9" x14ac:dyDescent="0.3">
      <c r="A258" s="64">
        <v>248</v>
      </c>
      <c r="B258" s="65">
        <f>'COMPOSIÇÃO DE VALORES'!B258</f>
        <v>0</v>
      </c>
      <c r="C258" s="65">
        <f>'COMPOSIÇÃO DE VALORES'!C258</f>
        <v>0</v>
      </c>
      <c r="D258" s="65">
        <f>'COMPOSIÇÃO DE VALORES'!D258</f>
        <v>0</v>
      </c>
      <c r="E258" s="65">
        <f>'COMPOSIÇÃO DE VALORES'!G258</f>
        <v>0</v>
      </c>
      <c r="F258" s="65">
        <f>'COMPOSIÇÃO DE VALORES'!H258</f>
        <v>0</v>
      </c>
      <c r="G258" s="66">
        <f>'COMPOSIÇÃO DE VALORES'!L258</f>
        <v>0</v>
      </c>
      <c r="H258" s="66">
        <f t="shared" si="6"/>
        <v>0</v>
      </c>
      <c r="I258" s="65">
        <f>'COMPOSIÇÃO DE VALORES'!M258</f>
        <v>0</v>
      </c>
    </row>
    <row r="259" spans="1:9" x14ac:dyDescent="0.3">
      <c r="A259" s="64">
        <v>249</v>
      </c>
      <c r="B259" s="65">
        <f>'COMPOSIÇÃO DE VALORES'!B259</f>
        <v>0</v>
      </c>
      <c r="C259" s="65">
        <f>'COMPOSIÇÃO DE VALORES'!C259</f>
        <v>0</v>
      </c>
      <c r="D259" s="65">
        <f>'COMPOSIÇÃO DE VALORES'!D259</f>
        <v>0</v>
      </c>
      <c r="E259" s="65">
        <f>'COMPOSIÇÃO DE VALORES'!G259</f>
        <v>0</v>
      </c>
      <c r="F259" s="65">
        <f>'COMPOSIÇÃO DE VALORES'!H259</f>
        <v>0</v>
      </c>
      <c r="G259" s="66">
        <f>'COMPOSIÇÃO DE VALORES'!L259</f>
        <v>0</v>
      </c>
      <c r="H259" s="66">
        <f t="shared" si="6"/>
        <v>0</v>
      </c>
      <c r="I259" s="65">
        <f>'COMPOSIÇÃO DE VALORES'!M259</f>
        <v>0</v>
      </c>
    </row>
    <row r="260" spans="1:9" x14ac:dyDescent="0.3">
      <c r="A260" s="64">
        <v>250</v>
      </c>
      <c r="B260" s="65">
        <f>'COMPOSIÇÃO DE VALORES'!B260</f>
        <v>0</v>
      </c>
      <c r="C260" s="65">
        <f>'COMPOSIÇÃO DE VALORES'!C260</f>
        <v>0</v>
      </c>
      <c r="D260" s="65">
        <f>'COMPOSIÇÃO DE VALORES'!D260</f>
        <v>0</v>
      </c>
      <c r="E260" s="65">
        <f>'COMPOSIÇÃO DE VALORES'!G260</f>
        <v>0</v>
      </c>
      <c r="F260" s="65">
        <f>'COMPOSIÇÃO DE VALORES'!H260</f>
        <v>0</v>
      </c>
      <c r="G260" s="66">
        <f>'COMPOSIÇÃO DE VALORES'!L260</f>
        <v>0</v>
      </c>
      <c r="H260" s="66">
        <f t="shared" si="6"/>
        <v>0</v>
      </c>
      <c r="I260" s="65">
        <f>'COMPOSIÇÃO DE VALORES'!M260</f>
        <v>0</v>
      </c>
    </row>
    <row r="261" spans="1:9" x14ac:dyDescent="0.3">
      <c r="A261" s="64">
        <v>251</v>
      </c>
      <c r="B261" s="65">
        <f>'COMPOSIÇÃO DE VALORES'!B261</f>
        <v>0</v>
      </c>
      <c r="C261" s="65">
        <f>'COMPOSIÇÃO DE VALORES'!C261</f>
        <v>0</v>
      </c>
      <c r="D261" s="65">
        <f>'COMPOSIÇÃO DE VALORES'!D261</f>
        <v>0</v>
      </c>
      <c r="E261" s="65">
        <f>'COMPOSIÇÃO DE VALORES'!G261</f>
        <v>0</v>
      </c>
      <c r="F261" s="65">
        <f>'COMPOSIÇÃO DE VALORES'!H261</f>
        <v>0</v>
      </c>
      <c r="G261" s="66">
        <f>'COMPOSIÇÃO DE VALORES'!L261</f>
        <v>0</v>
      </c>
      <c r="H261" s="66">
        <f t="shared" si="6"/>
        <v>0</v>
      </c>
      <c r="I261" s="65">
        <f>'COMPOSIÇÃO DE VALORES'!M261</f>
        <v>0</v>
      </c>
    </row>
    <row r="262" spans="1:9" x14ac:dyDescent="0.3">
      <c r="A262" s="64">
        <v>252</v>
      </c>
      <c r="B262" s="65">
        <f>'COMPOSIÇÃO DE VALORES'!B262</f>
        <v>0</v>
      </c>
      <c r="C262" s="65">
        <f>'COMPOSIÇÃO DE VALORES'!C262</f>
        <v>0</v>
      </c>
      <c r="D262" s="65">
        <f>'COMPOSIÇÃO DE VALORES'!D262</f>
        <v>0</v>
      </c>
      <c r="E262" s="65">
        <f>'COMPOSIÇÃO DE VALORES'!G262</f>
        <v>0</v>
      </c>
      <c r="F262" s="65">
        <f>'COMPOSIÇÃO DE VALORES'!H262</f>
        <v>0</v>
      </c>
      <c r="G262" s="66">
        <f>'COMPOSIÇÃO DE VALORES'!L262</f>
        <v>0</v>
      </c>
      <c r="H262" s="66">
        <f t="shared" si="6"/>
        <v>0</v>
      </c>
      <c r="I262" s="65">
        <f>'COMPOSIÇÃO DE VALORES'!M262</f>
        <v>0</v>
      </c>
    </row>
    <row r="263" spans="1:9" x14ac:dyDescent="0.3">
      <c r="A263" s="64">
        <v>253</v>
      </c>
      <c r="B263" s="65">
        <f>'COMPOSIÇÃO DE VALORES'!B263</f>
        <v>0</v>
      </c>
      <c r="C263" s="65">
        <f>'COMPOSIÇÃO DE VALORES'!C263</f>
        <v>0</v>
      </c>
      <c r="D263" s="65">
        <f>'COMPOSIÇÃO DE VALORES'!D263</f>
        <v>0</v>
      </c>
      <c r="E263" s="65">
        <f>'COMPOSIÇÃO DE VALORES'!G263</f>
        <v>0</v>
      </c>
      <c r="F263" s="65">
        <f>'COMPOSIÇÃO DE VALORES'!H263</f>
        <v>0</v>
      </c>
      <c r="G263" s="66">
        <f>'COMPOSIÇÃO DE VALORES'!L263</f>
        <v>0</v>
      </c>
      <c r="H263" s="66">
        <f t="shared" ref="H263:H271" si="7">G263*B263</f>
        <v>0</v>
      </c>
      <c r="I263" s="65">
        <f>'COMPOSIÇÃO DE VALORES'!M263</f>
        <v>0</v>
      </c>
    </row>
    <row r="264" spans="1:9" x14ac:dyDescent="0.3">
      <c r="A264" s="64">
        <v>254</v>
      </c>
      <c r="B264" s="65">
        <f>'COMPOSIÇÃO DE VALORES'!B264</f>
        <v>0</v>
      </c>
      <c r="C264" s="65">
        <f>'COMPOSIÇÃO DE VALORES'!C264</f>
        <v>0</v>
      </c>
      <c r="D264" s="65">
        <f>'COMPOSIÇÃO DE VALORES'!D264</f>
        <v>0</v>
      </c>
      <c r="E264" s="65">
        <f>'COMPOSIÇÃO DE VALORES'!G264</f>
        <v>0</v>
      </c>
      <c r="F264" s="65">
        <f>'COMPOSIÇÃO DE VALORES'!H264</f>
        <v>0</v>
      </c>
      <c r="G264" s="66">
        <f>'COMPOSIÇÃO DE VALORES'!L264</f>
        <v>0</v>
      </c>
      <c r="H264" s="66">
        <f t="shared" si="7"/>
        <v>0</v>
      </c>
      <c r="I264" s="65">
        <f>'COMPOSIÇÃO DE VALORES'!M264</f>
        <v>0</v>
      </c>
    </row>
    <row r="265" spans="1:9" x14ac:dyDescent="0.3">
      <c r="A265" s="64">
        <v>255</v>
      </c>
      <c r="B265" s="65">
        <f>'COMPOSIÇÃO DE VALORES'!B265</f>
        <v>0</v>
      </c>
      <c r="C265" s="65">
        <f>'COMPOSIÇÃO DE VALORES'!C265</f>
        <v>0</v>
      </c>
      <c r="D265" s="65">
        <f>'COMPOSIÇÃO DE VALORES'!D265</f>
        <v>0</v>
      </c>
      <c r="E265" s="65">
        <f>'COMPOSIÇÃO DE VALORES'!G265</f>
        <v>0</v>
      </c>
      <c r="F265" s="65">
        <f>'COMPOSIÇÃO DE VALORES'!H265</f>
        <v>0</v>
      </c>
      <c r="G265" s="66">
        <f>'COMPOSIÇÃO DE VALORES'!L265</f>
        <v>0</v>
      </c>
      <c r="H265" s="66">
        <f t="shared" si="7"/>
        <v>0</v>
      </c>
      <c r="I265" s="65">
        <f>'COMPOSIÇÃO DE VALORES'!M265</f>
        <v>0</v>
      </c>
    </row>
    <row r="266" spans="1:9" x14ac:dyDescent="0.3">
      <c r="A266" s="64">
        <v>256</v>
      </c>
      <c r="B266" s="65">
        <f>'COMPOSIÇÃO DE VALORES'!B266</f>
        <v>0</v>
      </c>
      <c r="C266" s="65">
        <f>'COMPOSIÇÃO DE VALORES'!C266</f>
        <v>0</v>
      </c>
      <c r="D266" s="65">
        <f>'COMPOSIÇÃO DE VALORES'!D266</f>
        <v>0</v>
      </c>
      <c r="E266" s="65">
        <f>'COMPOSIÇÃO DE VALORES'!G266</f>
        <v>0</v>
      </c>
      <c r="F266" s="65">
        <f>'COMPOSIÇÃO DE VALORES'!H266</f>
        <v>0</v>
      </c>
      <c r="G266" s="66">
        <f>'COMPOSIÇÃO DE VALORES'!L266</f>
        <v>0</v>
      </c>
      <c r="H266" s="66">
        <f t="shared" si="7"/>
        <v>0</v>
      </c>
      <c r="I266" s="65">
        <f>'COMPOSIÇÃO DE VALORES'!M266</f>
        <v>0</v>
      </c>
    </row>
    <row r="267" spans="1:9" x14ac:dyDescent="0.3">
      <c r="A267" s="64">
        <v>257</v>
      </c>
      <c r="B267" s="65">
        <f>'COMPOSIÇÃO DE VALORES'!B267</f>
        <v>0</v>
      </c>
      <c r="C267" s="65">
        <f>'COMPOSIÇÃO DE VALORES'!C267</f>
        <v>0</v>
      </c>
      <c r="D267" s="65">
        <f>'COMPOSIÇÃO DE VALORES'!D267</f>
        <v>0</v>
      </c>
      <c r="E267" s="65">
        <f>'COMPOSIÇÃO DE VALORES'!G267</f>
        <v>0</v>
      </c>
      <c r="F267" s="65">
        <f>'COMPOSIÇÃO DE VALORES'!H267</f>
        <v>0</v>
      </c>
      <c r="G267" s="66">
        <f>'COMPOSIÇÃO DE VALORES'!L267</f>
        <v>0</v>
      </c>
      <c r="H267" s="66">
        <f t="shared" si="7"/>
        <v>0</v>
      </c>
      <c r="I267" s="65">
        <f>'COMPOSIÇÃO DE VALORES'!M267</f>
        <v>0</v>
      </c>
    </row>
    <row r="268" spans="1:9" x14ac:dyDescent="0.3">
      <c r="A268" s="64">
        <v>258</v>
      </c>
      <c r="B268" s="65">
        <f>'COMPOSIÇÃO DE VALORES'!B268</f>
        <v>0</v>
      </c>
      <c r="C268" s="65">
        <f>'COMPOSIÇÃO DE VALORES'!C268</f>
        <v>0</v>
      </c>
      <c r="D268" s="65">
        <f>'COMPOSIÇÃO DE VALORES'!D268</f>
        <v>0</v>
      </c>
      <c r="E268" s="65">
        <f>'COMPOSIÇÃO DE VALORES'!G268</f>
        <v>0</v>
      </c>
      <c r="F268" s="65">
        <f>'COMPOSIÇÃO DE VALORES'!H268</f>
        <v>0</v>
      </c>
      <c r="G268" s="66">
        <f>'COMPOSIÇÃO DE VALORES'!L268</f>
        <v>0</v>
      </c>
      <c r="H268" s="66">
        <f t="shared" si="7"/>
        <v>0</v>
      </c>
      <c r="I268" s="65">
        <f>'COMPOSIÇÃO DE VALORES'!M268</f>
        <v>0</v>
      </c>
    </row>
    <row r="269" spans="1:9" x14ac:dyDescent="0.3">
      <c r="A269" s="64">
        <v>259</v>
      </c>
      <c r="B269" s="65">
        <f>'COMPOSIÇÃO DE VALORES'!B269</f>
        <v>0</v>
      </c>
      <c r="C269" s="65">
        <f>'COMPOSIÇÃO DE VALORES'!C269</f>
        <v>0</v>
      </c>
      <c r="D269" s="65">
        <f>'COMPOSIÇÃO DE VALORES'!D269</f>
        <v>0</v>
      </c>
      <c r="E269" s="65">
        <f>'COMPOSIÇÃO DE VALORES'!G269</f>
        <v>0</v>
      </c>
      <c r="F269" s="65">
        <f>'COMPOSIÇÃO DE VALORES'!H269</f>
        <v>0</v>
      </c>
      <c r="G269" s="66">
        <f>'COMPOSIÇÃO DE VALORES'!L269</f>
        <v>0</v>
      </c>
      <c r="H269" s="66">
        <f t="shared" si="7"/>
        <v>0</v>
      </c>
      <c r="I269" s="65">
        <f>'COMPOSIÇÃO DE VALORES'!M269</f>
        <v>0</v>
      </c>
    </row>
    <row r="270" spans="1:9" x14ac:dyDescent="0.3">
      <c r="A270" s="64">
        <v>260</v>
      </c>
      <c r="B270" s="65">
        <f>'COMPOSIÇÃO DE VALORES'!B270</f>
        <v>0</v>
      </c>
      <c r="C270" s="65">
        <f>'COMPOSIÇÃO DE VALORES'!C270</f>
        <v>0</v>
      </c>
      <c r="D270" s="65">
        <f>'COMPOSIÇÃO DE VALORES'!D270</f>
        <v>0</v>
      </c>
      <c r="E270" s="65">
        <f>'COMPOSIÇÃO DE VALORES'!G270</f>
        <v>0</v>
      </c>
      <c r="F270" s="65">
        <f>'COMPOSIÇÃO DE VALORES'!H270</f>
        <v>0</v>
      </c>
      <c r="G270" s="66">
        <f>'COMPOSIÇÃO DE VALORES'!L270</f>
        <v>0</v>
      </c>
      <c r="H270" s="66">
        <f t="shared" si="7"/>
        <v>0</v>
      </c>
      <c r="I270" s="65">
        <f>'COMPOSIÇÃO DE VALORES'!M270</f>
        <v>0</v>
      </c>
    </row>
    <row r="271" spans="1:9" x14ac:dyDescent="0.3">
      <c r="A271" s="64">
        <v>261</v>
      </c>
      <c r="B271" s="65">
        <f>'COMPOSIÇÃO DE VALORES'!B271</f>
        <v>0</v>
      </c>
      <c r="C271" s="65">
        <f>'COMPOSIÇÃO DE VALORES'!C271</f>
        <v>0</v>
      </c>
      <c r="D271" s="65">
        <f>'COMPOSIÇÃO DE VALORES'!D271</f>
        <v>0</v>
      </c>
      <c r="E271" s="65">
        <f>'COMPOSIÇÃO DE VALORES'!G271</f>
        <v>0</v>
      </c>
      <c r="F271" s="65">
        <f>'COMPOSIÇÃO DE VALORES'!H271</f>
        <v>0</v>
      </c>
      <c r="G271" s="66">
        <f>'COMPOSIÇÃO DE VALORES'!L271</f>
        <v>0</v>
      </c>
      <c r="H271" s="66">
        <f t="shared" si="7"/>
        <v>0</v>
      </c>
      <c r="I271" s="65">
        <f>'COMPOSIÇÃO DE VALORES'!M271</f>
        <v>0</v>
      </c>
    </row>
    <row r="272" spans="1:9" x14ac:dyDescent="0.3">
      <c r="A272" s="64">
        <v>262</v>
      </c>
      <c r="B272" s="65">
        <f>'COMPOSIÇÃO DE VALORES'!B272</f>
        <v>0</v>
      </c>
      <c r="C272" s="65">
        <f>'COMPOSIÇÃO DE VALORES'!C272</f>
        <v>0</v>
      </c>
      <c r="D272" s="65">
        <f>'COMPOSIÇÃO DE VALORES'!D272</f>
        <v>0</v>
      </c>
      <c r="E272" s="65">
        <f>'COMPOSIÇÃO DE VALORES'!G272</f>
        <v>0</v>
      </c>
      <c r="F272" s="65">
        <f>'COMPOSIÇÃO DE VALORES'!H272</f>
        <v>0</v>
      </c>
      <c r="G272" s="66">
        <f>'COMPOSIÇÃO DE VALORES'!L272</f>
        <v>0</v>
      </c>
      <c r="H272" s="66">
        <f>G272*B272</f>
        <v>0</v>
      </c>
      <c r="I272" s="65">
        <f>'COMPOSIÇÃO DE VALORES'!M272</f>
        <v>0</v>
      </c>
    </row>
    <row r="273" spans="1:9" x14ac:dyDescent="0.3">
      <c r="A273" s="64">
        <v>263</v>
      </c>
      <c r="B273" s="65">
        <f>'COMPOSIÇÃO DE VALORES'!B273</f>
        <v>0</v>
      </c>
      <c r="C273" s="65">
        <f>'COMPOSIÇÃO DE VALORES'!C273</f>
        <v>0</v>
      </c>
      <c r="D273" s="65">
        <f>'COMPOSIÇÃO DE VALORES'!D273</f>
        <v>0</v>
      </c>
      <c r="E273" s="65">
        <f>'COMPOSIÇÃO DE VALORES'!G273</f>
        <v>0</v>
      </c>
      <c r="F273" s="65">
        <f>'COMPOSIÇÃO DE VALORES'!H273</f>
        <v>0</v>
      </c>
      <c r="G273" s="66">
        <f>'COMPOSIÇÃO DE VALORES'!L273</f>
        <v>0</v>
      </c>
      <c r="H273" s="66">
        <f t="shared" ref="H273:H327" si="8">G273*B273</f>
        <v>0</v>
      </c>
      <c r="I273" s="65">
        <f>'COMPOSIÇÃO DE VALORES'!M273</f>
        <v>0</v>
      </c>
    </row>
    <row r="274" spans="1:9" x14ac:dyDescent="0.3">
      <c r="A274" s="64">
        <v>264</v>
      </c>
      <c r="B274" s="65">
        <f>'COMPOSIÇÃO DE VALORES'!B274</f>
        <v>0</v>
      </c>
      <c r="C274" s="65">
        <f>'COMPOSIÇÃO DE VALORES'!C274</f>
        <v>0</v>
      </c>
      <c r="D274" s="65">
        <f>'COMPOSIÇÃO DE VALORES'!D274</f>
        <v>0</v>
      </c>
      <c r="E274" s="65">
        <f>'COMPOSIÇÃO DE VALORES'!G274</f>
        <v>0</v>
      </c>
      <c r="F274" s="65">
        <f>'COMPOSIÇÃO DE VALORES'!H274</f>
        <v>0</v>
      </c>
      <c r="G274" s="66">
        <f>'COMPOSIÇÃO DE VALORES'!L274</f>
        <v>0</v>
      </c>
      <c r="H274" s="66">
        <f t="shared" si="8"/>
        <v>0</v>
      </c>
      <c r="I274" s="65">
        <f>'COMPOSIÇÃO DE VALORES'!M274</f>
        <v>0</v>
      </c>
    </row>
    <row r="275" spans="1:9" x14ac:dyDescent="0.3">
      <c r="A275" s="64">
        <v>265</v>
      </c>
      <c r="B275" s="65">
        <f>'COMPOSIÇÃO DE VALORES'!B275</f>
        <v>0</v>
      </c>
      <c r="C275" s="65">
        <f>'COMPOSIÇÃO DE VALORES'!C275</f>
        <v>0</v>
      </c>
      <c r="D275" s="65">
        <f>'COMPOSIÇÃO DE VALORES'!D275</f>
        <v>0</v>
      </c>
      <c r="E275" s="65">
        <f>'COMPOSIÇÃO DE VALORES'!G275</f>
        <v>0</v>
      </c>
      <c r="F275" s="65">
        <f>'COMPOSIÇÃO DE VALORES'!H275</f>
        <v>0</v>
      </c>
      <c r="G275" s="66">
        <f>'COMPOSIÇÃO DE VALORES'!L275</f>
        <v>0</v>
      </c>
      <c r="H275" s="66">
        <f t="shared" si="8"/>
        <v>0</v>
      </c>
      <c r="I275" s="65">
        <f>'COMPOSIÇÃO DE VALORES'!M275</f>
        <v>0</v>
      </c>
    </row>
    <row r="276" spans="1:9" x14ac:dyDescent="0.3">
      <c r="A276" s="64">
        <v>266</v>
      </c>
      <c r="B276" s="65">
        <f>'COMPOSIÇÃO DE VALORES'!B276</f>
        <v>0</v>
      </c>
      <c r="C276" s="65">
        <f>'COMPOSIÇÃO DE VALORES'!C276</f>
        <v>0</v>
      </c>
      <c r="D276" s="65">
        <f>'COMPOSIÇÃO DE VALORES'!D276</f>
        <v>0</v>
      </c>
      <c r="E276" s="65">
        <f>'COMPOSIÇÃO DE VALORES'!G276</f>
        <v>0</v>
      </c>
      <c r="F276" s="65">
        <f>'COMPOSIÇÃO DE VALORES'!H276</f>
        <v>0</v>
      </c>
      <c r="G276" s="66">
        <f>'COMPOSIÇÃO DE VALORES'!L276</f>
        <v>0</v>
      </c>
      <c r="H276" s="66">
        <f t="shared" si="8"/>
        <v>0</v>
      </c>
      <c r="I276" s="65">
        <f>'COMPOSIÇÃO DE VALORES'!M276</f>
        <v>0</v>
      </c>
    </row>
    <row r="277" spans="1:9" x14ac:dyDescent="0.3">
      <c r="A277" s="64">
        <v>267</v>
      </c>
      <c r="B277" s="65">
        <f>'COMPOSIÇÃO DE VALORES'!B277</f>
        <v>0</v>
      </c>
      <c r="C277" s="65">
        <f>'COMPOSIÇÃO DE VALORES'!C277</f>
        <v>0</v>
      </c>
      <c r="D277" s="65">
        <f>'COMPOSIÇÃO DE VALORES'!D277</f>
        <v>0</v>
      </c>
      <c r="E277" s="65">
        <f>'COMPOSIÇÃO DE VALORES'!G277</f>
        <v>0</v>
      </c>
      <c r="F277" s="65">
        <f>'COMPOSIÇÃO DE VALORES'!H277</f>
        <v>0</v>
      </c>
      <c r="G277" s="66">
        <f>'COMPOSIÇÃO DE VALORES'!L277</f>
        <v>0</v>
      </c>
      <c r="H277" s="66">
        <f t="shared" si="8"/>
        <v>0</v>
      </c>
      <c r="I277" s="65">
        <f>'COMPOSIÇÃO DE VALORES'!M277</f>
        <v>0</v>
      </c>
    </row>
    <row r="278" spans="1:9" x14ac:dyDescent="0.3">
      <c r="A278" s="64">
        <v>268</v>
      </c>
      <c r="B278" s="65">
        <f>'COMPOSIÇÃO DE VALORES'!B278</f>
        <v>0</v>
      </c>
      <c r="C278" s="65">
        <f>'COMPOSIÇÃO DE VALORES'!C278</f>
        <v>0</v>
      </c>
      <c r="D278" s="65">
        <f>'COMPOSIÇÃO DE VALORES'!D278</f>
        <v>0</v>
      </c>
      <c r="E278" s="65">
        <f>'COMPOSIÇÃO DE VALORES'!G278</f>
        <v>0</v>
      </c>
      <c r="F278" s="65">
        <f>'COMPOSIÇÃO DE VALORES'!H278</f>
        <v>0</v>
      </c>
      <c r="G278" s="66">
        <f>'COMPOSIÇÃO DE VALORES'!L278</f>
        <v>0</v>
      </c>
      <c r="H278" s="66">
        <f t="shared" si="8"/>
        <v>0</v>
      </c>
      <c r="I278" s="65">
        <f>'COMPOSIÇÃO DE VALORES'!M278</f>
        <v>0</v>
      </c>
    </row>
    <row r="279" spans="1:9" x14ac:dyDescent="0.3">
      <c r="A279" s="64">
        <v>269</v>
      </c>
      <c r="B279" s="65">
        <f>'COMPOSIÇÃO DE VALORES'!B279</f>
        <v>0</v>
      </c>
      <c r="C279" s="65">
        <f>'COMPOSIÇÃO DE VALORES'!C279</f>
        <v>0</v>
      </c>
      <c r="D279" s="65">
        <f>'COMPOSIÇÃO DE VALORES'!D279</f>
        <v>0</v>
      </c>
      <c r="E279" s="65">
        <f>'COMPOSIÇÃO DE VALORES'!G279</f>
        <v>0</v>
      </c>
      <c r="F279" s="65">
        <f>'COMPOSIÇÃO DE VALORES'!H279</f>
        <v>0</v>
      </c>
      <c r="G279" s="66">
        <f>'COMPOSIÇÃO DE VALORES'!L279</f>
        <v>0</v>
      </c>
      <c r="H279" s="66">
        <f t="shared" si="8"/>
        <v>0</v>
      </c>
      <c r="I279" s="65">
        <f>'COMPOSIÇÃO DE VALORES'!M279</f>
        <v>0</v>
      </c>
    </row>
    <row r="280" spans="1:9" x14ac:dyDescent="0.3">
      <c r="A280" s="64">
        <v>270</v>
      </c>
      <c r="B280" s="65">
        <f>'COMPOSIÇÃO DE VALORES'!B280</f>
        <v>0</v>
      </c>
      <c r="C280" s="65">
        <f>'COMPOSIÇÃO DE VALORES'!C280</f>
        <v>0</v>
      </c>
      <c r="D280" s="65">
        <f>'COMPOSIÇÃO DE VALORES'!D280</f>
        <v>0</v>
      </c>
      <c r="E280" s="65">
        <f>'COMPOSIÇÃO DE VALORES'!G280</f>
        <v>0</v>
      </c>
      <c r="F280" s="65">
        <f>'COMPOSIÇÃO DE VALORES'!H280</f>
        <v>0</v>
      </c>
      <c r="G280" s="66">
        <f>'COMPOSIÇÃO DE VALORES'!L280</f>
        <v>0</v>
      </c>
      <c r="H280" s="66">
        <f t="shared" si="8"/>
        <v>0</v>
      </c>
      <c r="I280" s="65">
        <f>'COMPOSIÇÃO DE VALORES'!M280</f>
        <v>0</v>
      </c>
    </row>
    <row r="281" spans="1:9" x14ac:dyDescent="0.3">
      <c r="A281" s="64">
        <v>271</v>
      </c>
      <c r="B281" s="65">
        <f>'COMPOSIÇÃO DE VALORES'!B281</f>
        <v>0</v>
      </c>
      <c r="C281" s="65">
        <f>'COMPOSIÇÃO DE VALORES'!C281</f>
        <v>0</v>
      </c>
      <c r="D281" s="65">
        <f>'COMPOSIÇÃO DE VALORES'!D281</f>
        <v>0</v>
      </c>
      <c r="E281" s="65">
        <f>'COMPOSIÇÃO DE VALORES'!G281</f>
        <v>0</v>
      </c>
      <c r="F281" s="65">
        <f>'COMPOSIÇÃO DE VALORES'!H281</f>
        <v>0</v>
      </c>
      <c r="G281" s="66">
        <f>'COMPOSIÇÃO DE VALORES'!L281</f>
        <v>0</v>
      </c>
      <c r="H281" s="66">
        <f t="shared" si="8"/>
        <v>0</v>
      </c>
      <c r="I281" s="65">
        <f>'COMPOSIÇÃO DE VALORES'!M281</f>
        <v>0</v>
      </c>
    </row>
    <row r="282" spans="1:9" x14ac:dyDescent="0.3">
      <c r="A282" s="64">
        <v>272</v>
      </c>
      <c r="B282" s="65">
        <f>'COMPOSIÇÃO DE VALORES'!B282</f>
        <v>0</v>
      </c>
      <c r="C282" s="65">
        <f>'COMPOSIÇÃO DE VALORES'!C282</f>
        <v>0</v>
      </c>
      <c r="D282" s="65">
        <f>'COMPOSIÇÃO DE VALORES'!D282</f>
        <v>0</v>
      </c>
      <c r="E282" s="65">
        <f>'COMPOSIÇÃO DE VALORES'!G282</f>
        <v>0</v>
      </c>
      <c r="F282" s="65">
        <f>'COMPOSIÇÃO DE VALORES'!H282</f>
        <v>0</v>
      </c>
      <c r="G282" s="66">
        <f>'COMPOSIÇÃO DE VALORES'!L282</f>
        <v>0</v>
      </c>
      <c r="H282" s="66">
        <f t="shared" si="8"/>
        <v>0</v>
      </c>
      <c r="I282" s="65">
        <f>'COMPOSIÇÃO DE VALORES'!M282</f>
        <v>0</v>
      </c>
    </row>
    <row r="283" spans="1:9" x14ac:dyDescent="0.3">
      <c r="A283" s="64">
        <v>273</v>
      </c>
      <c r="B283" s="65">
        <f>'COMPOSIÇÃO DE VALORES'!B283</f>
        <v>0</v>
      </c>
      <c r="C283" s="65">
        <f>'COMPOSIÇÃO DE VALORES'!C283</f>
        <v>0</v>
      </c>
      <c r="D283" s="65">
        <f>'COMPOSIÇÃO DE VALORES'!D283</f>
        <v>0</v>
      </c>
      <c r="E283" s="65">
        <f>'COMPOSIÇÃO DE VALORES'!G283</f>
        <v>0</v>
      </c>
      <c r="F283" s="65">
        <f>'COMPOSIÇÃO DE VALORES'!H283</f>
        <v>0</v>
      </c>
      <c r="G283" s="66">
        <f>'COMPOSIÇÃO DE VALORES'!L283</f>
        <v>0</v>
      </c>
      <c r="H283" s="66">
        <f t="shared" si="8"/>
        <v>0</v>
      </c>
      <c r="I283" s="65">
        <f>'COMPOSIÇÃO DE VALORES'!M283</f>
        <v>0</v>
      </c>
    </row>
    <row r="284" spans="1:9" x14ac:dyDescent="0.3">
      <c r="A284" s="64">
        <v>274</v>
      </c>
      <c r="B284" s="65">
        <f>'COMPOSIÇÃO DE VALORES'!B284</f>
        <v>0</v>
      </c>
      <c r="C284" s="65">
        <f>'COMPOSIÇÃO DE VALORES'!C284</f>
        <v>0</v>
      </c>
      <c r="D284" s="65">
        <f>'COMPOSIÇÃO DE VALORES'!D284</f>
        <v>0</v>
      </c>
      <c r="E284" s="65">
        <f>'COMPOSIÇÃO DE VALORES'!G284</f>
        <v>0</v>
      </c>
      <c r="F284" s="65">
        <f>'COMPOSIÇÃO DE VALORES'!H284</f>
        <v>0</v>
      </c>
      <c r="G284" s="66">
        <f>'COMPOSIÇÃO DE VALORES'!L284</f>
        <v>0</v>
      </c>
      <c r="H284" s="66">
        <f t="shared" si="8"/>
        <v>0</v>
      </c>
      <c r="I284" s="65">
        <f>'COMPOSIÇÃO DE VALORES'!M284</f>
        <v>0</v>
      </c>
    </row>
    <row r="285" spans="1:9" x14ac:dyDescent="0.3">
      <c r="A285" s="64">
        <v>275</v>
      </c>
      <c r="B285" s="65">
        <f>'COMPOSIÇÃO DE VALORES'!B285</f>
        <v>0</v>
      </c>
      <c r="C285" s="65">
        <f>'COMPOSIÇÃO DE VALORES'!C285</f>
        <v>0</v>
      </c>
      <c r="D285" s="65">
        <f>'COMPOSIÇÃO DE VALORES'!D285</f>
        <v>0</v>
      </c>
      <c r="E285" s="65">
        <f>'COMPOSIÇÃO DE VALORES'!G285</f>
        <v>0</v>
      </c>
      <c r="F285" s="65">
        <f>'COMPOSIÇÃO DE VALORES'!H285</f>
        <v>0</v>
      </c>
      <c r="G285" s="66">
        <f>'COMPOSIÇÃO DE VALORES'!L285</f>
        <v>0</v>
      </c>
      <c r="H285" s="66">
        <f t="shared" si="8"/>
        <v>0</v>
      </c>
      <c r="I285" s="65">
        <f>'COMPOSIÇÃO DE VALORES'!M285</f>
        <v>0</v>
      </c>
    </row>
    <row r="286" spans="1:9" x14ac:dyDescent="0.3">
      <c r="A286" s="64">
        <v>276</v>
      </c>
      <c r="B286" s="65">
        <f>'COMPOSIÇÃO DE VALORES'!B286</f>
        <v>0</v>
      </c>
      <c r="C286" s="65">
        <f>'COMPOSIÇÃO DE VALORES'!C286</f>
        <v>0</v>
      </c>
      <c r="D286" s="65">
        <f>'COMPOSIÇÃO DE VALORES'!D286</f>
        <v>0</v>
      </c>
      <c r="E286" s="65">
        <f>'COMPOSIÇÃO DE VALORES'!G286</f>
        <v>0</v>
      </c>
      <c r="F286" s="65">
        <f>'COMPOSIÇÃO DE VALORES'!H286</f>
        <v>0</v>
      </c>
      <c r="G286" s="66">
        <f>'COMPOSIÇÃO DE VALORES'!L286</f>
        <v>0</v>
      </c>
      <c r="H286" s="66">
        <f t="shared" si="8"/>
        <v>0</v>
      </c>
      <c r="I286" s="65">
        <f>'COMPOSIÇÃO DE VALORES'!M286</f>
        <v>0</v>
      </c>
    </row>
    <row r="287" spans="1:9" x14ac:dyDescent="0.3">
      <c r="A287" s="64">
        <v>277</v>
      </c>
      <c r="B287" s="65">
        <f>'COMPOSIÇÃO DE VALORES'!B287</f>
        <v>0</v>
      </c>
      <c r="C287" s="65">
        <f>'COMPOSIÇÃO DE VALORES'!C287</f>
        <v>0</v>
      </c>
      <c r="D287" s="65">
        <f>'COMPOSIÇÃO DE VALORES'!D287</f>
        <v>0</v>
      </c>
      <c r="E287" s="65">
        <f>'COMPOSIÇÃO DE VALORES'!G287</f>
        <v>0</v>
      </c>
      <c r="F287" s="65">
        <f>'COMPOSIÇÃO DE VALORES'!H287</f>
        <v>0</v>
      </c>
      <c r="G287" s="66">
        <f>'COMPOSIÇÃO DE VALORES'!L287</f>
        <v>0</v>
      </c>
      <c r="H287" s="66">
        <f t="shared" si="8"/>
        <v>0</v>
      </c>
      <c r="I287" s="65">
        <f>'COMPOSIÇÃO DE VALORES'!M287</f>
        <v>0</v>
      </c>
    </row>
    <row r="288" spans="1:9" x14ac:dyDescent="0.3">
      <c r="A288" s="64">
        <v>278</v>
      </c>
      <c r="B288" s="65">
        <f>'COMPOSIÇÃO DE VALORES'!B288</f>
        <v>0</v>
      </c>
      <c r="C288" s="65">
        <f>'COMPOSIÇÃO DE VALORES'!C288</f>
        <v>0</v>
      </c>
      <c r="D288" s="65">
        <f>'COMPOSIÇÃO DE VALORES'!D288</f>
        <v>0</v>
      </c>
      <c r="E288" s="65">
        <f>'COMPOSIÇÃO DE VALORES'!G288</f>
        <v>0</v>
      </c>
      <c r="F288" s="65">
        <f>'COMPOSIÇÃO DE VALORES'!H288</f>
        <v>0</v>
      </c>
      <c r="G288" s="66">
        <f>'COMPOSIÇÃO DE VALORES'!L288</f>
        <v>0</v>
      </c>
      <c r="H288" s="66">
        <f t="shared" si="8"/>
        <v>0</v>
      </c>
      <c r="I288" s="65">
        <f>'COMPOSIÇÃO DE VALORES'!M288</f>
        <v>0</v>
      </c>
    </row>
    <row r="289" spans="1:9" x14ac:dyDescent="0.3">
      <c r="A289" s="64">
        <v>279</v>
      </c>
      <c r="B289" s="65">
        <f>'COMPOSIÇÃO DE VALORES'!B289</f>
        <v>0</v>
      </c>
      <c r="C289" s="65">
        <f>'COMPOSIÇÃO DE VALORES'!C289</f>
        <v>0</v>
      </c>
      <c r="D289" s="65">
        <f>'COMPOSIÇÃO DE VALORES'!D289</f>
        <v>0</v>
      </c>
      <c r="E289" s="65">
        <f>'COMPOSIÇÃO DE VALORES'!G289</f>
        <v>0</v>
      </c>
      <c r="F289" s="65">
        <f>'COMPOSIÇÃO DE VALORES'!H289</f>
        <v>0</v>
      </c>
      <c r="G289" s="66">
        <f>'COMPOSIÇÃO DE VALORES'!L289</f>
        <v>0</v>
      </c>
      <c r="H289" s="66">
        <f t="shared" si="8"/>
        <v>0</v>
      </c>
      <c r="I289" s="65">
        <f>'COMPOSIÇÃO DE VALORES'!M289</f>
        <v>0</v>
      </c>
    </row>
    <row r="290" spans="1:9" x14ac:dyDescent="0.3">
      <c r="A290" s="64">
        <v>280</v>
      </c>
      <c r="B290" s="65">
        <f>'COMPOSIÇÃO DE VALORES'!B290</f>
        <v>0</v>
      </c>
      <c r="C290" s="65">
        <f>'COMPOSIÇÃO DE VALORES'!C290</f>
        <v>0</v>
      </c>
      <c r="D290" s="65">
        <f>'COMPOSIÇÃO DE VALORES'!D290</f>
        <v>0</v>
      </c>
      <c r="E290" s="65">
        <f>'COMPOSIÇÃO DE VALORES'!G290</f>
        <v>0</v>
      </c>
      <c r="F290" s="65">
        <f>'COMPOSIÇÃO DE VALORES'!H290</f>
        <v>0</v>
      </c>
      <c r="G290" s="66">
        <f>'COMPOSIÇÃO DE VALORES'!L290</f>
        <v>0</v>
      </c>
      <c r="H290" s="66">
        <f t="shared" si="8"/>
        <v>0</v>
      </c>
      <c r="I290" s="65">
        <f>'COMPOSIÇÃO DE VALORES'!M290</f>
        <v>0</v>
      </c>
    </row>
    <row r="291" spans="1:9" x14ac:dyDescent="0.3">
      <c r="A291" s="64">
        <v>281</v>
      </c>
      <c r="B291" s="65">
        <f>'COMPOSIÇÃO DE VALORES'!B291</f>
        <v>0</v>
      </c>
      <c r="C291" s="65">
        <f>'COMPOSIÇÃO DE VALORES'!C291</f>
        <v>0</v>
      </c>
      <c r="D291" s="65">
        <f>'COMPOSIÇÃO DE VALORES'!D291</f>
        <v>0</v>
      </c>
      <c r="E291" s="65">
        <f>'COMPOSIÇÃO DE VALORES'!G291</f>
        <v>0</v>
      </c>
      <c r="F291" s="65">
        <f>'COMPOSIÇÃO DE VALORES'!H291</f>
        <v>0</v>
      </c>
      <c r="G291" s="66">
        <f>'COMPOSIÇÃO DE VALORES'!L291</f>
        <v>0</v>
      </c>
      <c r="H291" s="66">
        <f t="shared" si="8"/>
        <v>0</v>
      </c>
      <c r="I291" s="65">
        <f>'COMPOSIÇÃO DE VALORES'!M291</f>
        <v>0</v>
      </c>
    </row>
    <row r="292" spans="1:9" x14ac:dyDescent="0.3">
      <c r="A292" s="64">
        <v>282</v>
      </c>
      <c r="B292" s="65">
        <f>'COMPOSIÇÃO DE VALORES'!B292</f>
        <v>0</v>
      </c>
      <c r="C292" s="65">
        <f>'COMPOSIÇÃO DE VALORES'!C292</f>
        <v>0</v>
      </c>
      <c r="D292" s="65">
        <f>'COMPOSIÇÃO DE VALORES'!D292</f>
        <v>0</v>
      </c>
      <c r="E292" s="65">
        <f>'COMPOSIÇÃO DE VALORES'!G292</f>
        <v>0</v>
      </c>
      <c r="F292" s="65">
        <f>'COMPOSIÇÃO DE VALORES'!H292</f>
        <v>0</v>
      </c>
      <c r="G292" s="66">
        <f>'COMPOSIÇÃO DE VALORES'!L292</f>
        <v>0</v>
      </c>
      <c r="H292" s="66">
        <f t="shared" si="8"/>
        <v>0</v>
      </c>
      <c r="I292" s="65">
        <f>'COMPOSIÇÃO DE VALORES'!M292</f>
        <v>0</v>
      </c>
    </row>
    <row r="293" spans="1:9" x14ac:dyDescent="0.3">
      <c r="A293" s="64">
        <v>283</v>
      </c>
      <c r="B293" s="65">
        <f>'COMPOSIÇÃO DE VALORES'!B293</f>
        <v>0</v>
      </c>
      <c r="C293" s="65">
        <f>'COMPOSIÇÃO DE VALORES'!C293</f>
        <v>0</v>
      </c>
      <c r="D293" s="65">
        <f>'COMPOSIÇÃO DE VALORES'!D293</f>
        <v>0</v>
      </c>
      <c r="E293" s="65">
        <f>'COMPOSIÇÃO DE VALORES'!G293</f>
        <v>0</v>
      </c>
      <c r="F293" s="65">
        <f>'COMPOSIÇÃO DE VALORES'!H293</f>
        <v>0</v>
      </c>
      <c r="G293" s="66">
        <f>'COMPOSIÇÃO DE VALORES'!L293</f>
        <v>0</v>
      </c>
      <c r="H293" s="66">
        <f t="shared" si="8"/>
        <v>0</v>
      </c>
      <c r="I293" s="65">
        <f>'COMPOSIÇÃO DE VALORES'!M293</f>
        <v>0</v>
      </c>
    </row>
    <row r="294" spans="1:9" x14ac:dyDescent="0.3">
      <c r="A294" s="64">
        <v>284</v>
      </c>
      <c r="B294" s="65">
        <f>'COMPOSIÇÃO DE VALORES'!B294</f>
        <v>0</v>
      </c>
      <c r="C294" s="65">
        <f>'COMPOSIÇÃO DE VALORES'!C294</f>
        <v>0</v>
      </c>
      <c r="D294" s="65">
        <f>'COMPOSIÇÃO DE VALORES'!D294</f>
        <v>0</v>
      </c>
      <c r="E294" s="65">
        <f>'COMPOSIÇÃO DE VALORES'!G294</f>
        <v>0</v>
      </c>
      <c r="F294" s="65">
        <f>'COMPOSIÇÃO DE VALORES'!H294</f>
        <v>0</v>
      </c>
      <c r="G294" s="66">
        <f>'COMPOSIÇÃO DE VALORES'!L294</f>
        <v>0</v>
      </c>
      <c r="H294" s="66">
        <f t="shared" si="8"/>
        <v>0</v>
      </c>
      <c r="I294" s="65">
        <f>'COMPOSIÇÃO DE VALORES'!M294</f>
        <v>0</v>
      </c>
    </row>
    <row r="295" spans="1:9" x14ac:dyDescent="0.3">
      <c r="A295" s="64">
        <v>285</v>
      </c>
      <c r="B295" s="65">
        <f>'COMPOSIÇÃO DE VALORES'!B295</f>
        <v>0</v>
      </c>
      <c r="C295" s="65">
        <f>'COMPOSIÇÃO DE VALORES'!C295</f>
        <v>0</v>
      </c>
      <c r="D295" s="65">
        <f>'COMPOSIÇÃO DE VALORES'!D295</f>
        <v>0</v>
      </c>
      <c r="E295" s="65">
        <f>'COMPOSIÇÃO DE VALORES'!G295</f>
        <v>0</v>
      </c>
      <c r="F295" s="65">
        <f>'COMPOSIÇÃO DE VALORES'!H295</f>
        <v>0</v>
      </c>
      <c r="G295" s="66">
        <f>'COMPOSIÇÃO DE VALORES'!L295</f>
        <v>0</v>
      </c>
      <c r="H295" s="66">
        <f t="shared" si="8"/>
        <v>0</v>
      </c>
      <c r="I295" s="65">
        <f>'COMPOSIÇÃO DE VALORES'!M295</f>
        <v>0</v>
      </c>
    </row>
    <row r="296" spans="1:9" x14ac:dyDescent="0.3">
      <c r="A296" s="64">
        <v>286</v>
      </c>
      <c r="B296" s="65">
        <f>'COMPOSIÇÃO DE VALORES'!B296</f>
        <v>0</v>
      </c>
      <c r="C296" s="65">
        <f>'COMPOSIÇÃO DE VALORES'!C296</f>
        <v>0</v>
      </c>
      <c r="D296" s="65">
        <f>'COMPOSIÇÃO DE VALORES'!D296</f>
        <v>0</v>
      </c>
      <c r="E296" s="65">
        <f>'COMPOSIÇÃO DE VALORES'!G296</f>
        <v>0</v>
      </c>
      <c r="F296" s="65">
        <f>'COMPOSIÇÃO DE VALORES'!H296</f>
        <v>0</v>
      </c>
      <c r="G296" s="66">
        <f>'COMPOSIÇÃO DE VALORES'!L296</f>
        <v>0</v>
      </c>
      <c r="H296" s="66">
        <f t="shared" si="8"/>
        <v>0</v>
      </c>
      <c r="I296" s="65">
        <f>'COMPOSIÇÃO DE VALORES'!M296</f>
        <v>0</v>
      </c>
    </row>
    <row r="297" spans="1:9" x14ac:dyDescent="0.3">
      <c r="A297" s="64">
        <v>287</v>
      </c>
      <c r="B297" s="65">
        <f>'COMPOSIÇÃO DE VALORES'!B297</f>
        <v>0</v>
      </c>
      <c r="C297" s="65">
        <f>'COMPOSIÇÃO DE VALORES'!C297</f>
        <v>0</v>
      </c>
      <c r="D297" s="65">
        <f>'COMPOSIÇÃO DE VALORES'!D297</f>
        <v>0</v>
      </c>
      <c r="E297" s="65">
        <f>'COMPOSIÇÃO DE VALORES'!G297</f>
        <v>0</v>
      </c>
      <c r="F297" s="65">
        <f>'COMPOSIÇÃO DE VALORES'!H297</f>
        <v>0</v>
      </c>
      <c r="G297" s="66">
        <f>'COMPOSIÇÃO DE VALORES'!L297</f>
        <v>0</v>
      </c>
      <c r="H297" s="66">
        <f t="shared" si="8"/>
        <v>0</v>
      </c>
      <c r="I297" s="65">
        <f>'COMPOSIÇÃO DE VALORES'!M297</f>
        <v>0</v>
      </c>
    </row>
    <row r="298" spans="1:9" x14ac:dyDescent="0.3">
      <c r="A298" s="64">
        <v>288</v>
      </c>
      <c r="B298" s="65">
        <f>'COMPOSIÇÃO DE VALORES'!B298</f>
        <v>0</v>
      </c>
      <c r="C298" s="65">
        <f>'COMPOSIÇÃO DE VALORES'!C298</f>
        <v>0</v>
      </c>
      <c r="D298" s="65">
        <f>'COMPOSIÇÃO DE VALORES'!D298</f>
        <v>0</v>
      </c>
      <c r="E298" s="65">
        <f>'COMPOSIÇÃO DE VALORES'!G298</f>
        <v>0</v>
      </c>
      <c r="F298" s="65">
        <f>'COMPOSIÇÃO DE VALORES'!H298</f>
        <v>0</v>
      </c>
      <c r="G298" s="66">
        <f>'COMPOSIÇÃO DE VALORES'!L298</f>
        <v>0</v>
      </c>
      <c r="H298" s="66">
        <f t="shared" si="8"/>
        <v>0</v>
      </c>
      <c r="I298" s="65">
        <f>'COMPOSIÇÃO DE VALORES'!M298</f>
        <v>0</v>
      </c>
    </row>
    <row r="299" spans="1:9" x14ac:dyDescent="0.3">
      <c r="A299" s="64">
        <v>289</v>
      </c>
      <c r="B299" s="65">
        <f>'COMPOSIÇÃO DE VALORES'!B299</f>
        <v>0</v>
      </c>
      <c r="C299" s="65">
        <f>'COMPOSIÇÃO DE VALORES'!C299</f>
        <v>0</v>
      </c>
      <c r="D299" s="65">
        <f>'COMPOSIÇÃO DE VALORES'!D299</f>
        <v>0</v>
      </c>
      <c r="E299" s="65">
        <f>'COMPOSIÇÃO DE VALORES'!G299</f>
        <v>0</v>
      </c>
      <c r="F299" s="65">
        <f>'COMPOSIÇÃO DE VALORES'!H299</f>
        <v>0</v>
      </c>
      <c r="G299" s="66">
        <f>'COMPOSIÇÃO DE VALORES'!L299</f>
        <v>0</v>
      </c>
      <c r="H299" s="66">
        <f t="shared" si="8"/>
        <v>0</v>
      </c>
      <c r="I299" s="65">
        <f>'COMPOSIÇÃO DE VALORES'!M299</f>
        <v>0</v>
      </c>
    </row>
    <row r="300" spans="1:9" x14ac:dyDescent="0.3">
      <c r="A300" s="64">
        <v>290</v>
      </c>
      <c r="B300" s="65">
        <f>'COMPOSIÇÃO DE VALORES'!B300</f>
        <v>0</v>
      </c>
      <c r="C300" s="65">
        <f>'COMPOSIÇÃO DE VALORES'!C300</f>
        <v>0</v>
      </c>
      <c r="D300" s="65">
        <f>'COMPOSIÇÃO DE VALORES'!D300</f>
        <v>0</v>
      </c>
      <c r="E300" s="65">
        <f>'COMPOSIÇÃO DE VALORES'!G300</f>
        <v>0</v>
      </c>
      <c r="F300" s="65">
        <f>'COMPOSIÇÃO DE VALORES'!H300</f>
        <v>0</v>
      </c>
      <c r="G300" s="66">
        <f>'COMPOSIÇÃO DE VALORES'!L300</f>
        <v>0</v>
      </c>
      <c r="H300" s="66">
        <f t="shared" si="8"/>
        <v>0</v>
      </c>
      <c r="I300" s="65">
        <f>'COMPOSIÇÃO DE VALORES'!M300</f>
        <v>0</v>
      </c>
    </row>
    <row r="301" spans="1:9" x14ac:dyDescent="0.3">
      <c r="A301" s="64">
        <v>291</v>
      </c>
      <c r="B301" s="65">
        <f>'COMPOSIÇÃO DE VALORES'!B301</f>
        <v>0</v>
      </c>
      <c r="C301" s="65">
        <f>'COMPOSIÇÃO DE VALORES'!C301</f>
        <v>0</v>
      </c>
      <c r="D301" s="65">
        <f>'COMPOSIÇÃO DE VALORES'!D301</f>
        <v>0</v>
      </c>
      <c r="E301" s="65">
        <f>'COMPOSIÇÃO DE VALORES'!G301</f>
        <v>0</v>
      </c>
      <c r="F301" s="65">
        <f>'COMPOSIÇÃO DE VALORES'!H301</f>
        <v>0</v>
      </c>
      <c r="G301" s="66">
        <f>'COMPOSIÇÃO DE VALORES'!L301</f>
        <v>0</v>
      </c>
      <c r="H301" s="66">
        <f t="shared" si="8"/>
        <v>0</v>
      </c>
      <c r="I301" s="65">
        <f>'COMPOSIÇÃO DE VALORES'!M301</f>
        <v>0</v>
      </c>
    </row>
    <row r="302" spans="1:9" x14ac:dyDescent="0.3">
      <c r="A302" s="64">
        <v>292</v>
      </c>
      <c r="B302" s="65">
        <f>'COMPOSIÇÃO DE VALORES'!B302</f>
        <v>0</v>
      </c>
      <c r="C302" s="65">
        <f>'COMPOSIÇÃO DE VALORES'!C302</f>
        <v>0</v>
      </c>
      <c r="D302" s="65">
        <f>'COMPOSIÇÃO DE VALORES'!D302</f>
        <v>0</v>
      </c>
      <c r="E302" s="65">
        <f>'COMPOSIÇÃO DE VALORES'!G302</f>
        <v>0</v>
      </c>
      <c r="F302" s="65">
        <f>'COMPOSIÇÃO DE VALORES'!H302</f>
        <v>0</v>
      </c>
      <c r="G302" s="66">
        <f>'COMPOSIÇÃO DE VALORES'!L302</f>
        <v>0</v>
      </c>
      <c r="H302" s="66">
        <f t="shared" si="8"/>
        <v>0</v>
      </c>
      <c r="I302" s="65">
        <f>'COMPOSIÇÃO DE VALORES'!M302</f>
        <v>0</v>
      </c>
    </row>
    <row r="303" spans="1:9" x14ac:dyDescent="0.3">
      <c r="A303" s="64">
        <v>293</v>
      </c>
      <c r="B303" s="65">
        <f>'COMPOSIÇÃO DE VALORES'!B303</f>
        <v>0</v>
      </c>
      <c r="C303" s="65">
        <f>'COMPOSIÇÃO DE VALORES'!C303</f>
        <v>0</v>
      </c>
      <c r="D303" s="65">
        <f>'COMPOSIÇÃO DE VALORES'!D303</f>
        <v>0</v>
      </c>
      <c r="E303" s="65">
        <f>'COMPOSIÇÃO DE VALORES'!G303</f>
        <v>0</v>
      </c>
      <c r="F303" s="65">
        <f>'COMPOSIÇÃO DE VALORES'!H303</f>
        <v>0</v>
      </c>
      <c r="G303" s="66">
        <f>'COMPOSIÇÃO DE VALORES'!L303</f>
        <v>0</v>
      </c>
      <c r="H303" s="66">
        <f t="shared" si="8"/>
        <v>0</v>
      </c>
      <c r="I303" s="65">
        <f>'COMPOSIÇÃO DE VALORES'!M303</f>
        <v>0</v>
      </c>
    </row>
    <row r="304" spans="1:9" x14ac:dyDescent="0.3">
      <c r="A304" s="64">
        <v>294</v>
      </c>
      <c r="B304" s="65">
        <f>'COMPOSIÇÃO DE VALORES'!B304</f>
        <v>0</v>
      </c>
      <c r="C304" s="65">
        <f>'COMPOSIÇÃO DE VALORES'!C304</f>
        <v>0</v>
      </c>
      <c r="D304" s="65">
        <f>'COMPOSIÇÃO DE VALORES'!D304</f>
        <v>0</v>
      </c>
      <c r="E304" s="65">
        <f>'COMPOSIÇÃO DE VALORES'!G304</f>
        <v>0</v>
      </c>
      <c r="F304" s="65">
        <f>'COMPOSIÇÃO DE VALORES'!H304</f>
        <v>0</v>
      </c>
      <c r="G304" s="66">
        <f>'COMPOSIÇÃO DE VALORES'!L304</f>
        <v>0</v>
      </c>
      <c r="H304" s="66">
        <f t="shared" si="8"/>
        <v>0</v>
      </c>
      <c r="I304" s="65">
        <f>'COMPOSIÇÃO DE VALORES'!M304</f>
        <v>0</v>
      </c>
    </row>
    <row r="305" spans="1:9" x14ac:dyDescent="0.3">
      <c r="A305" s="64">
        <v>295</v>
      </c>
      <c r="B305" s="65">
        <f>'COMPOSIÇÃO DE VALORES'!B305</f>
        <v>0</v>
      </c>
      <c r="C305" s="65">
        <f>'COMPOSIÇÃO DE VALORES'!C305</f>
        <v>0</v>
      </c>
      <c r="D305" s="65">
        <f>'COMPOSIÇÃO DE VALORES'!D305</f>
        <v>0</v>
      </c>
      <c r="E305" s="65">
        <f>'COMPOSIÇÃO DE VALORES'!G305</f>
        <v>0</v>
      </c>
      <c r="F305" s="65">
        <f>'COMPOSIÇÃO DE VALORES'!H305</f>
        <v>0</v>
      </c>
      <c r="G305" s="66">
        <f>'COMPOSIÇÃO DE VALORES'!L305</f>
        <v>0</v>
      </c>
      <c r="H305" s="66">
        <f t="shared" si="8"/>
        <v>0</v>
      </c>
      <c r="I305" s="65">
        <f>'COMPOSIÇÃO DE VALORES'!M305</f>
        <v>0</v>
      </c>
    </row>
    <row r="306" spans="1:9" x14ac:dyDescent="0.3">
      <c r="A306" s="64">
        <v>296</v>
      </c>
      <c r="B306" s="65">
        <f>'COMPOSIÇÃO DE VALORES'!B306</f>
        <v>0</v>
      </c>
      <c r="C306" s="65">
        <f>'COMPOSIÇÃO DE VALORES'!C306</f>
        <v>0</v>
      </c>
      <c r="D306" s="65">
        <f>'COMPOSIÇÃO DE VALORES'!D306</f>
        <v>0</v>
      </c>
      <c r="E306" s="65">
        <f>'COMPOSIÇÃO DE VALORES'!G306</f>
        <v>0</v>
      </c>
      <c r="F306" s="65">
        <f>'COMPOSIÇÃO DE VALORES'!H306</f>
        <v>0</v>
      </c>
      <c r="G306" s="66">
        <f>'COMPOSIÇÃO DE VALORES'!L306</f>
        <v>0</v>
      </c>
      <c r="H306" s="66">
        <f t="shared" si="8"/>
        <v>0</v>
      </c>
      <c r="I306" s="65">
        <f>'COMPOSIÇÃO DE VALORES'!M306</f>
        <v>0</v>
      </c>
    </row>
    <row r="307" spans="1:9" x14ac:dyDescent="0.3">
      <c r="A307" s="64">
        <v>297</v>
      </c>
      <c r="B307" s="65">
        <f>'COMPOSIÇÃO DE VALORES'!B307</f>
        <v>0</v>
      </c>
      <c r="C307" s="65">
        <f>'COMPOSIÇÃO DE VALORES'!C307</f>
        <v>0</v>
      </c>
      <c r="D307" s="65">
        <f>'COMPOSIÇÃO DE VALORES'!D307</f>
        <v>0</v>
      </c>
      <c r="E307" s="65">
        <f>'COMPOSIÇÃO DE VALORES'!G307</f>
        <v>0</v>
      </c>
      <c r="F307" s="65">
        <f>'COMPOSIÇÃO DE VALORES'!H307</f>
        <v>0</v>
      </c>
      <c r="G307" s="66">
        <f>'COMPOSIÇÃO DE VALORES'!L307</f>
        <v>0</v>
      </c>
      <c r="H307" s="66">
        <f t="shared" si="8"/>
        <v>0</v>
      </c>
      <c r="I307" s="65">
        <f>'COMPOSIÇÃO DE VALORES'!M307</f>
        <v>0</v>
      </c>
    </row>
    <row r="308" spans="1:9" x14ac:dyDescent="0.3">
      <c r="A308" s="64">
        <v>298</v>
      </c>
      <c r="B308" s="65">
        <f>'COMPOSIÇÃO DE VALORES'!B308</f>
        <v>0</v>
      </c>
      <c r="C308" s="65">
        <f>'COMPOSIÇÃO DE VALORES'!C308</f>
        <v>0</v>
      </c>
      <c r="D308" s="65">
        <f>'COMPOSIÇÃO DE VALORES'!D308</f>
        <v>0</v>
      </c>
      <c r="E308" s="65">
        <f>'COMPOSIÇÃO DE VALORES'!G308</f>
        <v>0</v>
      </c>
      <c r="F308" s="65">
        <f>'COMPOSIÇÃO DE VALORES'!H308</f>
        <v>0</v>
      </c>
      <c r="G308" s="66">
        <f>'COMPOSIÇÃO DE VALORES'!L308</f>
        <v>0</v>
      </c>
      <c r="H308" s="66">
        <f t="shared" si="8"/>
        <v>0</v>
      </c>
      <c r="I308" s="65">
        <f>'COMPOSIÇÃO DE VALORES'!M308</f>
        <v>0</v>
      </c>
    </row>
    <row r="309" spans="1:9" x14ac:dyDescent="0.3">
      <c r="A309" s="64">
        <v>299</v>
      </c>
      <c r="B309" s="65">
        <f>'COMPOSIÇÃO DE VALORES'!B309</f>
        <v>0</v>
      </c>
      <c r="C309" s="65">
        <f>'COMPOSIÇÃO DE VALORES'!C309</f>
        <v>0</v>
      </c>
      <c r="D309" s="65">
        <f>'COMPOSIÇÃO DE VALORES'!D309</f>
        <v>0</v>
      </c>
      <c r="E309" s="65">
        <f>'COMPOSIÇÃO DE VALORES'!G309</f>
        <v>0</v>
      </c>
      <c r="F309" s="65">
        <f>'COMPOSIÇÃO DE VALORES'!H309</f>
        <v>0</v>
      </c>
      <c r="G309" s="66">
        <f>'COMPOSIÇÃO DE VALORES'!L309</f>
        <v>0</v>
      </c>
      <c r="H309" s="66">
        <f t="shared" si="8"/>
        <v>0</v>
      </c>
      <c r="I309" s="65">
        <f>'COMPOSIÇÃO DE VALORES'!M309</f>
        <v>0</v>
      </c>
    </row>
    <row r="310" spans="1:9" x14ac:dyDescent="0.3">
      <c r="A310" s="64">
        <v>300</v>
      </c>
      <c r="B310" s="65">
        <f>'COMPOSIÇÃO DE VALORES'!B310</f>
        <v>0</v>
      </c>
      <c r="C310" s="65">
        <f>'COMPOSIÇÃO DE VALORES'!C310</f>
        <v>0</v>
      </c>
      <c r="D310" s="65">
        <f>'COMPOSIÇÃO DE VALORES'!D310</f>
        <v>0</v>
      </c>
      <c r="E310" s="65">
        <f>'COMPOSIÇÃO DE VALORES'!G310</f>
        <v>0</v>
      </c>
      <c r="F310" s="65">
        <f>'COMPOSIÇÃO DE VALORES'!H310</f>
        <v>0</v>
      </c>
      <c r="G310" s="66">
        <f>'COMPOSIÇÃO DE VALORES'!L310</f>
        <v>0</v>
      </c>
      <c r="H310" s="66">
        <f t="shared" si="8"/>
        <v>0</v>
      </c>
      <c r="I310" s="65">
        <f>'COMPOSIÇÃO DE VALORES'!M310</f>
        <v>0</v>
      </c>
    </row>
    <row r="311" spans="1:9" x14ac:dyDescent="0.3">
      <c r="A311" s="64">
        <v>301</v>
      </c>
      <c r="B311" s="65">
        <f>'COMPOSIÇÃO DE VALORES'!B311</f>
        <v>0</v>
      </c>
      <c r="C311" s="65">
        <f>'COMPOSIÇÃO DE VALORES'!C311</f>
        <v>0</v>
      </c>
      <c r="D311" s="65">
        <f>'COMPOSIÇÃO DE VALORES'!D311</f>
        <v>0</v>
      </c>
      <c r="E311" s="65">
        <f>'COMPOSIÇÃO DE VALORES'!G311</f>
        <v>0</v>
      </c>
      <c r="F311" s="65">
        <f>'COMPOSIÇÃO DE VALORES'!H311</f>
        <v>0</v>
      </c>
      <c r="G311" s="66">
        <f>'COMPOSIÇÃO DE VALORES'!L311</f>
        <v>0</v>
      </c>
      <c r="H311" s="66">
        <f t="shared" si="8"/>
        <v>0</v>
      </c>
      <c r="I311" s="65">
        <f>'COMPOSIÇÃO DE VALORES'!M311</f>
        <v>0</v>
      </c>
    </row>
    <row r="312" spans="1:9" x14ac:dyDescent="0.3">
      <c r="A312" s="64">
        <v>302</v>
      </c>
      <c r="B312" s="65">
        <f>'COMPOSIÇÃO DE VALORES'!B312</f>
        <v>0</v>
      </c>
      <c r="C312" s="65">
        <f>'COMPOSIÇÃO DE VALORES'!C312</f>
        <v>0</v>
      </c>
      <c r="D312" s="65">
        <f>'COMPOSIÇÃO DE VALORES'!D312</f>
        <v>0</v>
      </c>
      <c r="E312" s="65">
        <f>'COMPOSIÇÃO DE VALORES'!G312</f>
        <v>0</v>
      </c>
      <c r="F312" s="65">
        <f>'COMPOSIÇÃO DE VALORES'!H312</f>
        <v>0</v>
      </c>
      <c r="G312" s="66">
        <f>'COMPOSIÇÃO DE VALORES'!L312</f>
        <v>0</v>
      </c>
      <c r="H312" s="66">
        <f t="shared" si="8"/>
        <v>0</v>
      </c>
      <c r="I312" s="65">
        <f>'COMPOSIÇÃO DE VALORES'!M312</f>
        <v>0</v>
      </c>
    </row>
    <row r="313" spans="1:9" x14ac:dyDescent="0.3">
      <c r="A313" s="64">
        <v>303</v>
      </c>
      <c r="B313" s="65">
        <f>'COMPOSIÇÃO DE VALORES'!B313</f>
        <v>0</v>
      </c>
      <c r="C313" s="65">
        <f>'COMPOSIÇÃO DE VALORES'!C313</f>
        <v>0</v>
      </c>
      <c r="D313" s="65">
        <f>'COMPOSIÇÃO DE VALORES'!D313</f>
        <v>0</v>
      </c>
      <c r="E313" s="65">
        <f>'COMPOSIÇÃO DE VALORES'!G313</f>
        <v>0</v>
      </c>
      <c r="F313" s="65">
        <f>'COMPOSIÇÃO DE VALORES'!H313</f>
        <v>0</v>
      </c>
      <c r="G313" s="66">
        <f>'COMPOSIÇÃO DE VALORES'!L313</f>
        <v>0</v>
      </c>
      <c r="H313" s="66">
        <f t="shared" si="8"/>
        <v>0</v>
      </c>
      <c r="I313" s="65">
        <f>'COMPOSIÇÃO DE VALORES'!M313</f>
        <v>0</v>
      </c>
    </row>
    <row r="314" spans="1:9" x14ac:dyDescent="0.3">
      <c r="A314" s="64">
        <v>304</v>
      </c>
      <c r="B314" s="65">
        <f>'COMPOSIÇÃO DE VALORES'!B314</f>
        <v>0</v>
      </c>
      <c r="C314" s="65">
        <f>'COMPOSIÇÃO DE VALORES'!C314</f>
        <v>0</v>
      </c>
      <c r="D314" s="65">
        <f>'COMPOSIÇÃO DE VALORES'!D314</f>
        <v>0</v>
      </c>
      <c r="E314" s="65">
        <f>'COMPOSIÇÃO DE VALORES'!G314</f>
        <v>0</v>
      </c>
      <c r="F314" s="65">
        <f>'COMPOSIÇÃO DE VALORES'!H314</f>
        <v>0</v>
      </c>
      <c r="G314" s="66">
        <f>'COMPOSIÇÃO DE VALORES'!L314</f>
        <v>0</v>
      </c>
      <c r="H314" s="66">
        <f t="shared" si="8"/>
        <v>0</v>
      </c>
      <c r="I314" s="65">
        <f>'COMPOSIÇÃO DE VALORES'!M314</f>
        <v>0</v>
      </c>
    </row>
    <row r="315" spans="1:9" x14ac:dyDescent="0.3">
      <c r="A315" s="64">
        <v>305</v>
      </c>
      <c r="B315" s="65">
        <f>'COMPOSIÇÃO DE VALORES'!B315</f>
        <v>0</v>
      </c>
      <c r="C315" s="65">
        <f>'COMPOSIÇÃO DE VALORES'!C315</f>
        <v>0</v>
      </c>
      <c r="D315" s="65">
        <f>'COMPOSIÇÃO DE VALORES'!D315</f>
        <v>0</v>
      </c>
      <c r="E315" s="65">
        <f>'COMPOSIÇÃO DE VALORES'!G315</f>
        <v>0</v>
      </c>
      <c r="F315" s="65">
        <f>'COMPOSIÇÃO DE VALORES'!H315</f>
        <v>0</v>
      </c>
      <c r="G315" s="66">
        <f>'COMPOSIÇÃO DE VALORES'!L315</f>
        <v>0</v>
      </c>
      <c r="H315" s="66">
        <f t="shared" si="8"/>
        <v>0</v>
      </c>
      <c r="I315" s="65">
        <f>'COMPOSIÇÃO DE VALORES'!M315</f>
        <v>0</v>
      </c>
    </row>
    <row r="316" spans="1:9" x14ac:dyDescent="0.3">
      <c r="A316" s="64">
        <v>306</v>
      </c>
      <c r="B316" s="65">
        <f>'COMPOSIÇÃO DE VALORES'!B316</f>
        <v>0</v>
      </c>
      <c r="C316" s="65">
        <f>'COMPOSIÇÃO DE VALORES'!C316</f>
        <v>0</v>
      </c>
      <c r="D316" s="65">
        <f>'COMPOSIÇÃO DE VALORES'!D316</f>
        <v>0</v>
      </c>
      <c r="E316" s="65">
        <f>'COMPOSIÇÃO DE VALORES'!G316</f>
        <v>0</v>
      </c>
      <c r="F316" s="65">
        <f>'COMPOSIÇÃO DE VALORES'!H316</f>
        <v>0</v>
      </c>
      <c r="G316" s="66">
        <f>'COMPOSIÇÃO DE VALORES'!L316</f>
        <v>0</v>
      </c>
      <c r="H316" s="66">
        <f t="shared" si="8"/>
        <v>0</v>
      </c>
      <c r="I316" s="65">
        <f>'COMPOSIÇÃO DE VALORES'!M316</f>
        <v>0</v>
      </c>
    </row>
    <row r="317" spans="1:9" x14ac:dyDescent="0.3">
      <c r="A317" s="64">
        <v>307</v>
      </c>
      <c r="B317" s="65">
        <f>'COMPOSIÇÃO DE VALORES'!B317</f>
        <v>0</v>
      </c>
      <c r="C317" s="65">
        <f>'COMPOSIÇÃO DE VALORES'!C317</f>
        <v>0</v>
      </c>
      <c r="D317" s="65">
        <f>'COMPOSIÇÃO DE VALORES'!D317</f>
        <v>0</v>
      </c>
      <c r="E317" s="65">
        <f>'COMPOSIÇÃO DE VALORES'!G317</f>
        <v>0</v>
      </c>
      <c r="F317" s="65">
        <f>'COMPOSIÇÃO DE VALORES'!H317</f>
        <v>0</v>
      </c>
      <c r="G317" s="66">
        <f>'COMPOSIÇÃO DE VALORES'!L317</f>
        <v>0</v>
      </c>
      <c r="H317" s="66">
        <f t="shared" si="8"/>
        <v>0</v>
      </c>
      <c r="I317" s="65">
        <f>'COMPOSIÇÃO DE VALORES'!M317</f>
        <v>0</v>
      </c>
    </row>
    <row r="318" spans="1:9" x14ac:dyDescent="0.3">
      <c r="A318" s="64">
        <v>308</v>
      </c>
      <c r="B318" s="65">
        <f>'COMPOSIÇÃO DE VALORES'!B318</f>
        <v>0</v>
      </c>
      <c r="C318" s="65">
        <f>'COMPOSIÇÃO DE VALORES'!C318</f>
        <v>0</v>
      </c>
      <c r="D318" s="65">
        <f>'COMPOSIÇÃO DE VALORES'!D318</f>
        <v>0</v>
      </c>
      <c r="E318" s="65">
        <f>'COMPOSIÇÃO DE VALORES'!G318</f>
        <v>0</v>
      </c>
      <c r="F318" s="65">
        <f>'COMPOSIÇÃO DE VALORES'!H318</f>
        <v>0</v>
      </c>
      <c r="G318" s="66">
        <f>'COMPOSIÇÃO DE VALORES'!L318</f>
        <v>0</v>
      </c>
      <c r="H318" s="66">
        <f t="shared" si="8"/>
        <v>0</v>
      </c>
      <c r="I318" s="65">
        <f>'COMPOSIÇÃO DE VALORES'!M318</f>
        <v>0</v>
      </c>
    </row>
    <row r="319" spans="1:9" x14ac:dyDescent="0.3">
      <c r="A319" s="64">
        <v>309</v>
      </c>
      <c r="B319" s="65">
        <f>'COMPOSIÇÃO DE VALORES'!B319</f>
        <v>0</v>
      </c>
      <c r="C319" s="65">
        <f>'COMPOSIÇÃO DE VALORES'!C319</f>
        <v>0</v>
      </c>
      <c r="D319" s="65">
        <f>'COMPOSIÇÃO DE VALORES'!D319</f>
        <v>0</v>
      </c>
      <c r="E319" s="65">
        <f>'COMPOSIÇÃO DE VALORES'!G319</f>
        <v>0</v>
      </c>
      <c r="F319" s="65">
        <f>'COMPOSIÇÃO DE VALORES'!H319</f>
        <v>0</v>
      </c>
      <c r="G319" s="66">
        <f>'COMPOSIÇÃO DE VALORES'!L319</f>
        <v>0</v>
      </c>
      <c r="H319" s="66">
        <f t="shared" si="8"/>
        <v>0</v>
      </c>
      <c r="I319" s="65">
        <f>'COMPOSIÇÃO DE VALORES'!M319</f>
        <v>0</v>
      </c>
    </row>
    <row r="320" spans="1:9" x14ac:dyDescent="0.3">
      <c r="A320" s="64">
        <v>310</v>
      </c>
      <c r="B320" s="65">
        <f>'COMPOSIÇÃO DE VALORES'!B320</f>
        <v>0</v>
      </c>
      <c r="C320" s="65">
        <f>'COMPOSIÇÃO DE VALORES'!C320</f>
        <v>0</v>
      </c>
      <c r="D320" s="65">
        <f>'COMPOSIÇÃO DE VALORES'!D320</f>
        <v>0</v>
      </c>
      <c r="E320" s="65">
        <f>'COMPOSIÇÃO DE VALORES'!G320</f>
        <v>0</v>
      </c>
      <c r="F320" s="65">
        <f>'COMPOSIÇÃO DE VALORES'!H320</f>
        <v>0</v>
      </c>
      <c r="G320" s="66">
        <f>'COMPOSIÇÃO DE VALORES'!L320</f>
        <v>0</v>
      </c>
      <c r="H320" s="66">
        <f t="shared" si="8"/>
        <v>0</v>
      </c>
      <c r="I320" s="65">
        <f>'COMPOSIÇÃO DE VALORES'!M320</f>
        <v>0</v>
      </c>
    </row>
    <row r="321" spans="1:9" x14ac:dyDescent="0.3">
      <c r="A321" s="64">
        <v>311</v>
      </c>
      <c r="B321" s="65">
        <f>'COMPOSIÇÃO DE VALORES'!B321</f>
        <v>0</v>
      </c>
      <c r="C321" s="65">
        <f>'COMPOSIÇÃO DE VALORES'!C321</f>
        <v>0</v>
      </c>
      <c r="D321" s="65">
        <f>'COMPOSIÇÃO DE VALORES'!D321</f>
        <v>0</v>
      </c>
      <c r="E321" s="65">
        <f>'COMPOSIÇÃO DE VALORES'!G321</f>
        <v>0</v>
      </c>
      <c r="F321" s="65">
        <f>'COMPOSIÇÃO DE VALORES'!H321</f>
        <v>0</v>
      </c>
      <c r="G321" s="66">
        <f>'COMPOSIÇÃO DE VALORES'!L321</f>
        <v>0</v>
      </c>
      <c r="H321" s="66">
        <f t="shared" si="8"/>
        <v>0</v>
      </c>
      <c r="I321" s="65">
        <f>'COMPOSIÇÃO DE VALORES'!M321</f>
        <v>0</v>
      </c>
    </row>
    <row r="322" spans="1:9" x14ac:dyDescent="0.3">
      <c r="A322" s="64">
        <v>312</v>
      </c>
      <c r="B322" s="65">
        <f>'COMPOSIÇÃO DE VALORES'!B322</f>
        <v>0</v>
      </c>
      <c r="C322" s="65">
        <f>'COMPOSIÇÃO DE VALORES'!C322</f>
        <v>0</v>
      </c>
      <c r="D322" s="65">
        <f>'COMPOSIÇÃO DE VALORES'!D322</f>
        <v>0</v>
      </c>
      <c r="E322" s="65">
        <f>'COMPOSIÇÃO DE VALORES'!G322</f>
        <v>0</v>
      </c>
      <c r="F322" s="65">
        <f>'COMPOSIÇÃO DE VALORES'!H322</f>
        <v>0</v>
      </c>
      <c r="G322" s="66">
        <f>'COMPOSIÇÃO DE VALORES'!L322</f>
        <v>0</v>
      </c>
      <c r="H322" s="66">
        <f t="shared" si="8"/>
        <v>0</v>
      </c>
      <c r="I322" s="65">
        <f>'COMPOSIÇÃO DE VALORES'!M322</f>
        <v>0</v>
      </c>
    </row>
    <row r="323" spans="1:9" x14ac:dyDescent="0.3">
      <c r="A323" s="64">
        <v>313</v>
      </c>
      <c r="B323" s="65">
        <f>'COMPOSIÇÃO DE VALORES'!B323</f>
        <v>0</v>
      </c>
      <c r="C323" s="65">
        <f>'COMPOSIÇÃO DE VALORES'!C323</f>
        <v>0</v>
      </c>
      <c r="D323" s="65">
        <f>'COMPOSIÇÃO DE VALORES'!D323</f>
        <v>0</v>
      </c>
      <c r="E323" s="65">
        <f>'COMPOSIÇÃO DE VALORES'!G323</f>
        <v>0</v>
      </c>
      <c r="F323" s="65">
        <f>'COMPOSIÇÃO DE VALORES'!H323</f>
        <v>0</v>
      </c>
      <c r="G323" s="66">
        <f>'COMPOSIÇÃO DE VALORES'!L323</f>
        <v>0</v>
      </c>
      <c r="H323" s="66">
        <f t="shared" si="8"/>
        <v>0</v>
      </c>
      <c r="I323" s="65">
        <f>'COMPOSIÇÃO DE VALORES'!M323</f>
        <v>0</v>
      </c>
    </row>
    <row r="324" spans="1:9" x14ac:dyDescent="0.3">
      <c r="A324" s="64">
        <v>314</v>
      </c>
      <c r="B324" s="65">
        <f>'COMPOSIÇÃO DE VALORES'!B324</f>
        <v>0</v>
      </c>
      <c r="C324" s="65">
        <f>'COMPOSIÇÃO DE VALORES'!C324</f>
        <v>0</v>
      </c>
      <c r="D324" s="65">
        <f>'COMPOSIÇÃO DE VALORES'!D324</f>
        <v>0</v>
      </c>
      <c r="E324" s="65">
        <f>'COMPOSIÇÃO DE VALORES'!G324</f>
        <v>0</v>
      </c>
      <c r="F324" s="65">
        <f>'COMPOSIÇÃO DE VALORES'!H324</f>
        <v>0</v>
      </c>
      <c r="G324" s="66">
        <f>'COMPOSIÇÃO DE VALORES'!L324</f>
        <v>0</v>
      </c>
      <c r="H324" s="66">
        <f t="shared" si="8"/>
        <v>0</v>
      </c>
      <c r="I324" s="65">
        <f>'COMPOSIÇÃO DE VALORES'!M324</f>
        <v>0</v>
      </c>
    </row>
    <row r="325" spans="1:9" x14ac:dyDescent="0.3">
      <c r="A325" s="64">
        <v>315</v>
      </c>
      <c r="B325" s="65">
        <f>'COMPOSIÇÃO DE VALORES'!B325</f>
        <v>0</v>
      </c>
      <c r="C325" s="65">
        <f>'COMPOSIÇÃO DE VALORES'!C325</f>
        <v>0</v>
      </c>
      <c r="D325" s="65">
        <f>'COMPOSIÇÃO DE VALORES'!D325</f>
        <v>0</v>
      </c>
      <c r="E325" s="65">
        <f>'COMPOSIÇÃO DE VALORES'!G325</f>
        <v>0</v>
      </c>
      <c r="F325" s="65">
        <f>'COMPOSIÇÃO DE VALORES'!H325</f>
        <v>0</v>
      </c>
      <c r="G325" s="66">
        <f>'COMPOSIÇÃO DE VALORES'!L325</f>
        <v>0</v>
      </c>
      <c r="H325" s="66">
        <f t="shared" si="8"/>
        <v>0</v>
      </c>
      <c r="I325" s="65">
        <f>'COMPOSIÇÃO DE VALORES'!M325</f>
        <v>0</v>
      </c>
    </row>
    <row r="326" spans="1:9" x14ac:dyDescent="0.3">
      <c r="A326" s="64">
        <v>316</v>
      </c>
      <c r="B326" s="65">
        <f>'COMPOSIÇÃO DE VALORES'!B326</f>
        <v>0</v>
      </c>
      <c r="C326" s="65">
        <f>'COMPOSIÇÃO DE VALORES'!C326</f>
        <v>0</v>
      </c>
      <c r="D326" s="65">
        <f>'COMPOSIÇÃO DE VALORES'!D326</f>
        <v>0</v>
      </c>
      <c r="E326" s="65">
        <f>'COMPOSIÇÃO DE VALORES'!G326</f>
        <v>0</v>
      </c>
      <c r="F326" s="65">
        <f>'COMPOSIÇÃO DE VALORES'!H326</f>
        <v>0</v>
      </c>
      <c r="G326" s="66">
        <f>'COMPOSIÇÃO DE VALORES'!L326</f>
        <v>0</v>
      </c>
      <c r="H326" s="66">
        <f t="shared" si="8"/>
        <v>0</v>
      </c>
      <c r="I326" s="65">
        <f>'COMPOSIÇÃO DE VALORES'!M326</f>
        <v>0</v>
      </c>
    </row>
    <row r="327" spans="1:9" x14ac:dyDescent="0.3">
      <c r="A327" s="64">
        <v>317</v>
      </c>
      <c r="B327" s="65">
        <f>'COMPOSIÇÃO DE VALORES'!B327</f>
        <v>0</v>
      </c>
      <c r="C327" s="65">
        <f>'COMPOSIÇÃO DE VALORES'!C327</f>
        <v>0</v>
      </c>
      <c r="D327" s="65">
        <f>'COMPOSIÇÃO DE VALORES'!D327</f>
        <v>0</v>
      </c>
      <c r="E327" s="65">
        <f>'COMPOSIÇÃO DE VALORES'!G327</f>
        <v>0</v>
      </c>
      <c r="F327" s="65">
        <f>'COMPOSIÇÃO DE VALORES'!H327</f>
        <v>0</v>
      </c>
      <c r="G327" s="66">
        <f>'COMPOSIÇÃO DE VALORES'!L327</f>
        <v>0</v>
      </c>
      <c r="H327" s="66">
        <f t="shared" si="8"/>
        <v>0</v>
      </c>
      <c r="I327" s="65">
        <f>'COMPOSIÇÃO DE VALORES'!M327</f>
        <v>0</v>
      </c>
    </row>
    <row r="328" spans="1:9" x14ac:dyDescent="0.3">
      <c r="A328" s="64">
        <v>318</v>
      </c>
      <c r="B328" s="65">
        <f>'COMPOSIÇÃO DE VALORES'!B328</f>
        <v>0</v>
      </c>
      <c r="C328" s="65">
        <f>'COMPOSIÇÃO DE VALORES'!C328</f>
        <v>0</v>
      </c>
      <c r="D328" s="65">
        <f>'COMPOSIÇÃO DE VALORES'!D328</f>
        <v>0</v>
      </c>
      <c r="E328" s="65">
        <f>'COMPOSIÇÃO DE VALORES'!G328</f>
        <v>0</v>
      </c>
      <c r="F328" s="65">
        <f>'COMPOSIÇÃO DE VALORES'!H328</f>
        <v>0</v>
      </c>
      <c r="G328" s="66">
        <f>'COMPOSIÇÃO DE VALORES'!L328</f>
        <v>0</v>
      </c>
      <c r="H328" s="66">
        <f>G328*B328</f>
        <v>0</v>
      </c>
      <c r="I328" s="65">
        <f>'COMPOSIÇÃO DE VALORES'!M328</f>
        <v>0</v>
      </c>
    </row>
    <row r="329" spans="1:9" x14ac:dyDescent="0.3">
      <c r="A329" s="64">
        <v>319</v>
      </c>
      <c r="B329" s="65">
        <f>'COMPOSIÇÃO DE VALORES'!B329</f>
        <v>0</v>
      </c>
      <c r="C329" s="65">
        <f>'COMPOSIÇÃO DE VALORES'!C329</f>
        <v>0</v>
      </c>
      <c r="D329" s="65">
        <f>'COMPOSIÇÃO DE VALORES'!D329</f>
        <v>0</v>
      </c>
      <c r="E329" s="65">
        <f>'COMPOSIÇÃO DE VALORES'!G329</f>
        <v>0</v>
      </c>
      <c r="F329" s="65">
        <f>'COMPOSIÇÃO DE VALORES'!H329</f>
        <v>0</v>
      </c>
      <c r="G329" s="66">
        <f>'COMPOSIÇÃO DE VALORES'!L329</f>
        <v>0</v>
      </c>
      <c r="H329" s="66">
        <f t="shared" ref="H329:H367" si="9">G329*B329</f>
        <v>0</v>
      </c>
      <c r="I329" s="65">
        <f>'COMPOSIÇÃO DE VALORES'!M329</f>
        <v>0</v>
      </c>
    </row>
    <row r="330" spans="1:9" x14ac:dyDescent="0.3">
      <c r="A330" s="64">
        <v>320</v>
      </c>
      <c r="B330" s="65">
        <f>'COMPOSIÇÃO DE VALORES'!B330</f>
        <v>0</v>
      </c>
      <c r="C330" s="65">
        <f>'COMPOSIÇÃO DE VALORES'!C330</f>
        <v>0</v>
      </c>
      <c r="D330" s="65">
        <f>'COMPOSIÇÃO DE VALORES'!D330</f>
        <v>0</v>
      </c>
      <c r="E330" s="65">
        <f>'COMPOSIÇÃO DE VALORES'!G330</f>
        <v>0</v>
      </c>
      <c r="F330" s="65">
        <f>'COMPOSIÇÃO DE VALORES'!H330</f>
        <v>0</v>
      </c>
      <c r="G330" s="66">
        <f>'COMPOSIÇÃO DE VALORES'!L330</f>
        <v>0</v>
      </c>
      <c r="H330" s="66">
        <f t="shared" si="9"/>
        <v>0</v>
      </c>
      <c r="I330" s="65">
        <f>'COMPOSIÇÃO DE VALORES'!M330</f>
        <v>0</v>
      </c>
    </row>
    <row r="331" spans="1:9" x14ac:dyDescent="0.3">
      <c r="A331" s="64">
        <v>321</v>
      </c>
      <c r="B331" s="65">
        <f>'COMPOSIÇÃO DE VALORES'!B331</f>
        <v>0</v>
      </c>
      <c r="C331" s="65">
        <f>'COMPOSIÇÃO DE VALORES'!C331</f>
        <v>0</v>
      </c>
      <c r="D331" s="65">
        <f>'COMPOSIÇÃO DE VALORES'!D331</f>
        <v>0</v>
      </c>
      <c r="E331" s="65">
        <f>'COMPOSIÇÃO DE VALORES'!G331</f>
        <v>0</v>
      </c>
      <c r="F331" s="65">
        <f>'COMPOSIÇÃO DE VALORES'!H331</f>
        <v>0</v>
      </c>
      <c r="G331" s="66">
        <f>'COMPOSIÇÃO DE VALORES'!L331</f>
        <v>0</v>
      </c>
      <c r="H331" s="66">
        <f t="shared" si="9"/>
        <v>0</v>
      </c>
      <c r="I331" s="65">
        <f>'COMPOSIÇÃO DE VALORES'!M331</f>
        <v>0</v>
      </c>
    </row>
    <row r="332" spans="1:9" x14ac:dyDescent="0.3">
      <c r="A332" s="64">
        <v>322</v>
      </c>
      <c r="B332" s="65">
        <f>'COMPOSIÇÃO DE VALORES'!B332</f>
        <v>0</v>
      </c>
      <c r="C332" s="65">
        <f>'COMPOSIÇÃO DE VALORES'!C332</f>
        <v>0</v>
      </c>
      <c r="D332" s="65">
        <f>'COMPOSIÇÃO DE VALORES'!D332</f>
        <v>0</v>
      </c>
      <c r="E332" s="65">
        <f>'COMPOSIÇÃO DE VALORES'!G332</f>
        <v>0</v>
      </c>
      <c r="F332" s="65">
        <f>'COMPOSIÇÃO DE VALORES'!H332</f>
        <v>0</v>
      </c>
      <c r="G332" s="66">
        <f>'COMPOSIÇÃO DE VALORES'!L332</f>
        <v>0</v>
      </c>
      <c r="H332" s="66">
        <f t="shared" si="9"/>
        <v>0</v>
      </c>
      <c r="I332" s="65">
        <f>'COMPOSIÇÃO DE VALORES'!M332</f>
        <v>0</v>
      </c>
    </row>
    <row r="333" spans="1:9" x14ac:dyDescent="0.3">
      <c r="A333" s="64">
        <v>323</v>
      </c>
      <c r="B333" s="65">
        <f>'COMPOSIÇÃO DE VALORES'!B333</f>
        <v>0</v>
      </c>
      <c r="C333" s="65">
        <f>'COMPOSIÇÃO DE VALORES'!C333</f>
        <v>0</v>
      </c>
      <c r="D333" s="65">
        <f>'COMPOSIÇÃO DE VALORES'!D333</f>
        <v>0</v>
      </c>
      <c r="E333" s="65">
        <f>'COMPOSIÇÃO DE VALORES'!G333</f>
        <v>0</v>
      </c>
      <c r="F333" s="65">
        <f>'COMPOSIÇÃO DE VALORES'!H333</f>
        <v>0</v>
      </c>
      <c r="G333" s="66">
        <f>'COMPOSIÇÃO DE VALORES'!L333</f>
        <v>0</v>
      </c>
      <c r="H333" s="66">
        <f t="shared" si="9"/>
        <v>0</v>
      </c>
      <c r="I333" s="65">
        <f>'COMPOSIÇÃO DE VALORES'!M333</f>
        <v>0</v>
      </c>
    </row>
    <row r="334" spans="1:9" x14ac:dyDescent="0.3">
      <c r="A334" s="64">
        <v>324</v>
      </c>
      <c r="B334" s="65">
        <f>'COMPOSIÇÃO DE VALORES'!B334</f>
        <v>0</v>
      </c>
      <c r="C334" s="65">
        <f>'COMPOSIÇÃO DE VALORES'!C334</f>
        <v>0</v>
      </c>
      <c r="D334" s="65">
        <f>'COMPOSIÇÃO DE VALORES'!D334</f>
        <v>0</v>
      </c>
      <c r="E334" s="65">
        <f>'COMPOSIÇÃO DE VALORES'!G334</f>
        <v>0</v>
      </c>
      <c r="F334" s="65">
        <f>'COMPOSIÇÃO DE VALORES'!H334</f>
        <v>0</v>
      </c>
      <c r="G334" s="66">
        <f>'COMPOSIÇÃO DE VALORES'!L334</f>
        <v>0</v>
      </c>
      <c r="H334" s="66">
        <f t="shared" si="9"/>
        <v>0</v>
      </c>
      <c r="I334" s="65">
        <f>'COMPOSIÇÃO DE VALORES'!M334</f>
        <v>0</v>
      </c>
    </row>
    <row r="335" spans="1:9" x14ac:dyDescent="0.3">
      <c r="A335" s="64">
        <v>325</v>
      </c>
      <c r="B335" s="65">
        <f>'COMPOSIÇÃO DE VALORES'!B335</f>
        <v>0</v>
      </c>
      <c r="C335" s="65">
        <f>'COMPOSIÇÃO DE VALORES'!C335</f>
        <v>0</v>
      </c>
      <c r="D335" s="65">
        <f>'COMPOSIÇÃO DE VALORES'!D335</f>
        <v>0</v>
      </c>
      <c r="E335" s="65">
        <f>'COMPOSIÇÃO DE VALORES'!G335</f>
        <v>0</v>
      </c>
      <c r="F335" s="65">
        <f>'COMPOSIÇÃO DE VALORES'!H335</f>
        <v>0</v>
      </c>
      <c r="G335" s="66">
        <f>'COMPOSIÇÃO DE VALORES'!L335</f>
        <v>0</v>
      </c>
      <c r="H335" s="66">
        <f t="shared" si="9"/>
        <v>0</v>
      </c>
      <c r="I335" s="65">
        <f>'COMPOSIÇÃO DE VALORES'!M335</f>
        <v>0</v>
      </c>
    </row>
    <row r="336" spans="1:9" x14ac:dyDescent="0.3">
      <c r="A336" s="64">
        <v>326</v>
      </c>
      <c r="B336" s="65">
        <f>'COMPOSIÇÃO DE VALORES'!B336</f>
        <v>0</v>
      </c>
      <c r="C336" s="65">
        <f>'COMPOSIÇÃO DE VALORES'!C336</f>
        <v>0</v>
      </c>
      <c r="D336" s="65">
        <f>'COMPOSIÇÃO DE VALORES'!D336</f>
        <v>0</v>
      </c>
      <c r="E336" s="65">
        <f>'COMPOSIÇÃO DE VALORES'!G336</f>
        <v>0</v>
      </c>
      <c r="F336" s="65">
        <f>'COMPOSIÇÃO DE VALORES'!H336</f>
        <v>0</v>
      </c>
      <c r="G336" s="66">
        <f>'COMPOSIÇÃO DE VALORES'!L336</f>
        <v>0</v>
      </c>
      <c r="H336" s="66">
        <f t="shared" si="9"/>
        <v>0</v>
      </c>
      <c r="I336" s="65">
        <f>'COMPOSIÇÃO DE VALORES'!M336</f>
        <v>0</v>
      </c>
    </row>
    <row r="337" spans="1:9" x14ac:dyDescent="0.3">
      <c r="A337" s="64">
        <v>327</v>
      </c>
      <c r="B337" s="65">
        <f>'COMPOSIÇÃO DE VALORES'!B337</f>
        <v>0</v>
      </c>
      <c r="C337" s="65">
        <f>'COMPOSIÇÃO DE VALORES'!C337</f>
        <v>0</v>
      </c>
      <c r="D337" s="65">
        <f>'COMPOSIÇÃO DE VALORES'!D337</f>
        <v>0</v>
      </c>
      <c r="E337" s="65">
        <f>'COMPOSIÇÃO DE VALORES'!G337</f>
        <v>0</v>
      </c>
      <c r="F337" s="65">
        <f>'COMPOSIÇÃO DE VALORES'!H337</f>
        <v>0</v>
      </c>
      <c r="G337" s="66">
        <f>'COMPOSIÇÃO DE VALORES'!L337</f>
        <v>0</v>
      </c>
      <c r="H337" s="66">
        <f t="shared" si="9"/>
        <v>0</v>
      </c>
      <c r="I337" s="65">
        <f>'COMPOSIÇÃO DE VALORES'!M337</f>
        <v>0</v>
      </c>
    </row>
    <row r="338" spans="1:9" x14ac:dyDescent="0.3">
      <c r="A338" s="64">
        <v>328</v>
      </c>
      <c r="B338" s="65">
        <f>'COMPOSIÇÃO DE VALORES'!B338</f>
        <v>0</v>
      </c>
      <c r="C338" s="65">
        <f>'COMPOSIÇÃO DE VALORES'!C338</f>
        <v>0</v>
      </c>
      <c r="D338" s="65">
        <f>'COMPOSIÇÃO DE VALORES'!D338</f>
        <v>0</v>
      </c>
      <c r="E338" s="65">
        <f>'COMPOSIÇÃO DE VALORES'!G338</f>
        <v>0</v>
      </c>
      <c r="F338" s="65">
        <f>'COMPOSIÇÃO DE VALORES'!H338</f>
        <v>0</v>
      </c>
      <c r="G338" s="66">
        <f>'COMPOSIÇÃO DE VALORES'!L338</f>
        <v>0</v>
      </c>
      <c r="H338" s="66">
        <f t="shared" si="9"/>
        <v>0</v>
      </c>
      <c r="I338" s="65">
        <f>'COMPOSIÇÃO DE VALORES'!M338</f>
        <v>0</v>
      </c>
    </row>
    <row r="339" spans="1:9" x14ac:dyDescent="0.3">
      <c r="A339" s="64">
        <v>329</v>
      </c>
      <c r="B339" s="65">
        <f>'COMPOSIÇÃO DE VALORES'!B339</f>
        <v>0</v>
      </c>
      <c r="C339" s="65">
        <f>'COMPOSIÇÃO DE VALORES'!C339</f>
        <v>0</v>
      </c>
      <c r="D339" s="65">
        <f>'COMPOSIÇÃO DE VALORES'!D339</f>
        <v>0</v>
      </c>
      <c r="E339" s="65">
        <f>'COMPOSIÇÃO DE VALORES'!G339</f>
        <v>0</v>
      </c>
      <c r="F339" s="65">
        <f>'COMPOSIÇÃO DE VALORES'!H339</f>
        <v>0</v>
      </c>
      <c r="G339" s="66">
        <f>'COMPOSIÇÃO DE VALORES'!L339</f>
        <v>0</v>
      </c>
      <c r="H339" s="66">
        <f t="shared" si="9"/>
        <v>0</v>
      </c>
      <c r="I339" s="65">
        <f>'COMPOSIÇÃO DE VALORES'!M339</f>
        <v>0</v>
      </c>
    </row>
    <row r="340" spans="1:9" x14ac:dyDescent="0.3">
      <c r="A340" s="64">
        <v>330</v>
      </c>
      <c r="B340" s="65">
        <f>'COMPOSIÇÃO DE VALORES'!B340</f>
        <v>0</v>
      </c>
      <c r="C340" s="65">
        <f>'COMPOSIÇÃO DE VALORES'!C340</f>
        <v>0</v>
      </c>
      <c r="D340" s="65">
        <f>'COMPOSIÇÃO DE VALORES'!D340</f>
        <v>0</v>
      </c>
      <c r="E340" s="65">
        <f>'COMPOSIÇÃO DE VALORES'!G340</f>
        <v>0</v>
      </c>
      <c r="F340" s="65">
        <f>'COMPOSIÇÃO DE VALORES'!H340</f>
        <v>0</v>
      </c>
      <c r="G340" s="66">
        <f>'COMPOSIÇÃO DE VALORES'!L340</f>
        <v>0</v>
      </c>
      <c r="H340" s="66">
        <f t="shared" si="9"/>
        <v>0</v>
      </c>
      <c r="I340" s="65">
        <f>'COMPOSIÇÃO DE VALORES'!M340</f>
        <v>0</v>
      </c>
    </row>
    <row r="341" spans="1:9" x14ac:dyDescent="0.3">
      <c r="A341" s="64">
        <v>331</v>
      </c>
      <c r="B341" s="65">
        <f>'COMPOSIÇÃO DE VALORES'!B341</f>
        <v>0</v>
      </c>
      <c r="C341" s="65">
        <f>'COMPOSIÇÃO DE VALORES'!C341</f>
        <v>0</v>
      </c>
      <c r="D341" s="65">
        <f>'COMPOSIÇÃO DE VALORES'!D341</f>
        <v>0</v>
      </c>
      <c r="E341" s="65">
        <f>'COMPOSIÇÃO DE VALORES'!G341</f>
        <v>0</v>
      </c>
      <c r="F341" s="65">
        <f>'COMPOSIÇÃO DE VALORES'!H341</f>
        <v>0</v>
      </c>
      <c r="G341" s="66">
        <f>'COMPOSIÇÃO DE VALORES'!L341</f>
        <v>0</v>
      </c>
      <c r="H341" s="66">
        <f t="shared" si="9"/>
        <v>0</v>
      </c>
      <c r="I341" s="65">
        <f>'COMPOSIÇÃO DE VALORES'!M341</f>
        <v>0</v>
      </c>
    </row>
    <row r="342" spans="1:9" x14ac:dyDescent="0.3">
      <c r="A342" s="64">
        <v>332</v>
      </c>
      <c r="B342" s="65">
        <f>'COMPOSIÇÃO DE VALORES'!B342</f>
        <v>0</v>
      </c>
      <c r="C342" s="65">
        <f>'COMPOSIÇÃO DE VALORES'!C342</f>
        <v>0</v>
      </c>
      <c r="D342" s="65">
        <f>'COMPOSIÇÃO DE VALORES'!D342</f>
        <v>0</v>
      </c>
      <c r="E342" s="65">
        <f>'COMPOSIÇÃO DE VALORES'!G342</f>
        <v>0</v>
      </c>
      <c r="F342" s="65">
        <f>'COMPOSIÇÃO DE VALORES'!H342</f>
        <v>0</v>
      </c>
      <c r="G342" s="66">
        <f>'COMPOSIÇÃO DE VALORES'!L342</f>
        <v>0</v>
      </c>
      <c r="H342" s="66">
        <f t="shared" si="9"/>
        <v>0</v>
      </c>
      <c r="I342" s="65">
        <f>'COMPOSIÇÃO DE VALORES'!M342</f>
        <v>0</v>
      </c>
    </row>
    <row r="343" spans="1:9" x14ac:dyDescent="0.3">
      <c r="A343" s="64">
        <v>333</v>
      </c>
      <c r="B343" s="65">
        <f>'COMPOSIÇÃO DE VALORES'!B343</f>
        <v>0</v>
      </c>
      <c r="C343" s="65">
        <f>'COMPOSIÇÃO DE VALORES'!C343</f>
        <v>0</v>
      </c>
      <c r="D343" s="65">
        <f>'COMPOSIÇÃO DE VALORES'!D343</f>
        <v>0</v>
      </c>
      <c r="E343" s="65">
        <f>'COMPOSIÇÃO DE VALORES'!G343</f>
        <v>0</v>
      </c>
      <c r="F343" s="65">
        <f>'COMPOSIÇÃO DE VALORES'!H343</f>
        <v>0</v>
      </c>
      <c r="G343" s="66">
        <f>'COMPOSIÇÃO DE VALORES'!L343</f>
        <v>0</v>
      </c>
      <c r="H343" s="66">
        <f t="shared" si="9"/>
        <v>0</v>
      </c>
      <c r="I343" s="65">
        <f>'COMPOSIÇÃO DE VALORES'!M343</f>
        <v>0</v>
      </c>
    </row>
    <row r="344" spans="1:9" x14ac:dyDescent="0.3">
      <c r="A344" s="64">
        <v>334</v>
      </c>
      <c r="B344" s="65">
        <f>'COMPOSIÇÃO DE VALORES'!B344</f>
        <v>0</v>
      </c>
      <c r="C344" s="65">
        <f>'COMPOSIÇÃO DE VALORES'!C344</f>
        <v>0</v>
      </c>
      <c r="D344" s="65">
        <f>'COMPOSIÇÃO DE VALORES'!D344</f>
        <v>0</v>
      </c>
      <c r="E344" s="65">
        <f>'COMPOSIÇÃO DE VALORES'!G344</f>
        <v>0</v>
      </c>
      <c r="F344" s="65">
        <f>'COMPOSIÇÃO DE VALORES'!H344</f>
        <v>0</v>
      </c>
      <c r="G344" s="66">
        <f>'COMPOSIÇÃO DE VALORES'!L344</f>
        <v>0</v>
      </c>
      <c r="H344" s="66">
        <f t="shared" si="9"/>
        <v>0</v>
      </c>
      <c r="I344" s="65">
        <f>'COMPOSIÇÃO DE VALORES'!M344</f>
        <v>0</v>
      </c>
    </row>
    <row r="345" spans="1:9" x14ac:dyDescent="0.3">
      <c r="A345" s="64">
        <v>335</v>
      </c>
      <c r="B345" s="65">
        <f>'COMPOSIÇÃO DE VALORES'!B345</f>
        <v>0</v>
      </c>
      <c r="C345" s="65">
        <f>'COMPOSIÇÃO DE VALORES'!C345</f>
        <v>0</v>
      </c>
      <c r="D345" s="65">
        <f>'COMPOSIÇÃO DE VALORES'!D345</f>
        <v>0</v>
      </c>
      <c r="E345" s="65">
        <f>'COMPOSIÇÃO DE VALORES'!G345</f>
        <v>0</v>
      </c>
      <c r="F345" s="65">
        <f>'COMPOSIÇÃO DE VALORES'!H345</f>
        <v>0</v>
      </c>
      <c r="G345" s="66">
        <f>'COMPOSIÇÃO DE VALORES'!L345</f>
        <v>0</v>
      </c>
      <c r="H345" s="66">
        <f t="shared" si="9"/>
        <v>0</v>
      </c>
      <c r="I345" s="65">
        <f>'COMPOSIÇÃO DE VALORES'!M345</f>
        <v>0</v>
      </c>
    </row>
    <row r="346" spans="1:9" x14ac:dyDescent="0.3">
      <c r="A346" s="64">
        <v>336</v>
      </c>
      <c r="B346" s="65">
        <f>'COMPOSIÇÃO DE VALORES'!B346</f>
        <v>0</v>
      </c>
      <c r="C346" s="65">
        <f>'COMPOSIÇÃO DE VALORES'!C346</f>
        <v>0</v>
      </c>
      <c r="D346" s="65">
        <f>'COMPOSIÇÃO DE VALORES'!D346</f>
        <v>0</v>
      </c>
      <c r="E346" s="65">
        <f>'COMPOSIÇÃO DE VALORES'!G346</f>
        <v>0</v>
      </c>
      <c r="F346" s="65">
        <f>'COMPOSIÇÃO DE VALORES'!H346</f>
        <v>0</v>
      </c>
      <c r="G346" s="66">
        <f>'COMPOSIÇÃO DE VALORES'!L346</f>
        <v>0</v>
      </c>
      <c r="H346" s="66">
        <f t="shared" si="9"/>
        <v>0</v>
      </c>
      <c r="I346" s="65">
        <f>'COMPOSIÇÃO DE VALORES'!M346</f>
        <v>0</v>
      </c>
    </row>
    <row r="347" spans="1:9" x14ac:dyDescent="0.3">
      <c r="A347" s="64">
        <v>337</v>
      </c>
      <c r="B347" s="65">
        <f>'COMPOSIÇÃO DE VALORES'!B347</f>
        <v>0</v>
      </c>
      <c r="C347" s="65">
        <f>'COMPOSIÇÃO DE VALORES'!C347</f>
        <v>0</v>
      </c>
      <c r="D347" s="65">
        <f>'COMPOSIÇÃO DE VALORES'!D347</f>
        <v>0</v>
      </c>
      <c r="E347" s="65">
        <f>'COMPOSIÇÃO DE VALORES'!G347</f>
        <v>0</v>
      </c>
      <c r="F347" s="65">
        <f>'COMPOSIÇÃO DE VALORES'!H347</f>
        <v>0</v>
      </c>
      <c r="G347" s="66">
        <f>'COMPOSIÇÃO DE VALORES'!L347</f>
        <v>0</v>
      </c>
      <c r="H347" s="66">
        <f t="shared" si="9"/>
        <v>0</v>
      </c>
      <c r="I347" s="65">
        <f>'COMPOSIÇÃO DE VALORES'!M347</f>
        <v>0</v>
      </c>
    </row>
    <row r="348" spans="1:9" x14ac:dyDescent="0.3">
      <c r="A348" s="64">
        <v>338</v>
      </c>
      <c r="B348" s="65">
        <f>'COMPOSIÇÃO DE VALORES'!B348</f>
        <v>0</v>
      </c>
      <c r="C348" s="65">
        <f>'COMPOSIÇÃO DE VALORES'!C348</f>
        <v>0</v>
      </c>
      <c r="D348" s="65">
        <f>'COMPOSIÇÃO DE VALORES'!D348</f>
        <v>0</v>
      </c>
      <c r="E348" s="65">
        <f>'COMPOSIÇÃO DE VALORES'!G348</f>
        <v>0</v>
      </c>
      <c r="F348" s="65">
        <f>'COMPOSIÇÃO DE VALORES'!H348</f>
        <v>0</v>
      </c>
      <c r="G348" s="66">
        <f>'COMPOSIÇÃO DE VALORES'!L348</f>
        <v>0</v>
      </c>
      <c r="H348" s="66">
        <f t="shared" si="9"/>
        <v>0</v>
      </c>
      <c r="I348" s="65">
        <f>'COMPOSIÇÃO DE VALORES'!M348</f>
        <v>0</v>
      </c>
    </row>
    <row r="349" spans="1:9" x14ac:dyDescent="0.3">
      <c r="A349" s="64">
        <v>339</v>
      </c>
      <c r="B349" s="65">
        <f>'COMPOSIÇÃO DE VALORES'!B349</f>
        <v>0</v>
      </c>
      <c r="C349" s="65">
        <f>'COMPOSIÇÃO DE VALORES'!C349</f>
        <v>0</v>
      </c>
      <c r="D349" s="65">
        <f>'COMPOSIÇÃO DE VALORES'!D349</f>
        <v>0</v>
      </c>
      <c r="E349" s="65">
        <f>'COMPOSIÇÃO DE VALORES'!G349</f>
        <v>0</v>
      </c>
      <c r="F349" s="65">
        <f>'COMPOSIÇÃO DE VALORES'!H349</f>
        <v>0</v>
      </c>
      <c r="G349" s="66">
        <f>'COMPOSIÇÃO DE VALORES'!L349</f>
        <v>0</v>
      </c>
      <c r="H349" s="66">
        <f t="shared" si="9"/>
        <v>0</v>
      </c>
      <c r="I349" s="65">
        <f>'COMPOSIÇÃO DE VALORES'!M349</f>
        <v>0</v>
      </c>
    </row>
    <row r="350" spans="1:9" x14ac:dyDescent="0.3">
      <c r="A350" s="64">
        <v>340</v>
      </c>
      <c r="B350" s="65">
        <f>'COMPOSIÇÃO DE VALORES'!B350</f>
        <v>0</v>
      </c>
      <c r="C350" s="65">
        <f>'COMPOSIÇÃO DE VALORES'!C350</f>
        <v>0</v>
      </c>
      <c r="D350" s="65">
        <f>'COMPOSIÇÃO DE VALORES'!D350</f>
        <v>0</v>
      </c>
      <c r="E350" s="65">
        <f>'COMPOSIÇÃO DE VALORES'!G350</f>
        <v>0</v>
      </c>
      <c r="F350" s="65">
        <f>'COMPOSIÇÃO DE VALORES'!H350</f>
        <v>0</v>
      </c>
      <c r="G350" s="66">
        <f>'COMPOSIÇÃO DE VALORES'!L350</f>
        <v>0</v>
      </c>
      <c r="H350" s="66">
        <f t="shared" si="9"/>
        <v>0</v>
      </c>
      <c r="I350" s="65">
        <f>'COMPOSIÇÃO DE VALORES'!M350</f>
        <v>0</v>
      </c>
    </row>
    <row r="351" spans="1:9" x14ac:dyDescent="0.3">
      <c r="A351" s="64">
        <v>341</v>
      </c>
      <c r="B351" s="65">
        <f>'COMPOSIÇÃO DE VALORES'!B351</f>
        <v>0</v>
      </c>
      <c r="C351" s="65">
        <f>'COMPOSIÇÃO DE VALORES'!C351</f>
        <v>0</v>
      </c>
      <c r="D351" s="65">
        <f>'COMPOSIÇÃO DE VALORES'!D351</f>
        <v>0</v>
      </c>
      <c r="E351" s="65">
        <f>'COMPOSIÇÃO DE VALORES'!G351</f>
        <v>0</v>
      </c>
      <c r="F351" s="65">
        <f>'COMPOSIÇÃO DE VALORES'!H351</f>
        <v>0</v>
      </c>
      <c r="G351" s="66">
        <f>'COMPOSIÇÃO DE VALORES'!L351</f>
        <v>0</v>
      </c>
      <c r="H351" s="66">
        <f t="shared" si="9"/>
        <v>0</v>
      </c>
      <c r="I351" s="65">
        <f>'COMPOSIÇÃO DE VALORES'!M351</f>
        <v>0</v>
      </c>
    </row>
    <row r="352" spans="1:9" x14ac:dyDescent="0.3">
      <c r="A352" s="64">
        <v>342</v>
      </c>
      <c r="B352" s="65">
        <f>'COMPOSIÇÃO DE VALORES'!B352</f>
        <v>0</v>
      </c>
      <c r="C352" s="65">
        <f>'COMPOSIÇÃO DE VALORES'!C352</f>
        <v>0</v>
      </c>
      <c r="D352" s="65">
        <f>'COMPOSIÇÃO DE VALORES'!D352</f>
        <v>0</v>
      </c>
      <c r="E352" s="65">
        <f>'COMPOSIÇÃO DE VALORES'!G352</f>
        <v>0</v>
      </c>
      <c r="F352" s="65">
        <f>'COMPOSIÇÃO DE VALORES'!H352</f>
        <v>0</v>
      </c>
      <c r="G352" s="66">
        <f>'COMPOSIÇÃO DE VALORES'!L352</f>
        <v>0</v>
      </c>
      <c r="H352" s="66">
        <f t="shared" si="9"/>
        <v>0</v>
      </c>
      <c r="I352" s="65">
        <f>'COMPOSIÇÃO DE VALORES'!M352</f>
        <v>0</v>
      </c>
    </row>
    <row r="353" spans="1:9" x14ac:dyDescent="0.3">
      <c r="A353" s="64">
        <v>343</v>
      </c>
      <c r="B353" s="65">
        <f>'COMPOSIÇÃO DE VALORES'!B353</f>
        <v>0</v>
      </c>
      <c r="C353" s="65">
        <f>'COMPOSIÇÃO DE VALORES'!C353</f>
        <v>0</v>
      </c>
      <c r="D353" s="65">
        <f>'COMPOSIÇÃO DE VALORES'!D353</f>
        <v>0</v>
      </c>
      <c r="E353" s="65">
        <f>'COMPOSIÇÃO DE VALORES'!G353</f>
        <v>0</v>
      </c>
      <c r="F353" s="65">
        <f>'COMPOSIÇÃO DE VALORES'!H353</f>
        <v>0</v>
      </c>
      <c r="G353" s="66">
        <f>'COMPOSIÇÃO DE VALORES'!L353</f>
        <v>0</v>
      </c>
      <c r="H353" s="66">
        <f t="shared" si="9"/>
        <v>0</v>
      </c>
      <c r="I353" s="65">
        <f>'COMPOSIÇÃO DE VALORES'!M353</f>
        <v>0</v>
      </c>
    </row>
    <row r="354" spans="1:9" x14ac:dyDescent="0.3">
      <c r="A354" s="64">
        <v>344</v>
      </c>
      <c r="B354" s="65">
        <f>'COMPOSIÇÃO DE VALORES'!B354</f>
        <v>0</v>
      </c>
      <c r="C354" s="65">
        <f>'COMPOSIÇÃO DE VALORES'!C354</f>
        <v>0</v>
      </c>
      <c r="D354" s="65">
        <f>'COMPOSIÇÃO DE VALORES'!D354</f>
        <v>0</v>
      </c>
      <c r="E354" s="65">
        <f>'COMPOSIÇÃO DE VALORES'!G354</f>
        <v>0</v>
      </c>
      <c r="F354" s="65">
        <f>'COMPOSIÇÃO DE VALORES'!H354</f>
        <v>0</v>
      </c>
      <c r="G354" s="66">
        <f>'COMPOSIÇÃO DE VALORES'!L354</f>
        <v>0</v>
      </c>
      <c r="H354" s="66">
        <f t="shared" si="9"/>
        <v>0</v>
      </c>
      <c r="I354" s="65">
        <f>'COMPOSIÇÃO DE VALORES'!M354</f>
        <v>0</v>
      </c>
    </row>
    <row r="355" spans="1:9" x14ac:dyDescent="0.3">
      <c r="A355" s="64">
        <v>345</v>
      </c>
      <c r="B355" s="65">
        <f>'COMPOSIÇÃO DE VALORES'!B355</f>
        <v>0</v>
      </c>
      <c r="C355" s="65">
        <f>'COMPOSIÇÃO DE VALORES'!C355</f>
        <v>0</v>
      </c>
      <c r="D355" s="65">
        <f>'COMPOSIÇÃO DE VALORES'!D355</f>
        <v>0</v>
      </c>
      <c r="E355" s="65">
        <f>'COMPOSIÇÃO DE VALORES'!G355</f>
        <v>0</v>
      </c>
      <c r="F355" s="65">
        <f>'COMPOSIÇÃO DE VALORES'!H355</f>
        <v>0</v>
      </c>
      <c r="G355" s="66">
        <f>'COMPOSIÇÃO DE VALORES'!L355</f>
        <v>0</v>
      </c>
      <c r="H355" s="66">
        <f t="shared" si="9"/>
        <v>0</v>
      </c>
      <c r="I355" s="65">
        <f>'COMPOSIÇÃO DE VALORES'!M355</f>
        <v>0</v>
      </c>
    </row>
    <row r="356" spans="1:9" x14ac:dyDescent="0.3">
      <c r="A356" s="64">
        <v>346</v>
      </c>
      <c r="B356" s="65">
        <f>'COMPOSIÇÃO DE VALORES'!B356</f>
        <v>0</v>
      </c>
      <c r="C356" s="65">
        <f>'COMPOSIÇÃO DE VALORES'!C356</f>
        <v>0</v>
      </c>
      <c r="D356" s="65">
        <f>'COMPOSIÇÃO DE VALORES'!D356</f>
        <v>0</v>
      </c>
      <c r="E356" s="65">
        <f>'COMPOSIÇÃO DE VALORES'!G356</f>
        <v>0</v>
      </c>
      <c r="F356" s="65">
        <f>'COMPOSIÇÃO DE VALORES'!H356</f>
        <v>0</v>
      </c>
      <c r="G356" s="66">
        <f>'COMPOSIÇÃO DE VALORES'!L356</f>
        <v>0</v>
      </c>
      <c r="H356" s="66">
        <f t="shared" si="9"/>
        <v>0</v>
      </c>
      <c r="I356" s="65">
        <f>'COMPOSIÇÃO DE VALORES'!M356</f>
        <v>0</v>
      </c>
    </row>
    <row r="357" spans="1:9" x14ac:dyDescent="0.3">
      <c r="A357" s="64">
        <v>347</v>
      </c>
      <c r="B357" s="65">
        <f>'COMPOSIÇÃO DE VALORES'!B357</f>
        <v>0</v>
      </c>
      <c r="C357" s="65">
        <f>'COMPOSIÇÃO DE VALORES'!C357</f>
        <v>0</v>
      </c>
      <c r="D357" s="65">
        <f>'COMPOSIÇÃO DE VALORES'!D357</f>
        <v>0</v>
      </c>
      <c r="E357" s="65">
        <f>'COMPOSIÇÃO DE VALORES'!G357</f>
        <v>0</v>
      </c>
      <c r="F357" s="65">
        <f>'COMPOSIÇÃO DE VALORES'!H357</f>
        <v>0</v>
      </c>
      <c r="G357" s="66">
        <f>'COMPOSIÇÃO DE VALORES'!L357</f>
        <v>0</v>
      </c>
      <c r="H357" s="66">
        <f t="shared" si="9"/>
        <v>0</v>
      </c>
      <c r="I357" s="65">
        <f>'COMPOSIÇÃO DE VALORES'!M357</f>
        <v>0</v>
      </c>
    </row>
    <row r="358" spans="1:9" x14ac:dyDescent="0.3">
      <c r="A358" s="64">
        <v>348</v>
      </c>
      <c r="B358" s="65">
        <f>'COMPOSIÇÃO DE VALORES'!B358</f>
        <v>0</v>
      </c>
      <c r="C358" s="65">
        <f>'COMPOSIÇÃO DE VALORES'!C358</f>
        <v>0</v>
      </c>
      <c r="D358" s="65">
        <f>'COMPOSIÇÃO DE VALORES'!D358</f>
        <v>0</v>
      </c>
      <c r="E358" s="65">
        <f>'COMPOSIÇÃO DE VALORES'!G358</f>
        <v>0</v>
      </c>
      <c r="F358" s="65">
        <f>'COMPOSIÇÃO DE VALORES'!H358</f>
        <v>0</v>
      </c>
      <c r="G358" s="66">
        <f>'COMPOSIÇÃO DE VALORES'!L358</f>
        <v>0</v>
      </c>
      <c r="H358" s="66">
        <f t="shared" si="9"/>
        <v>0</v>
      </c>
      <c r="I358" s="65">
        <f>'COMPOSIÇÃO DE VALORES'!M358</f>
        <v>0</v>
      </c>
    </row>
    <row r="359" spans="1:9" x14ac:dyDescent="0.3">
      <c r="A359" s="64">
        <v>349</v>
      </c>
      <c r="B359" s="65">
        <f>'COMPOSIÇÃO DE VALORES'!B359</f>
        <v>0</v>
      </c>
      <c r="C359" s="65">
        <f>'COMPOSIÇÃO DE VALORES'!C359</f>
        <v>0</v>
      </c>
      <c r="D359" s="65">
        <f>'COMPOSIÇÃO DE VALORES'!D359</f>
        <v>0</v>
      </c>
      <c r="E359" s="65">
        <f>'COMPOSIÇÃO DE VALORES'!G359</f>
        <v>0</v>
      </c>
      <c r="F359" s="65">
        <f>'COMPOSIÇÃO DE VALORES'!H359</f>
        <v>0</v>
      </c>
      <c r="G359" s="66">
        <f>'COMPOSIÇÃO DE VALORES'!L359</f>
        <v>0</v>
      </c>
      <c r="H359" s="66">
        <f t="shared" si="9"/>
        <v>0</v>
      </c>
      <c r="I359" s="65">
        <f>'COMPOSIÇÃO DE VALORES'!M359</f>
        <v>0</v>
      </c>
    </row>
    <row r="360" spans="1:9" x14ac:dyDescent="0.3">
      <c r="A360" s="64">
        <v>350</v>
      </c>
      <c r="B360" s="65">
        <f>'COMPOSIÇÃO DE VALORES'!B360</f>
        <v>0</v>
      </c>
      <c r="C360" s="65">
        <f>'COMPOSIÇÃO DE VALORES'!C360</f>
        <v>0</v>
      </c>
      <c r="D360" s="65">
        <f>'COMPOSIÇÃO DE VALORES'!D360</f>
        <v>0</v>
      </c>
      <c r="E360" s="65">
        <f>'COMPOSIÇÃO DE VALORES'!G360</f>
        <v>0</v>
      </c>
      <c r="F360" s="65">
        <f>'COMPOSIÇÃO DE VALORES'!H360</f>
        <v>0</v>
      </c>
      <c r="G360" s="66">
        <f>'COMPOSIÇÃO DE VALORES'!L360</f>
        <v>0</v>
      </c>
      <c r="H360" s="66">
        <f t="shared" si="9"/>
        <v>0</v>
      </c>
      <c r="I360" s="65">
        <f>'COMPOSIÇÃO DE VALORES'!M360</f>
        <v>0</v>
      </c>
    </row>
    <row r="361" spans="1:9" x14ac:dyDescent="0.3">
      <c r="A361" s="64">
        <v>351</v>
      </c>
      <c r="B361" s="65">
        <f>'COMPOSIÇÃO DE VALORES'!B361</f>
        <v>0</v>
      </c>
      <c r="C361" s="65">
        <f>'COMPOSIÇÃO DE VALORES'!C361</f>
        <v>0</v>
      </c>
      <c r="D361" s="65">
        <f>'COMPOSIÇÃO DE VALORES'!D361</f>
        <v>0</v>
      </c>
      <c r="E361" s="65">
        <f>'COMPOSIÇÃO DE VALORES'!G361</f>
        <v>0</v>
      </c>
      <c r="F361" s="65">
        <f>'COMPOSIÇÃO DE VALORES'!H361</f>
        <v>0</v>
      </c>
      <c r="G361" s="66">
        <f>'COMPOSIÇÃO DE VALORES'!L361</f>
        <v>0</v>
      </c>
      <c r="H361" s="66">
        <f t="shared" si="9"/>
        <v>0</v>
      </c>
      <c r="I361" s="65">
        <f>'COMPOSIÇÃO DE VALORES'!M361</f>
        <v>0</v>
      </c>
    </row>
    <row r="362" spans="1:9" x14ac:dyDescent="0.3">
      <c r="A362" s="64">
        <v>352</v>
      </c>
      <c r="B362" s="65">
        <f>'COMPOSIÇÃO DE VALORES'!B362</f>
        <v>0</v>
      </c>
      <c r="C362" s="65">
        <f>'COMPOSIÇÃO DE VALORES'!C362</f>
        <v>0</v>
      </c>
      <c r="D362" s="65">
        <f>'COMPOSIÇÃO DE VALORES'!D362</f>
        <v>0</v>
      </c>
      <c r="E362" s="65">
        <f>'COMPOSIÇÃO DE VALORES'!G362</f>
        <v>0</v>
      </c>
      <c r="F362" s="65">
        <f>'COMPOSIÇÃO DE VALORES'!H362</f>
        <v>0</v>
      </c>
      <c r="G362" s="66">
        <f>'COMPOSIÇÃO DE VALORES'!L362</f>
        <v>0</v>
      </c>
      <c r="H362" s="66">
        <f t="shared" si="9"/>
        <v>0</v>
      </c>
      <c r="I362" s="65">
        <f>'COMPOSIÇÃO DE VALORES'!M362</f>
        <v>0</v>
      </c>
    </row>
    <row r="363" spans="1:9" x14ac:dyDescent="0.3">
      <c r="A363" s="64">
        <v>353</v>
      </c>
      <c r="B363" s="65">
        <f>'COMPOSIÇÃO DE VALORES'!B363</f>
        <v>0</v>
      </c>
      <c r="C363" s="65">
        <f>'COMPOSIÇÃO DE VALORES'!C363</f>
        <v>0</v>
      </c>
      <c r="D363" s="65">
        <f>'COMPOSIÇÃO DE VALORES'!D363</f>
        <v>0</v>
      </c>
      <c r="E363" s="65">
        <f>'COMPOSIÇÃO DE VALORES'!G363</f>
        <v>0</v>
      </c>
      <c r="F363" s="65">
        <f>'COMPOSIÇÃO DE VALORES'!H363</f>
        <v>0</v>
      </c>
      <c r="G363" s="66">
        <f>'COMPOSIÇÃO DE VALORES'!L363</f>
        <v>0</v>
      </c>
      <c r="H363" s="66">
        <f t="shared" si="9"/>
        <v>0</v>
      </c>
      <c r="I363" s="65">
        <f>'COMPOSIÇÃO DE VALORES'!M363</f>
        <v>0</v>
      </c>
    </row>
    <row r="364" spans="1:9" x14ac:dyDescent="0.3">
      <c r="A364" s="64">
        <v>354</v>
      </c>
      <c r="B364" s="65">
        <f>'COMPOSIÇÃO DE VALORES'!B364</f>
        <v>0</v>
      </c>
      <c r="C364" s="65">
        <f>'COMPOSIÇÃO DE VALORES'!C364</f>
        <v>0</v>
      </c>
      <c r="D364" s="65">
        <f>'COMPOSIÇÃO DE VALORES'!D364</f>
        <v>0</v>
      </c>
      <c r="E364" s="65">
        <f>'COMPOSIÇÃO DE VALORES'!G364</f>
        <v>0</v>
      </c>
      <c r="F364" s="65">
        <f>'COMPOSIÇÃO DE VALORES'!H364</f>
        <v>0</v>
      </c>
      <c r="G364" s="66">
        <f>'COMPOSIÇÃO DE VALORES'!L364</f>
        <v>0</v>
      </c>
      <c r="H364" s="66">
        <f t="shared" si="9"/>
        <v>0</v>
      </c>
      <c r="I364" s="65">
        <f>'COMPOSIÇÃO DE VALORES'!M364</f>
        <v>0</v>
      </c>
    </row>
    <row r="365" spans="1:9" x14ac:dyDescent="0.3">
      <c r="A365" s="64">
        <v>355</v>
      </c>
      <c r="B365" s="65">
        <f>'COMPOSIÇÃO DE VALORES'!B365</f>
        <v>0</v>
      </c>
      <c r="C365" s="65">
        <f>'COMPOSIÇÃO DE VALORES'!C365</f>
        <v>0</v>
      </c>
      <c r="D365" s="65">
        <f>'COMPOSIÇÃO DE VALORES'!D365</f>
        <v>0</v>
      </c>
      <c r="E365" s="65">
        <f>'COMPOSIÇÃO DE VALORES'!G365</f>
        <v>0</v>
      </c>
      <c r="F365" s="65">
        <f>'COMPOSIÇÃO DE VALORES'!H365</f>
        <v>0</v>
      </c>
      <c r="G365" s="66">
        <f>'COMPOSIÇÃO DE VALORES'!L365</f>
        <v>0</v>
      </c>
      <c r="H365" s="66">
        <f t="shared" si="9"/>
        <v>0</v>
      </c>
      <c r="I365" s="65">
        <f>'COMPOSIÇÃO DE VALORES'!M365</f>
        <v>0</v>
      </c>
    </row>
    <row r="366" spans="1:9" x14ac:dyDescent="0.3">
      <c r="A366" s="64">
        <v>356</v>
      </c>
      <c r="B366" s="65">
        <f>'COMPOSIÇÃO DE VALORES'!B366</f>
        <v>0</v>
      </c>
      <c r="C366" s="65">
        <f>'COMPOSIÇÃO DE VALORES'!C366</f>
        <v>0</v>
      </c>
      <c r="D366" s="65">
        <f>'COMPOSIÇÃO DE VALORES'!D366</f>
        <v>0</v>
      </c>
      <c r="E366" s="65">
        <f>'COMPOSIÇÃO DE VALORES'!G366</f>
        <v>0</v>
      </c>
      <c r="F366" s="65">
        <f>'COMPOSIÇÃO DE VALORES'!H366</f>
        <v>0</v>
      </c>
      <c r="G366" s="66">
        <f>'COMPOSIÇÃO DE VALORES'!L366</f>
        <v>0</v>
      </c>
      <c r="H366" s="66">
        <f t="shared" si="9"/>
        <v>0</v>
      </c>
      <c r="I366" s="65">
        <f>'COMPOSIÇÃO DE VALORES'!M366</f>
        <v>0</v>
      </c>
    </row>
    <row r="367" spans="1:9" x14ac:dyDescent="0.3">
      <c r="A367" s="64">
        <v>357</v>
      </c>
      <c r="B367" s="65">
        <f>'COMPOSIÇÃO DE VALORES'!B367</f>
        <v>0</v>
      </c>
      <c r="C367" s="65">
        <f>'COMPOSIÇÃO DE VALORES'!C367</f>
        <v>0</v>
      </c>
      <c r="D367" s="65">
        <f>'COMPOSIÇÃO DE VALORES'!D367</f>
        <v>0</v>
      </c>
      <c r="E367" s="65">
        <f>'COMPOSIÇÃO DE VALORES'!G367</f>
        <v>0</v>
      </c>
      <c r="F367" s="65">
        <f>'COMPOSIÇÃO DE VALORES'!H367</f>
        <v>0</v>
      </c>
      <c r="G367" s="66">
        <f>'COMPOSIÇÃO DE VALORES'!L367</f>
        <v>0</v>
      </c>
      <c r="H367" s="66">
        <f t="shared" si="9"/>
        <v>0</v>
      </c>
      <c r="I367" s="65">
        <f>'COMPOSIÇÃO DE VALORES'!M367</f>
        <v>0</v>
      </c>
    </row>
    <row r="368" spans="1:9" x14ac:dyDescent="0.3">
      <c r="A368" s="64">
        <v>358</v>
      </c>
      <c r="B368" s="65">
        <f>'COMPOSIÇÃO DE VALORES'!B368</f>
        <v>0</v>
      </c>
      <c r="C368" s="65">
        <f>'COMPOSIÇÃO DE VALORES'!C368</f>
        <v>0</v>
      </c>
      <c r="D368" s="65">
        <f>'COMPOSIÇÃO DE VALORES'!D368</f>
        <v>0</v>
      </c>
      <c r="E368" s="65">
        <f>'COMPOSIÇÃO DE VALORES'!G368</f>
        <v>0</v>
      </c>
      <c r="F368" s="65">
        <f>'COMPOSIÇÃO DE VALORES'!H368</f>
        <v>0</v>
      </c>
      <c r="G368" s="66">
        <f>'COMPOSIÇÃO DE VALORES'!L368</f>
        <v>0</v>
      </c>
      <c r="H368" s="66">
        <f>G368*B368</f>
        <v>0</v>
      </c>
      <c r="I368" s="65">
        <f>'COMPOSIÇÃO DE VALORES'!M368</f>
        <v>0</v>
      </c>
    </row>
    <row r="369" spans="1:9" x14ac:dyDescent="0.3">
      <c r="A369" s="64">
        <v>359</v>
      </c>
      <c r="B369" s="65">
        <f>'COMPOSIÇÃO DE VALORES'!B369</f>
        <v>0</v>
      </c>
      <c r="C369" s="65">
        <f>'COMPOSIÇÃO DE VALORES'!C369</f>
        <v>0</v>
      </c>
      <c r="D369" s="65">
        <f>'COMPOSIÇÃO DE VALORES'!D369</f>
        <v>0</v>
      </c>
      <c r="E369" s="65">
        <f>'COMPOSIÇÃO DE VALORES'!G369</f>
        <v>0</v>
      </c>
      <c r="F369" s="65">
        <f>'COMPOSIÇÃO DE VALORES'!H369</f>
        <v>0</v>
      </c>
      <c r="G369" s="66">
        <f>'COMPOSIÇÃO DE VALORES'!L369</f>
        <v>0</v>
      </c>
      <c r="H369" s="66">
        <f t="shared" ref="H369:H381" si="10">G369*B369</f>
        <v>0</v>
      </c>
      <c r="I369" s="65">
        <f>'COMPOSIÇÃO DE VALORES'!M369</f>
        <v>0</v>
      </c>
    </row>
    <row r="370" spans="1:9" x14ac:dyDescent="0.3">
      <c r="A370" s="64">
        <v>360</v>
      </c>
      <c r="B370" s="65">
        <f>'COMPOSIÇÃO DE VALORES'!B370</f>
        <v>0</v>
      </c>
      <c r="C370" s="65">
        <f>'COMPOSIÇÃO DE VALORES'!C370</f>
        <v>0</v>
      </c>
      <c r="D370" s="65">
        <f>'COMPOSIÇÃO DE VALORES'!D370</f>
        <v>0</v>
      </c>
      <c r="E370" s="65">
        <f>'COMPOSIÇÃO DE VALORES'!G370</f>
        <v>0</v>
      </c>
      <c r="F370" s="65">
        <f>'COMPOSIÇÃO DE VALORES'!H370</f>
        <v>0</v>
      </c>
      <c r="G370" s="66">
        <f>'COMPOSIÇÃO DE VALORES'!L370</f>
        <v>0</v>
      </c>
      <c r="H370" s="66">
        <f t="shared" si="10"/>
        <v>0</v>
      </c>
      <c r="I370" s="65">
        <f>'COMPOSIÇÃO DE VALORES'!M370</f>
        <v>0</v>
      </c>
    </row>
    <row r="371" spans="1:9" x14ac:dyDescent="0.3">
      <c r="A371" s="64">
        <v>361</v>
      </c>
      <c r="B371" s="65">
        <f>'COMPOSIÇÃO DE VALORES'!B371</f>
        <v>0</v>
      </c>
      <c r="C371" s="65">
        <f>'COMPOSIÇÃO DE VALORES'!C371</f>
        <v>0</v>
      </c>
      <c r="D371" s="65">
        <f>'COMPOSIÇÃO DE VALORES'!D371</f>
        <v>0</v>
      </c>
      <c r="E371" s="65">
        <f>'COMPOSIÇÃO DE VALORES'!G371</f>
        <v>0</v>
      </c>
      <c r="F371" s="65">
        <f>'COMPOSIÇÃO DE VALORES'!H371</f>
        <v>0</v>
      </c>
      <c r="G371" s="66">
        <f>'COMPOSIÇÃO DE VALORES'!L371</f>
        <v>0</v>
      </c>
      <c r="H371" s="66">
        <f t="shared" si="10"/>
        <v>0</v>
      </c>
      <c r="I371" s="65">
        <f>'COMPOSIÇÃO DE VALORES'!M371</f>
        <v>0</v>
      </c>
    </row>
    <row r="372" spans="1:9" x14ac:dyDescent="0.3">
      <c r="A372" s="64">
        <v>362</v>
      </c>
      <c r="B372" s="65">
        <f>'COMPOSIÇÃO DE VALORES'!B372</f>
        <v>0</v>
      </c>
      <c r="C372" s="65">
        <f>'COMPOSIÇÃO DE VALORES'!C372</f>
        <v>0</v>
      </c>
      <c r="D372" s="65">
        <f>'COMPOSIÇÃO DE VALORES'!D372</f>
        <v>0</v>
      </c>
      <c r="E372" s="65">
        <f>'COMPOSIÇÃO DE VALORES'!G372</f>
        <v>0</v>
      </c>
      <c r="F372" s="65">
        <f>'COMPOSIÇÃO DE VALORES'!H372</f>
        <v>0</v>
      </c>
      <c r="G372" s="66">
        <f>'COMPOSIÇÃO DE VALORES'!L372</f>
        <v>0</v>
      </c>
      <c r="H372" s="66">
        <f t="shared" si="10"/>
        <v>0</v>
      </c>
      <c r="I372" s="65">
        <f>'COMPOSIÇÃO DE VALORES'!M372</f>
        <v>0</v>
      </c>
    </row>
    <row r="373" spans="1:9" x14ac:dyDescent="0.3">
      <c r="A373" s="64">
        <v>363</v>
      </c>
      <c r="B373" s="65">
        <f>'COMPOSIÇÃO DE VALORES'!B373</f>
        <v>0</v>
      </c>
      <c r="C373" s="65">
        <f>'COMPOSIÇÃO DE VALORES'!C373</f>
        <v>0</v>
      </c>
      <c r="D373" s="65">
        <f>'COMPOSIÇÃO DE VALORES'!D373</f>
        <v>0</v>
      </c>
      <c r="E373" s="65">
        <f>'COMPOSIÇÃO DE VALORES'!G373</f>
        <v>0</v>
      </c>
      <c r="F373" s="65">
        <f>'COMPOSIÇÃO DE VALORES'!H373</f>
        <v>0</v>
      </c>
      <c r="G373" s="66">
        <f>'COMPOSIÇÃO DE VALORES'!L373</f>
        <v>0</v>
      </c>
      <c r="H373" s="66">
        <f t="shared" si="10"/>
        <v>0</v>
      </c>
      <c r="I373" s="65">
        <f>'COMPOSIÇÃO DE VALORES'!M373</f>
        <v>0</v>
      </c>
    </row>
    <row r="374" spans="1:9" x14ac:dyDescent="0.3">
      <c r="A374" s="64">
        <v>364</v>
      </c>
      <c r="B374" s="65">
        <f>'COMPOSIÇÃO DE VALORES'!B374</f>
        <v>0</v>
      </c>
      <c r="C374" s="65">
        <f>'COMPOSIÇÃO DE VALORES'!C374</f>
        <v>0</v>
      </c>
      <c r="D374" s="65">
        <f>'COMPOSIÇÃO DE VALORES'!D374</f>
        <v>0</v>
      </c>
      <c r="E374" s="65">
        <f>'COMPOSIÇÃO DE VALORES'!G374</f>
        <v>0</v>
      </c>
      <c r="F374" s="65">
        <f>'COMPOSIÇÃO DE VALORES'!H374</f>
        <v>0</v>
      </c>
      <c r="G374" s="66">
        <f>'COMPOSIÇÃO DE VALORES'!L374</f>
        <v>0</v>
      </c>
      <c r="H374" s="66">
        <f t="shared" si="10"/>
        <v>0</v>
      </c>
      <c r="I374" s="65">
        <f>'COMPOSIÇÃO DE VALORES'!M374</f>
        <v>0</v>
      </c>
    </row>
    <row r="375" spans="1:9" x14ac:dyDescent="0.3">
      <c r="A375" s="64">
        <v>365</v>
      </c>
      <c r="B375" s="65">
        <f>'COMPOSIÇÃO DE VALORES'!B375</f>
        <v>0</v>
      </c>
      <c r="C375" s="65">
        <f>'COMPOSIÇÃO DE VALORES'!C375</f>
        <v>0</v>
      </c>
      <c r="D375" s="65">
        <f>'COMPOSIÇÃO DE VALORES'!D375</f>
        <v>0</v>
      </c>
      <c r="E375" s="65">
        <f>'COMPOSIÇÃO DE VALORES'!G375</f>
        <v>0</v>
      </c>
      <c r="F375" s="65">
        <f>'COMPOSIÇÃO DE VALORES'!H375</f>
        <v>0</v>
      </c>
      <c r="G375" s="66">
        <f>'COMPOSIÇÃO DE VALORES'!L375</f>
        <v>0</v>
      </c>
      <c r="H375" s="66">
        <f t="shared" si="10"/>
        <v>0</v>
      </c>
      <c r="I375" s="65">
        <f>'COMPOSIÇÃO DE VALORES'!M375</f>
        <v>0</v>
      </c>
    </row>
    <row r="376" spans="1:9" x14ac:dyDescent="0.3">
      <c r="A376" s="64">
        <v>366</v>
      </c>
      <c r="B376" s="65">
        <f>'COMPOSIÇÃO DE VALORES'!B376</f>
        <v>0</v>
      </c>
      <c r="C376" s="65">
        <f>'COMPOSIÇÃO DE VALORES'!C376</f>
        <v>0</v>
      </c>
      <c r="D376" s="65">
        <f>'COMPOSIÇÃO DE VALORES'!D376</f>
        <v>0</v>
      </c>
      <c r="E376" s="65">
        <f>'COMPOSIÇÃO DE VALORES'!G376</f>
        <v>0</v>
      </c>
      <c r="F376" s="65">
        <f>'COMPOSIÇÃO DE VALORES'!H376</f>
        <v>0</v>
      </c>
      <c r="G376" s="66">
        <f>'COMPOSIÇÃO DE VALORES'!L376</f>
        <v>0</v>
      </c>
      <c r="H376" s="66">
        <f t="shared" si="10"/>
        <v>0</v>
      </c>
      <c r="I376" s="65">
        <f>'COMPOSIÇÃO DE VALORES'!M376</f>
        <v>0</v>
      </c>
    </row>
    <row r="377" spans="1:9" x14ac:dyDescent="0.3">
      <c r="A377" s="64">
        <v>367</v>
      </c>
      <c r="B377" s="65">
        <f>'COMPOSIÇÃO DE VALORES'!B377</f>
        <v>0</v>
      </c>
      <c r="C377" s="65">
        <f>'COMPOSIÇÃO DE VALORES'!C377</f>
        <v>0</v>
      </c>
      <c r="D377" s="65">
        <f>'COMPOSIÇÃO DE VALORES'!D377</f>
        <v>0</v>
      </c>
      <c r="E377" s="65">
        <f>'COMPOSIÇÃO DE VALORES'!G377</f>
        <v>0</v>
      </c>
      <c r="F377" s="65">
        <f>'COMPOSIÇÃO DE VALORES'!H377</f>
        <v>0</v>
      </c>
      <c r="G377" s="66">
        <f>'COMPOSIÇÃO DE VALORES'!L377</f>
        <v>0</v>
      </c>
      <c r="H377" s="66">
        <f t="shared" si="10"/>
        <v>0</v>
      </c>
      <c r="I377" s="65">
        <f>'COMPOSIÇÃO DE VALORES'!M377</f>
        <v>0</v>
      </c>
    </row>
    <row r="378" spans="1:9" x14ac:dyDescent="0.3">
      <c r="A378" s="64">
        <v>368</v>
      </c>
      <c r="B378" s="65">
        <f>'COMPOSIÇÃO DE VALORES'!B378</f>
        <v>0</v>
      </c>
      <c r="C378" s="65">
        <f>'COMPOSIÇÃO DE VALORES'!C378</f>
        <v>0</v>
      </c>
      <c r="D378" s="65">
        <f>'COMPOSIÇÃO DE VALORES'!D378</f>
        <v>0</v>
      </c>
      <c r="E378" s="65">
        <f>'COMPOSIÇÃO DE VALORES'!G378</f>
        <v>0</v>
      </c>
      <c r="F378" s="65">
        <f>'COMPOSIÇÃO DE VALORES'!H378</f>
        <v>0</v>
      </c>
      <c r="G378" s="66">
        <f>'COMPOSIÇÃO DE VALORES'!L378</f>
        <v>0</v>
      </c>
      <c r="H378" s="66">
        <f t="shared" si="10"/>
        <v>0</v>
      </c>
      <c r="I378" s="65">
        <f>'COMPOSIÇÃO DE VALORES'!M378</f>
        <v>0</v>
      </c>
    </row>
    <row r="379" spans="1:9" x14ac:dyDescent="0.3">
      <c r="A379" s="64">
        <v>369</v>
      </c>
      <c r="B379" s="65">
        <f>'COMPOSIÇÃO DE VALORES'!B379</f>
        <v>0</v>
      </c>
      <c r="C379" s="65">
        <f>'COMPOSIÇÃO DE VALORES'!C379</f>
        <v>0</v>
      </c>
      <c r="D379" s="65">
        <f>'COMPOSIÇÃO DE VALORES'!D379</f>
        <v>0</v>
      </c>
      <c r="E379" s="65">
        <f>'COMPOSIÇÃO DE VALORES'!G379</f>
        <v>0</v>
      </c>
      <c r="F379" s="65">
        <f>'COMPOSIÇÃO DE VALORES'!H379</f>
        <v>0</v>
      </c>
      <c r="G379" s="66">
        <f>'COMPOSIÇÃO DE VALORES'!L379</f>
        <v>0</v>
      </c>
      <c r="H379" s="66">
        <f t="shared" si="10"/>
        <v>0</v>
      </c>
      <c r="I379" s="65">
        <f>'COMPOSIÇÃO DE VALORES'!M379</f>
        <v>0</v>
      </c>
    </row>
    <row r="380" spans="1:9" x14ac:dyDescent="0.3">
      <c r="A380" s="64">
        <v>370</v>
      </c>
      <c r="B380" s="65">
        <f>'COMPOSIÇÃO DE VALORES'!B380</f>
        <v>0</v>
      </c>
      <c r="C380" s="65">
        <f>'COMPOSIÇÃO DE VALORES'!C380</f>
        <v>0</v>
      </c>
      <c r="D380" s="65">
        <f>'COMPOSIÇÃO DE VALORES'!D380</f>
        <v>0</v>
      </c>
      <c r="E380" s="65">
        <f>'COMPOSIÇÃO DE VALORES'!G380</f>
        <v>0</v>
      </c>
      <c r="F380" s="65">
        <f>'COMPOSIÇÃO DE VALORES'!H380</f>
        <v>0</v>
      </c>
      <c r="G380" s="66">
        <f>'COMPOSIÇÃO DE VALORES'!L380</f>
        <v>0</v>
      </c>
      <c r="H380" s="66">
        <f t="shared" si="10"/>
        <v>0</v>
      </c>
      <c r="I380" s="65">
        <f>'COMPOSIÇÃO DE VALORES'!M380</f>
        <v>0</v>
      </c>
    </row>
    <row r="381" spans="1:9" x14ac:dyDescent="0.3">
      <c r="A381" s="64">
        <v>371</v>
      </c>
      <c r="B381" s="65">
        <f>'COMPOSIÇÃO DE VALORES'!B381</f>
        <v>0</v>
      </c>
      <c r="C381" s="65">
        <f>'COMPOSIÇÃO DE VALORES'!C381</f>
        <v>0</v>
      </c>
      <c r="D381" s="65">
        <f>'COMPOSIÇÃO DE VALORES'!D381</f>
        <v>0</v>
      </c>
      <c r="E381" s="65">
        <f>'COMPOSIÇÃO DE VALORES'!G381</f>
        <v>0</v>
      </c>
      <c r="F381" s="65">
        <f>'COMPOSIÇÃO DE VALORES'!H381</f>
        <v>0</v>
      </c>
      <c r="G381" s="66">
        <f>'COMPOSIÇÃO DE VALORES'!L381</f>
        <v>0</v>
      </c>
      <c r="H381" s="66">
        <f t="shared" si="10"/>
        <v>0</v>
      </c>
      <c r="I381" s="65">
        <f>'COMPOSIÇÃO DE VALORES'!M381</f>
        <v>0</v>
      </c>
    </row>
    <row r="382" spans="1:9" x14ac:dyDescent="0.3">
      <c r="A382" s="64">
        <v>372</v>
      </c>
      <c r="B382" s="65">
        <f>'COMPOSIÇÃO DE VALORES'!B382</f>
        <v>0</v>
      </c>
      <c r="C382" s="65">
        <f>'COMPOSIÇÃO DE VALORES'!C382</f>
        <v>0</v>
      </c>
      <c r="D382" s="65">
        <f>'COMPOSIÇÃO DE VALORES'!D382</f>
        <v>0</v>
      </c>
      <c r="E382" s="65">
        <f>'COMPOSIÇÃO DE VALORES'!G382</f>
        <v>0</v>
      </c>
      <c r="F382" s="65">
        <f>'COMPOSIÇÃO DE VALORES'!H382</f>
        <v>0</v>
      </c>
      <c r="G382" s="66">
        <f>'COMPOSIÇÃO DE VALORES'!L382</f>
        <v>0</v>
      </c>
      <c r="H382" s="66">
        <f>G382*B382</f>
        <v>0</v>
      </c>
      <c r="I382" s="65">
        <f>'COMPOSIÇÃO DE VALORES'!M382</f>
        <v>0</v>
      </c>
    </row>
    <row r="383" spans="1:9" x14ac:dyDescent="0.3">
      <c r="A383" s="64">
        <v>373</v>
      </c>
      <c r="B383" s="65">
        <f>'COMPOSIÇÃO DE VALORES'!B383</f>
        <v>0</v>
      </c>
      <c r="C383" s="65">
        <f>'COMPOSIÇÃO DE VALORES'!C383</f>
        <v>0</v>
      </c>
      <c r="D383" s="65">
        <f>'COMPOSIÇÃO DE VALORES'!D383</f>
        <v>0</v>
      </c>
      <c r="E383" s="65">
        <f>'COMPOSIÇÃO DE VALORES'!G383</f>
        <v>0</v>
      </c>
      <c r="F383" s="65">
        <f>'COMPOSIÇÃO DE VALORES'!H383</f>
        <v>0</v>
      </c>
      <c r="G383" s="66">
        <f>'COMPOSIÇÃO DE VALORES'!L383</f>
        <v>0</v>
      </c>
      <c r="H383" s="66">
        <f t="shared" ref="H383:H409" si="11">G383*B383</f>
        <v>0</v>
      </c>
      <c r="I383" s="65">
        <f>'COMPOSIÇÃO DE VALORES'!M383</f>
        <v>0</v>
      </c>
    </row>
    <row r="384" spans="1:9" x14ac:dyDescent="0.3">
      <c r="A384" s="64">
        <v>374</v>
      </c>
      <c r="B384" s="65">
        <f>'COMPOSIÇÃO DE VALORES'!B384</f>
        <v>0</v>
      </c>
      <c r="C384" s="65">
        <f>'COMPOSIÇÃO DE VALORES'!C384</f>
        <v>0</v>
      </c>
      <c r="D384" s="65">
        <f>'COMPOSIÇÃO DE VALORES'!D384</f>
        <v>0</v>
      </c>
      <c r="E384" s="65">
        <f>'COMPOSIÇÃO DE VALORES'!G384</f>
        <v>0</v>
      </c>
      <c r="F384" s="65">
        <f>'COMPOSIÇÃO DE VALORES'!H384</f>
        <v>0</v>
      </c>
      <c r="G384" s="66">
        <f>'COMPOSIÇÃO DE VALORES'!L384</f>
        <v>0</v>
      </c>
      <c r="H384" s="66">
        <f t="shared" si="11"/>
        <v>0</v>
      </c>
      <c r="I384" s="65">
        <f>'COMPOSIÇÃO DE VALORES'!M384</f>
        <v>0</v>
      </c>
    </row>
    <row r="385" spans="1:9" x14ac:dyDescent="0.3">
      <c r="A385" s="64">
        <v>375</v>
      </c>
      <c r="B385" s="65">
        <f>'COMPOSIÇÃO DE VALORES'!B385</f>
        <v>0</v>
      </c>
      <c r="C385" s="65">
        <f>'COMPOSIÇÃO DE VALORES'!C385</f>
        <v>0</v>
      </c>
      <c r="D385" s="65">
        <f>'COMPOSIÇÃO DE VALORES'!D385</f>
        <v>0</v>
      </c>
      <c r="E385" s="65">
        <f>'COMPOSIÇÃO DE VALORES'!G385</f>
        <v>0</v>
      </c>
      <c r="F385" s="65">
        <f>'COMPOSIÇÃO DE VALORES'!H385</f>
        <v>0</v>
      </c>
      <c r="G385" s="66">
        <f>'COMPOSIÇÃO DE VALORES'!L385</f>
        <v>0</v>
      </c>
      <c r="H385" s="66">
        <f t="shared" si="11"/>
        <v>0</v>
      </c>
      <c r="I385" s="65">
        <f>'COMPOSIÇÃO DE VALORES'!M385</f>
        <v>0</v>
      </c>
    </row>
    <row r="386" spans="1:9" x14ac:dyDescent="0.3">
      <c r="A386" s="64">
        <v>376</v>
      </c>
      <c r="B386" s="65">
        <f>'COMPOSIÇÃO DE VALORES'!B386</f>
        <v>0</v>
      </c>
      <c r="C386" s="65">
        <f>'COMPOSIÇÃO DE VALORES'!C386</f>
        <v>0</v>
      </c>
      <c r="D386" s="65">
        <f>'COMPOSIÇÃO DE VALORES'!D386</f>
        <v>0</v>
      </c>
      <c r="E386" s="65">
        <f>'COMPOSIÇÃO DE VALORES'!G386</f>
        <v>0</v>
      </c>
      <c r="F386" s="65">
        <f>'COMPOSIÇÃO DE VALORES'!H386</f>
        <v>0</v>
      </c>
      <c r="G386" s="66">
        <f>'COMPOSIÇÃO DE VALORES'!L386</f>
        <v>0</v>
      </c>
      <c r="H386" s="66">
        <f t="shared" si="11"/>
        <v>0</v>
      </c>
      <c r="I386" s="65">
        <f>'COMPOSIÇÃO DE VALORES'!M386</f>
        <v>0</v>
      </c>
    </row>
    <row r="387" spans="1:9" x14ac:dyDescent="0.3">
      <c r="A387" s="64">
        <v>377</v>
      </c>
      <c r="B387" s="65">
        <f>'COMPOSIÇÃO DE VALORES'!B387</f>
        <v>0</v>
      </c>
      <c r="C387" s="65">
        <f>'COMPOSIÇÃO DE VALORES'!C387</f>
        <v>0</v>
      </c>
      <c r="D387" s="65">
        <f>'COMPOSIÇÃO DE VALORES'!D387</f>
        <v>0</v>
      </c>
      <c r="E387" s="65">
        <f>'COMPOSIÇÃO DE VALORES'!G387</f>
        <v>0</v>
      </c>
      <c r="F387" s="65">
        <f>'COMPOSIÇÃO DE VALORES'!H387</f>
        <v>0</v>
      </c>
      <c r="G387" s="66">
        <f>'COMPOSIÇÃO DE VALORES'!L387</f>
        <v>0</v>
      </c>
      <c r="H387" s="66">
        <f t="shared" si="11"/>
        <v>0</v>
      </c>
      <c r="I387" s="65">
        <f>'COMPOSIÇÃO DE VALORES'!M387</f>
        <v>0</v>
      </c>
    </row>
    <row r="388" spans="1:9" x14ac:dyDescent="0.3">
      <c r="A388" s="64">
        <v>378</v>
      </c>
      <c r="B388" s="65">
        <f>'COMPOSIÇÃO DE VALORES'!B388</f>
        <v>0</v>
      </c>
      <c r="C388" s="65">
        <f>'COMPOSIÇÃO DE VALORES'!C388</f>
        <v>0</v>
      </c>
      <c r="D388" s="65">
        <f>'COMPOSIÇÃO DE VALORES'!D388</f>
        <v>0</v>
      </c>
      <c r="E388" s="65">
        <f>'COMPOSIÇÃO DE VALORES'!G388</f>
        <v>0</v>
      </c>
      <c r="F388" s="65">
        <f>'COMPOSIÇÃO DE VALORES'!H388</f>
        <v>0</v>
      </c>
      <c r="G388" s="66">
        <f>'COMPOSIÇÃO DE VALORES'!L388</f>
        <v>0</v>
      </c>
      <c r="H388" s="66">
        <f t="shared" si="11"/>
        <v>0</v>
      </c>
      <c r="I388" s="65">
        <f>'COMPOSIÇÃO DE VALORES'!M388</f>
        <v>0</v>
      </c>
    </row>
    <row r="389" spans="1:9" x14ac:dyDescent="0.3">
      <c r="A389" s="64">
        <v>379</v>
      </c>
      <c r="B389" s="65">
        <f>'COMPOSIÇÃO DE VALORES'!B389</f>
        <v>0</v>
      </c>
      <c r="C389" s="65">
        <f>'COMPOSIÇÃO DE VALORES'!C389</f>
        <v>0</v>
      </c>
      <c r="D389" s="65">
        <f>'COMPOSIÇÃO DE VALORES'!D389</f>
        <v>0</v>
      </c>
      <c r="E389" s="65">
        <f>'COMPOSIÇÃO DE VALORES'!G389</f>
        <v>0</v>
      </c>
      <c r="F389" s="65">
        <f>'COMPOSIÇÃO DE VALORES'!H389</f>
        <v>0</v>
      </c>
      <c r="G389" s="66">
        <f>'COMPOSIÇÃO DE VALORES'!L389</f>
        <v>0</v>
      </c>
      <c r="H389" s="66">
        <f t="shared" si="11"/>
        <v>0</v>
      </c>
      <c r="I389" s="65">
        <f>'COMPOSIÇÃO DE VALORES'!M389</f>
        <v>0</v>
      </c>
    </row>
    <row r="390" spans="1:9" x14ac:dyDescent="0.3">
      <c r="A390" s="64">
        <v>380</v>
      </c>
      <c r="B390" s="65">
        <f>'COMPOSIÇÃO DE VALORES'!B390</f>
        <v>0</v>
      </c>
      <c r="C390" s="65">
        <f>'COMPOSIÇÃO DE VALORES'!C390</f>
        <v>0</v>
      </c>
      <c r="D390" s="65">
        <f>'COMPOSIÇÃO DE VALORES'!D390</f>
        <v>0</v>
      </c>
      <c r="E390" s="65">
        <f>'COMPOSIÇÃO DE VALORES'!G390</f>
        <v>0</v>
      </c>
      <c r="F390" s="65">
        <f>'COMPOSIÇÃO DE VALORES'!H390</f>
        <v>0</v>
      </c>
      <c r="G390" s="66">
        <f>'COMPOSIÇÃO DE VALORES'!L390</f>
        <v>0</v>
      </c>
      <c r="H390" s="66">
        <f t="shared" si="11"/>
        <v>0</v>
      </c>
      <c r="I390" s="65">
        <f>'COMPOSIÇÃO DE VALORES'!M390</f>
        <v>0</v>
      </c>
    </row>
    <row r="391" spans="1:9" x14ac:dyDescent="0.3">
      <c r="A391" s="64">
        <v>381</v>
      </c>
      <c r="B391" s="65">
        <f>'COMPOSIÇÃO DE VALORES'!B391</f>
        <v>0</v>
      </c>
      <c r="C391" s="65">
        <f>'COMPOSIÇÃO DE VALORES'!C391</f>
        <v>0</v>
      </c>
      <c r="D391" s="65">
        <f>'COMPOSIÇÃO DE VALORES'!D391</f>
        <v>0</v>
      </c>
      <c r="E391" s="65">
        <f>'COMPOSIÇÃO DE VALORES'!G391</f>
        <v>0</v>
      </c>
      <c r="F391" s="65">
        <f>'COMPOSIÇÃO DE VALORES'!H391</f>
        <v>0</v>
      </c>
      <c r="G391" s="66">
        <f>'COMPOSIÇÃO DE VALORES'!L391</f>
        <v>0</v>
      </c>
      <c r="H391" s="66">
        <f t="shared" si="11"/>
        <v>0</v>
      </c>
      <c r="I391" s="65">
        <f>'COMPOSIÇÃO DE VALORES'!M391</f>
        <v>0</v>
      </c>
    </row>
    <row r="392" spans="1:9" x14ac:dyDescent="0.3">
      <c r="A392" s="64">
        <v>382</v>
      </c>
      <c r="B392" s="65">
        <f>'COMPOSIÇÃO DE VALORES'!B392</f>
        <v>0</v>
      </c>
      <c r="C392" s="65">
        <f>'COMPOSIÇÃO DE VALORES'!C392</f>
        <v>0</v>
      </c>
      <c r="D392" s="65">
        <f>'COMPOSIÇÃO DE VALORES'!D392</f>
        <v>0</v>
      </c>
      <c r="E392" s="65">
        <f>'COMPOSIÇÃO DE VALORES'!G392</f>
        <v>0</v>
      </c>
      <c r="F392" s="65">
        <f>'COMPOSIÇÃO DE VALORES'!H392</f>
        <v>0</v>
      </c>
      <c r="G392" s="66">
        <f>'COMPOSIÇÃO DE VALORES'!L392</f>
        <v>0</v>
      </c>
      <c r="H392" s="66">
        <f t="shared" si="11"/>
        <v>0</v>
      </c>
      <c r="I392" s="65">
        <f>'COMPOSIÇÃO DE VALORES'!M392</f>
        <v>0</v>
      </c>
    </row>
    <row r="393" spans="1:9" x14ac:dyDescent="0.3">
      <c r="A393" s="64">
        <v>383</v>
      </c>
      <c r="B393" s="65">
        <f>'COMPOSIÇÃO DE VALORES'!B393</f>
        <v>0</v>
      </c>
      <c r="C393" s="65">
        <f>'COMPOSIÇÃO DE VALORES'!C393</f>
        <v>0</v>
      </c>
      <c r="D393" s="65">
        <f>'COMPOSIÇÃO DE VALORES'!D393</f>
        <v>0</v>
      </c>
      <c r="E393" s="65">
        <f>'COMPOSIÇÃO DE VALORES'!G393</f>
        <v>0</v>
      </c>
      <c r="F393" s="65">
        <f>'COMPOSIÇÃO DE VALORES'!H393</f>
        <v>0</v>
      </c>
      <c r="G393" s="66">
        <f>'COMPOSIÇÃO DE VALORES'!L393</f>
        <v>0</v>
      </c>
      <c r="H393" s="66">
        <f t="shared" si="11"/>
        <v>0</v>
      </c>
      <c r="I393" s="65">
        <f>'COMPOSIÇÃO DE VALORES'!M393</f>
        <v>0</v>
      </c>
    </row>
    <row r="394" spans="1:9" x14ac:dyDescent="0.3">
      <c r="A394" s="64">
        <v>384</v>
      </c>
      <c r="B394" s="65">
        <f>'COMPOSIÇÃO DE VALORES'!B394</f>
        <v>0</v>
      </c>
      <c r="C394" s="65">
        <f>'COMPOSIÇÃO DE VALORES'!C394</f>
        <v>0</v>
      </c>
      <c r="D394" s="65">
        <f>'COMPOSIÇÃO DE VALORES'!D394</f>
        <v>0</v>
      </c>
      <c r="E394" s="65">
        <f>'COMPOSIÇÃO DE VALORES'!G394</f>
        <v>0</v>
      </c>
      <c r="F394" s="65">
        <f>'COMPOSIÇÃO DE VALORES'!H394</f>
        <v>0</v>
      </c>
      <c r="G394" s="66">
        <f>'COMPOSIÇÃO DE VALORES'!L394</f>
        <v>0</v>
      </c>
      <c r="H394" s="66">
        <f t="shared" si="11"/>
        <v>0</v>
      </c>
      <c r="I394" s="65">
        <f>'COMPOSIÇÃO DE VALORES'!M394</f>
        <v>0</v>
      </c>
    </row>
    <row r="395" spans="1:9" x14ac:dyDescent="0.3">
      <c r="A395" s="64">
        <v>385</v>
      </c>
      <c r="B395" s="65">
        <f>'COMPOSIÇÃO DE VALORES'!B395</f>
        <v>0</v>
      </c>
      <c r="C395" s="65">
        <f>'COMPOSIÇÃO DE VALORES'!C395</f>
        <v>0</v>
      </c>
      <c r="D395" s="65">
        <f>'COMPOSIÇÃO DE VALORES'!D395</f>
        <v>0</v>
      </c>
      <c r="E395" s="65">
        <f>'COMPOSIÇÃO DE VALORES'!G395</f>
        <v>0</v>
      </c>
      <c r="F395" s="65">
        <f>'COMPOSIÇÃO DE VALORES'!H395</f>
        <v>0</v>
      </c>
      <c r="G395" s="66">
        <f>'COMPOSIÇÃO DE VALORES'!L395</f>
        <v>0</v>
      </c>
      <c r="H395" s="66">
        <f t="shared" si="11"/>
        <v>0</v>
      </c>
      <c r="I395" s="65">
        <f>'COMPOSIÇÃO DE VALORES'!M395</f>
        <v>0</v>
      </c>
    </row>
    <row r="396" spans="1:9" x14ac:dyDescent="0.3">
      <c r="A396" s="64">
        <v>386</v>
      </c>
      <c r="B396" s="65">
        <f>'COMPOSIÇÃO DE VALORES'!B396</f>
        <v>0</v>
      </c>
      <c r="C396" s="65">
        <f>'COMPOSIÇÃO DE VALORES'!C396</f>
        <v>0</v>
      </c>
      <c r="D396" s="65">
        <f>'COMPOSIÇÃO DE VALORES'!D396</f>
        <v>0</v>
      </c>
      <c r="E396" s="65">
        <f>'COMPOSIÇÃO DE VALORES'!G396</f>
        <v>0</v>
      </c>
      <c r="F396" s="65">
        <f>'COMPOSIÇÃO DE VALORES'!H396</f>
        <v>0</v>
      </c>
      <c r="G396" s="66">
        <f>'COMPOSIÇÃO DE VALORES'!L396</f>
        <v>0</v>
      </c>
      <c r="H396" s="66">
        <f t="shared" si="11"/>
        <v>0</v>
      </c>
      <c r="I396" s="65">
        <f>'COMPOSIÇÃO DE VALORES'!M396</f>
        <v>0</v>
      </c>
    </row>
    <row r="397" spans="1:9" x14ac:dyDescent="0.3">
      <c r="A397" s="64">
        <v>387</v>
      </c>
      <c r="B397" s="65">
        <f>'COMPOSIÇÃO DE VALORES'!B397</f>
        <v>0</v>
      </c>
      <c r="C397" s="65">
        <f>'COMPOSIÇÃO DE VALORES'!C397</f>
        <v>0</v>
      </c>
      <c r="D397" s="65">
        <f>'COMPOSIÇÃO DE VALORES'!D397</f>
        <v>0</v>
      </c>
      <c r="E397" s="65">
        <f>'COMPOSIÇÃO DE VALORES'!G397</f>
        <v>0</v>
      </c>
      <c r="F397" s="65">
        <f>'COMPOSIÇÃO DE VALORES'!H397</f>
        <v>0</v>
      </c>
      <c r="G397" s="66">
        <f>'COMPOSIÇÃO DE VALORES'!L397</f>
        <v>0</v>
      </c>
      <c r="H397" s="66">
        <f t="shared" si="11"/>
        <v>0</v>
      </c>
      <c r="I397" s="65">
        <f>'COMPOSIÇÃO DE VALORES'!M397</f>
        <v>0</v>
      </c>
    </row>
    <row r="398" spans="1:9" x14ac:dyDescent="0.3">
      <c r="A398" s="64">
        <v>388</v>
      </c>
      <c r="B398" s="65">
        <f>'COMPOSIÇÃO DE VALORES'!B398</f>
        <v>0</v>
      </c>
      <c r="C398" s="65">
        <f>'COMPOSIÇÃO DE VALORES'!C398</f>
        <v>0</v>
      </c>
      <c r="D398" s="65">
        <f>'COMPOSIÇÃO DE VALORES'!D398</f>
        <v>0</v>
      </c>
      <c r="E398" s="65">
        <f>'COMPOSIÇÃO DE VALORES'!G398</f>
        <v>0</v>
      </c>
      <c r="F398" s="65">
        <f>'COMPOSIÇÃO DE VALORES'!H398</f>
        <v>0</v>
      </c>
      <c r="G398" s="66">
        <f>'COMPOSIÇÃO DE VALORES'!L398</f>
        <v>0</v>
      </c>
      <c r="H398" s="66">
        <f t="shared" si="11"/>
        <v>0</v>
      </c>
      <c r="I398" s="65">
        <f>'COMPOSIÇÃO DE VALORES'!M398</f>
        <v>0</v>
      </c>
    </row>
    <row r="399" spans="1:9" x14ac:dyDescent="0.3">
      <c r="A399" s="64">
        <v>389</v>
      </c>
      <c r="B399" s="65">
        <f>'COMPOSIÇÃO DE VALORES'!B399</f>
        <v>0</v>
      </c>
      <c r="C399" s="65">
        <f>'COMPOSIÇÃO DE VALORES'!C399</f>
        <v>0</v>
      </c>
      <c r="D399" s="65">
        <f>'COMPOSIÇÃO DE VALORES'!D399</f>
        <v>0</v>
      </c>
      <c r="E399" s="65">
        <f>'COMPOSIÇÃO DE VALORES'!G399</f>
        <v>0</v>
      </c>
      <c r="F399" s="65">
        <f>'COMPOSIÇÃO DE VALORES'!H399</f>
        <v>0</v>
      </c>
      <c r="G399" s="66">
        <f>'COMPOSIÇÃO DE VALORES'!L399</f>
        <v>0</v>
      </c>
      <c r="H399" s="66">
        <f t="shared" si="11"/>
        <v>0</v>
      </c>
      <c r="I399" s="65">
        <f>'COMPOSIÇÃO DE VALORES'!M399</f>
        <v>0</v>
      </c>
    </row>
    <row r="400" spans="1:9" x14ac:dyDescent="0.3">
      <c r="A400" s="64">
        <v>390</v>
      </c>
      <c r="B400" s="65">
        <f>'COMPOSIÇÃO DE VALORES'!B400</f>
        <v>0</v>
      </c>
      <c r="C400" s="65">
        <f>'COMPOSIÇÃO DE VALORES'!C400</f>
        <v>0</v>
      </c>
      <c r="D400" s="65">
        <f>'COMPOSIÇÃO DE VALORES'!D400</f>
        <v>0</v>
      </c>
      <c r="E400" s="65">
        <f>'COMPOSIÇÃO DE VALORES'!G400</f>
        <v>0</v>
      </c>
      <c r="F400" s="65">
        <f>'COMPOSIÇÃO DE VALORES'!H400</f>
        <v>0</v>
      </c>
      <c r="G400" s="66">
        <f>'COMPOSIÇÃO DE VALORES'!L400</f>
        <v>0</v>
      </c>
      <c r="H400" s="66">
        <f t="shared" si="11"/>
        <v>0</v>
      </c>
      <c r="I400" s="65">
        <f>'COMPOSIÇÃO DE VALORES'!M400</f>
        <v>0</v>
      </c>
    </row>
    <row r="401" spans="1:9" x14ac:dyDescent="0.3">
      <c r="A401" s="64">
        <v>391</v>
      </c>
      <c r="B401" s="65">
        <f>'COMPOSIÇÃO DE VALORES'!B401</f>
        <v>0</v>
      </c>
      <c r="C401" s="65">
        <f>'COMPOSIÇÃO DE VALORES'!C401</f>
        <v>0</v>
      </c>
      <c r="D401" s="65">
        <f>'COMPOSIÇÃO DE VALORES'!D401</f>
        <v>0</v>
      </c>
      <c r="E401" s="65">
        <f>'COMPOSIÇÃO DE VALORES'!G401</f>
        <v>0</v>
      </c>
      <c r="F401" s="65">
        <f>'COMPOSIÇÃO DE VALORES'!H401</f>
        <v>0</v>
      </c>
      <c r="G401" s="66">
        <f>'COMPOSIÇÃO DE VALORES'!L401</f>
        <v>0</v>
      </c>
      <c r="H401" s="66">
        <f t="shared" si="11"/>
        <v>0</v>
      </c>
      <c r="I401" s="65">
        <f>'COMPOSIÇÃO DE VALORES'!M401</f>
        <v>0</v>
      </c>
    </row>
    <row r="402" spans="1:9" x14ac:dyDescent="0.3">
      <c r="A402" s="64">
        <v>392</v>
      </c>
      <c r="B402" s="65">
        <f>'COMPOSIÇÃO DE VALORES'!B402</f>
        <v>0</v>
      </c>
      <c r="C402" s="65">
        <f>'COMPOSIÇÃO DE VALORES'!C402</f>
        <v>0</v>
      </c>
      <c r="D402" s="65">
        <f>'COMPOSIÇÃO DE VALORES'!D402</f>
        <v>0</v>
      </c>
      <c r="E402" s="65">
        <f>'COMPOSIÇÃO DE VALORES'!G402</f>
        <v>0</v>
      </c>
      <c r="F402" s="65">
        <f>'COMPOSIÇÃO DE VALORES'!H402</f>
        <v>0</v>
      </c>
      <c r="G402" s="66">
        <f>'COMPOSIÇÃO DE VALORES'!L402</f>
        <v>0</v>
      </c>
      <c r="H402" s="66">
        <f t="shared" si="11"/>
        <v>0</v>
      </c>
      <c r="I402" s="65">
        <f>'COMPOSIÇÃO DE VALORES'!M402</f>
        <v>0</v>
      </c>
    </row>
    <row r="403" spans="1:9" x14ac:dyDescent="0.3">
      <c r="A403" s="64">
        <v>393</v>
      </c>
      <c r="B403" s="65">
        <f>'COMPOSIÇÃO DE VALORES'!B403</f>
        <v>0</v>
      </c>
      <c r="C403" s="65">
        <f>'COMPOSIÇÃO DE VALORES'!C403</f>
        <v>0</v>
      </c>
      <c r="D403" s="65">
        <f>'COMPOSIÇÃO DE VALORES'!D403</f>
        <v>0</v>
      </c>
      <c r="E403" s="65">
        <f>'COMPOSIÇÃO DE VALORES'!G403</f>
        <v>0</v>
      </c>
      <c r="F403" s="65">
        <f>'COMPOSIÇÃO DE VALORES'!H403</f>
        <v>0</v>
      </c>
      <c r="G403" s="66">
        <f>'COMPOSIÇÃO DE VALORES'!L403</f>
        <v>0</v>
      </c>
      <c r="H403" s="66">
        <f t="shared" si="11"/>
        <v>0</v>
      </c>
      <c r="I403" s="65">
        <f>'COMPOSIÇÃO DE VALORES'!M403</f>
        <v>0</v>
      </c>
    </row>
    <row r="404" spans="1:9" x14ac:dyDescent="0.3">
      <c r="A404" s="64">
        <v>394</v>
      </c>
      <c r="B404" s="65">
        <f>'COMPOSIÇÃO DE VALORES'!B404</f>
        <v>0</v>
      </c>
      <c r="C404" s="65">
        <f>'COMPOSIÇÃO DE VALORES'!C404</f>
        <v>0</v>
      </c>
      <c r="D404" s="65">
        <f>'COMPOSIÇÃO DE VALORES'!D404</f>
        <v>0</v>
      </c>
      <c r="E404" s="65">
        <f>'COMPOSIÇÃO DE VALORES'!G404</f>
        <v>0</v>
      </c>
      <c r="F404" s="65">
        <f>'COMPOSIÇÃO DE VALORES'!H404</f>
        <v>0</v>
      </c>
      <c r="G404" s="66">
        <f>'COMPOSIÇÃO DE VALORES'!L404</f>
        <v>0</v>
      </c>
      <c r="H404" s="66">
        <f t="shared" si="11"/>
        <v>0</v>
      </c>
      <c r="I404" s="65">
        <f>'COMPOSIÇÃO DE VALORES'!M404</f>
        <v>0</v>
      </c>
    </row>
    <row r="405" spans="1:9" x14ac:dyDescent="0.3">
      <c r="A405" s="64">
        <v>395</v>
      </c>
      <c r="B405" s="65">
        <f>'COMPOSIÇÃO DE VALORES'!B405</f>
        <v>0</v>
      </c>
      <c r="C405" s="65">
        <f>'COMPOSIÇÃO DE VALORES'!C405</f>
        <v>0</v>
      </c>
      <c r="D405" s="65">
        <f>'COMPOSIÇÃO DE VALORES'!D405</f>
        <v>0</v>
      </c>
      <c r="E405" s="65">
        <f>'COMPOSIÇÃO DE VALORES'!G405</f>
        <v>0</v>
      </c>
      <c r="F405" s="65">
        <f>'COMPOSIÇÃO DE VALORES'!H405</f>
        <v>0</v>
      </c>
      <c r="G405" s="66">
        <f>'COMPOSIÇÃO DE VALORES'!L405</f>
        <v>0</v>
      </c>
      <c r="H405" s="66">
        <f t="shared" si="11"/>
        <v>0</v>
      </c>
      <c r="I405" s="65">
        <f>'COMPOSIÇÃO DE VALORES'!M405</f>
        <v>0</v>
      </c>
    </row>
    <row r="406" spans="1:9" x14ac:dyDescent="0.3">
      <c r="A406" s="64">
        <v>396</v>
      </c>
      <c r="B406" s="65">
        <f>'COMPOSIÇÃO DE VALORES'!B406</f>
        <v>0</v>
      </c>
      <c r="C406" s="65">
        <f>'COMPOSIÇÃO DE VALORES'!C406</f>
        <v>0</v>
      </c>
      <c r="D406" s="65">
        <f>'COMPOSIÇÃO DE VALORES'!D406</f>
        <v>0</v>
      </c>
      <c r="E406" s="65">
        <f>'COMPOSIÇÃO DE VALORES'!G406</f>
        <v>0</v>
      </c>
      <c r="F406" s="65">
        <f>'COMPOSIÇÃO DE VALORES'!H406</f>
        <v>0</v>
      </c>
      <c r="G406" s="66">
        <f>'COMPOSIÇÃO DE VALORES'!L406</f>
        <v>0</v>
      </c>
      <c r="H406" s="66">
        <f t="shared" si="11"/>
        <v>0</v>
      </c>
      <c r="I406" s="65">
        <f>'COMPOSIÇÃO DE VALORES'!M406</f>
        <v>0</v>
      </c>
    </row>
    <row r="407" spans="1:9" x14ac:dyDescent="0.3">
      <c r="A407" s="64">
        <v>397</v>
      </c>
      <c r="B407" s="65">
        <f>'COMPOSIÇÃO DE VALORES'!B407</f>
        <v>0</v>
      </c>
      <c r="C407" s="65">
        <f>'COMPOSIÇÃO DE VALORES'!C407</f>
        <v>0</v>
      </c>
      <c r="D407" s="65">
        <f>'COMPOSIÇÃO DE VALORES'!D407</f>
        <v>0</v>
      </c>
      <c r="E407" s="65">
        <f>'COMPOSIÇÃO DE VALORES'!G407</f>
        <v>0</v>
      </c>
      <c r="F407" s="65">
        <f>'COMPOSIÇÃO DE VALORES'!H407</f>
        <v>0</v>
      </c>
      <c r="G407" s="66">
        <f>'COMPOSIÇÃO DE VALORES'!L407</f>
        <v>0</v>
      </c>
      <c r="H407" s="66">
        <f t="shared" si="11"/>
        <v>0</v>
      </c>
      <c r="I407" s="65">
        <f>'COMPOSIÇÃO DE VALORES'!M407</f>
        <v>0</v>
      </c>
    </row>
    <row r="408" spans="1:9" x14ac:dyDescent="0.3">
      <c r="A408" s="64">
        <v>398</v>
      </c>
      <c r="B408" s="65">
        <f>'COMPOSIÇÃO DE VALORES'!B408</f>
        <v>0</v>
      </c>
      <c r="C408" s="65">
        <f>'COMPOSIÇÃO DE VALORES'!C408</f>
        <v>0</v>
      </c>
      <c r="D408" s="65">
        <f>'COMPOSIÇÃO DE VALORES'!D408</f>
        <v>0</v>
      </c>
      <c r="E408" s="65">
        <f>'COMPOSIÇÃO DE VALORES'!G408</f>
        <v>0</v>
      </c>
      <c r="F408" s="65">
        <f>'COMPOSIÇÃO DE VALORES'!H408</f>
        <v>0</v>
      </c>
      <c r="G408" s="66">
        <f>'COMPOSIÇÃO DE VALORES'!L408</f>
        <v>0</v>
      </c>
      <c r="H408" s="66">
        <f t="shared" si="11"/>
        <v>0</v>
      </c>
      <c r="I408" s="65">
        <f>'COMPOSIÇÃO DE VALORES'!M408</f>
        <v>0</v>
      </c>
    </row>
    <row r="409" spans="1:9" x14ac:dyDescent="0.3">
      <c r="A409" s="64">
        <v>399</v>
      </c>
      <c r="B409" s="65">
        <f>'COMPOSIÇÃO DE VALORES'!B409</f>
        <v>0</v>
      </c>
      <c r="C409" s="65">
        <f>'COMPOSIÇÃO DE VALORES'!C409</f>
        <v>0</v>
      </c>
      <c r="D409" s="65">
        <f>'COMPOSIÇÃO DE VALORES'!D409</f>
        <v>0</v>
      </c>
      <c r="E409" s="65">
        <f>'COMPOSIÇÃO DE VALORES'!G409</f>
        <v>0</v>
      </c>
      <c r="F409" s="65">
        <f>'COMPOSIÇÃO DE VALORES'!H409</f>
        <v>0</v>
      </c>
      <c r="G409" s="66">
        <f>'COMPOSIÇÃO DE VALORES'!L409</f>
        <v>0</v>
      </c>
      <c r="H409" s="66">
        <f t="shared" si="11"/>
        <v>0</v>
      </c>
      <c r="I409" s="65">
        <f>'COMPOSIÇÃO DE VALORES'!M409</f>
        <v>0</v>
      </c>
    </row>
    <row r="410" spans="1:9" x14ac:dyDescent="0.3">
      <c r="A410" s="64">
        <v>400</v>
      </c>
      <c r="B410" s="65">
        <f>'COMPOSIÇÃO DE VALORES'!B410</f>
        <v>0</v>
      </c>
      <c r="C410" s="65">
        <f>'COMPOSIÇÃO DE VALORES'!C410</f>
        <v>0</v>
      </c>
      <c r="D410" s="65">
        <f>'COMPOSIÇÃO DE VALORES'!D410</f>
        <v>0</v>
      </c>
      <c r="E410" s="65">
        <f>'COMPOSIÇÃO DE VALORES'!G410</f>
        <v>0</v>
      </c>
      <c r="F410" s="65">
        <f>'COMPOSIÇÃO DE VALORES'!H410</f>
        <v>0</v>
      </c>
      <c r="G410" s="66">
        <f>'COMPOSIÇÃO DE VALORES'!L410</f>
        <v>0</v>
      </c>
      <c r="H410" s="66">
        <f>G410*B410</f>
        <v>0</v>
      </c>
      <c r="I410" s="65">
        <f>'COMPOSIÇÃO DE VALORES'!M410</f>
        <v>0</v>
      </c>
    </row>
    <row r="411" spans="1:9" x14ac:dyDescent="0.3">
      <c r="A411" s="64">
        <v>401</v>
      </c>
      <c r="B411" s="65">
        <f>'COMPOSIÇÃO DE VALORES'!B411</f>
        <v>0</v>
      </c>
      <c r="C411" s="65">
        <f>'COMPOSIÇÃO DE VALORES'!C411</f>
        <v>0</v>
      </c>
      <c r="D411" s="65">
        <f>'COMPOSIÇÃO DE VALORES'!D411</f>
        <v>0</v>
      </c>
      <c r="E411" s="65">
        <f>'COMPOSIÇÃO DE VALORES'!G411</f>
        <v>0</v>
      </c>
      <c r="F411" s="65">
        <f>'COMPOSIÇÃO DE VALORES'!H411</f>
        <v>0</v>
      </c>
      <c r="G411" s="66">
        <f>'COMPOSIÇÃO DE VALORES'!L411</f>
        <v>0</v>
      </c>
      <c r="H411" s="66">
        <f t="shared" ref="H411:H440" si="12">G411*B411</f>
        <v>0</v>
      </c>
      <c r="I411" s="65">
        <f>'COMPOSIÇÃO DE VALORES'!M411</f>
        <v>0</v>
      </c>
    </row>
    <row r="412" spans="1:9" x14ac:dyDescent="0.3">
      <c r="A412" s="64">
        <v>402</v>
      </c>
      <c r="B412" s="65">
        <f>'COMPOSIÇÃO DE VALORES'!B412</f>
        <v>0</v>
      </c>
      <c r="C412" s="65">
        <f>'COMPOSIÇÃO DE VALORES'!C412</f>
        <v>0</v>
      </c>
      <c r="D412" s="65">
        <f>'COMPOSIÇÃO DE VALORES'!D412</f>
        <v>0</v>
      </c>
      <c r="E412" s="65">
        <f>'COMPOSIÇÃO DE VALORES'!G412</f>
        <v>0</v>
      </c>
      <c r="F412" s="65">
        <f>'COMPOSIÇÃO DE VALORES'!H412</f>
        <v>0</v>
      </c>
      <c r="G412" s="66">
        <f>'COMPOSIÇÃO DE VALORES'!L412</f>
        <v>0</v>
      </c>
      <c r="H412" s="66">
        <f t="shared" si="12"/>
        <v>0</v>
      </c>
      <c r="I412" s="65">
        <f>'COMPOSIÇÃO DE VALORES'!M412</f>
        <v>0</v>
      </c>
    </row>
    <row r="413" spans="1:9" x14ac:dyDescent="0.3">
      <c r="A413" s="64">
        <v>403</v>
      </c>
      <c r="B413" s="65">
        <f>'COMPOSIÇÃO DE VALORES'!B413</f>
        <v>0</v>
      </c>
      <c r="C413" s="65">
        <f>'COMPOSIÇÃO DE VALORES'!C413</f>
        <v>0</v>
      </c>
      <c r="D413" s="65">
        <f>'COMPOSIÇÃO DE VALORES'!D413</f>
        <v>0</v>
      </c>
      <c r="E413" s="65">
        <f>'COMPOSIÇÃO DE VALORES'!G413</f>
        <v>0</v>
      </c>
      <c r="F413" s="65">
        <f>'COMPOSIÇÃO DE VALORES'!H413</f>
        <v>0</v>
      </c>
      <c r="G413" s="66">
        <f>'COMPOSIÇÃO DE VALORES'!L413</f>
        <v>0</v>
      </c>
      <c r="H413" s="66">
        <f t="shared" si="12"/>
        <v>0</v>
      </c>
      <c r="I413" s="65">
        <f>'COMPOSIÇÃO DE VALORES'!M413</f>
        <v>0</v>
      </c>
    </row>
    <row r="414" spans="1:9" x14ac:dyDescent="0.3">
      <c r="A414" s="64">
        <v>404</v>
      </c>
      <c r="B414" s="65">
        <f>'COMPOSIÇÃO DE VALORES'!B414</f>
        <v>0</v>
      </c>
      <c r="C414" s="65">
        <f>'COMPOSIÇÃO DE VALORES'!C414</f>
        <v>0</v>
      </c>
      <c r="D414" s="65">
        <f>'COMPOSIÇÃO DE VALORES'!D414</f>
        <v>0</v>
      </c>
      <c r="E414" s="65">
        <f>'COMPOSIÇÃO DE VALORES'!G414</f>
        <v>0</v>
      </c>
      <c r="F414" s="65">
        <f>'COMPOSIÇÃO DE VALORES'!H414</f>
        <v>0</v>
      </c>
      <c r="G414" s="66">
        <f>'COMPOSIÇÃO DE VALORES'!L414</f>
        <v>0</v>
      </c>
      <c r="H414" s="66">
        <f t="shared" si="12"/>
        <v>0</v>
      </c>
      <c r="I414" s="65">
        <f>'COMPOSIÇÃO DE VALORES'!M414</f>
        <v>0</v>
      </c>
    </row>
    <row r="415" spans="1:9" x14ac:dyDescent="0.3">
      <c r="A415" s="64">
        <v>405</v>
      </c>
      <c r="B415" s="65">
        <f>'COMPOSIÇÃO DE VALORES'!B415</f>
        <v>0</v>
      </c>
      <c r="C415" s="65">
        <f>'COMPOSIÇÃO DE VALORES'!C415</f>
        <v>0</v>
      </c>
      <c r="D415" s="65">
        <f>'COMPOSIÇÃO DE VALORES'!D415</f>
        <v>0</v>
      </c>
      <c r="E415" s="65">
        <f>'COMPOSIÇÃO DE VALORES'!G415</f>
        <v>0</v>
      </c>
      <c r="F415" s="65">
        <f>'COMPOSIÇÃO DE VALORES'!H415</f>
        <v>0</v>
      </c>
      <c r="G415" s="66">
        <f>'COMPOSIÇÃO DE VALORES'!L415</f>
        <v>0</v>
      </c>
      <c r="H415" s="66">
        <f t="shared" si="12"/>
        <v>0</v>
      </c>
      <c r="I415" s="65">
        <f>'COMPOSIÇÃO DE VALORES'!M415</f>
        <v>0</v>
      </c>
    </row>
    <row r="416" spans="1:9" x14ac:dyDescent="0.3">
      <c r="A416" s="64">
        <v>406</v>
      </c>
      <c r="B416" s="65">
        <f>'COMPOSIÇÃO DE VALORES'!B416</f>
        <v>0</v>
      </c>
      <c r="C416" s="65">
        <f>'COMPOSIÇÃO DE VALORES'!C416</f>
        <v>0</v>
      </c>
      <c r="D416" s="65">
        <f>'COMPOSIÇÃO DE VALORES'!D416</f>
        <v>0</v>
      </c>
      <c r="E416" s="65">
        <f>'COMPOSIÇÃO DE VALORES'!G416</f>
        <v>0</v>
      </c>
      <c r="F416" s="65">
        <f>'COMPOSIÇÃO DE VALORES'!H416</f>
        <v>0</v>
      </c>
      <c r="G416" s="66">
        <f>'COMPOSIÇÃO DE VALORES'!L416</f>
        <v>0</v>
      </c>
      <c r="H416" s="66">
        <f t="shared" si="12"/>
        <v>0</v>
      </c>
      <c r="I416" s="65">
        <f>'COMPOSIÇÃO DE VALORES'!M416</f>
        <v>0</v>
      </c>
    </row>
    <row r="417" spans="1:9" x14ac:dyDescent="0.3">
      <c r="A417" s="64">
        <v>407</v>
      </c>
      <c r="B417" s="65">
        <f>'COMPOSIÇÃO DE VALORES'!B417</f>
        <v>0</v>
      </c>
      <c r="C417" s="65">
        <f>'COMPOSIÇÃO DE VALORES'!C417</f>
        <v>0</v>
      </c>
      <c r="D417" s="65">
        <f>'COMPOSIÇÃO DE VALORES'!D417</f>
        <v>0</v>
      </c>
      <c r="E417" s="65">
        <f>'COMPOSIÇÃO DE VALORES'!G417</f>
        <v>0</v>
      </c>
      <c r="F417" s="65">
        <f>'COMPOSIÇÃO DE VALORES'!H417</f>
        <v>0</v>
      </c>
      <c r="G417" s="66">
        <f>'COMPOSIÇÃO DE VALORES'!L417</f>
        <v>0</v>
      </c>
      <c r="H417" s="66">
        <f t="shared" si="12"/>
        <v>0</v>
      </c>
      <c r="I417" s="65">
        <f>'COMPOSIÇÃO DE VALORES'!M417</f>
        <v>0</v>
      </c>
    </row>
    <row r="418" spans="1:9" x14ac:dyDescent="0.3">
      <c r="A418" s="64">
        <v>408</v>
      </c>
      <c r="B418" s="65">
        <f>'COMPOSIÇÃO DE VALORES'!B418</f>
        <v>0</v>
      </c>
      <c r="C418" s="65">
        <f>'COMPOSIÇÃO DE VALORES'!C418</f>
        <v>0</v>
      </c>
      <c r="D418" s="65">
        <f>'COMPOSIÇÃO DE VALORES'!D418</f>
        <v>0</v>
      </c>
      <c r="E418" s="65">
        <f>'COMPOSIÇÃO DE VALORES'!G418</f>
        <v>0</v>
      </c>
      <c r="F418" s="65">
        <f>'COMPOSIÇÃO DE VALORES'!H418</f>
        <v>0</v>
      </c>
      <c r="G418" s="66">
        <f>'COMPOSIÇÃO DE VALORES'!L418</f>
        <v>0</v>
      </c>
      <c r="H418" s="66">
        <f t="shared" si="12"/>
        <v>0</v>
      </c>
      <c r="I418" s="65">
        <f>'COMPOSIÇÃO DE VALORES'!M418</f>
        <v>0</v>
      </c>
    </row>
    <row r="419" spans="1:9" x14ac:dyDescent="0.3">
      <c r="A419" s="64">
        <v>409</v>
      </c>
      <c r="B419" s="65">
        <f>'COMPOSIÇÃO DE VALORES'!B419</f>
        <v>0</v>
      </c>
      <c r="C419" s="65">
        <f>'COMPOSIÇÃO DE VALORES'!C419</f>
        <v>0</v>
      </c>
      <c r="D419" s="65">
        <f>'COMPOSIÇÃO DE VALORES'!D419</f>
        <v>0</v>
      </c>
      <c r="E419" s="65">
        <f>'COMPOSIÇÃO DE VALORES'!G419</f>
        <v>0</v>
      </c>
      <c r="F419" s="65">
        <f>'COMPOSIÇÃO DE VALORES'!H419</f>
        <v>0</v>
      </c>
      <c r="G419" s="66">
        <f>'COMPOSIÇÃO DE VALORES'!L419</f>
        <v>0</v>
      </c>
      <c r="H419" s="66">
        <f t="shared" si="12"/>
        <v>0</v>
      </c>
      <c r="I419" s="65">
        <f>'COMPOSIÇÃO DE VALORES'!M419</f>
        <v>0</v>
      </c>
    </row>
    <row r="420" spans="1:9" x14ac:dyDescent="0.3">
      <c r="A420" s="64">
        <v>410</v>
      </c>
      <c r="B420" s="65">
        <f>'COMPOSIÇÃO DE VALORES'!B420</f>
        <v>0</v>
      </c>
      <c r="C420" s="65">
        <f>'COMPOSIÇÃO DE VALORES'!C420</f>
        <v>0</v>
      </c>
      <c r="D420" s="65">
        <f>'COMPOSIÇÃO DE VALORES'!D420</f>
        <v>0</v>
      </c>
      <c r="E420" s="65">
        <f>'COMPOSIÇÃO DE VALORES'!G420</f>
        <v>0</v>
      </c>
      <c r="F420" s="65">
        <f>'COMPOSIÇÃO DE VALORES'!H420</f>
        <v>0</v>
      </c>
      <c r="G420" s="66">
        <f>'COMPOSIÇÃO DE VALORES'!L420</f>
        <v>0</v>
      </c>
      <c r="H420" s="66">
        <f t="shared" si="12"/>
        <v>0</v>
      </c>
      <c r="I420" s="65">
        <f>'COMPOSIÇÃO DE VALORES'!M420</f>
        <v>0</v>
      </c>
    </row>
    <row r="421" spans="1:9" x14ac:dyDescent="0.3">
      <c r="A421" s="64">
        <v>411</v>
      </c>
      <c r="B421" s="65">
        <f>'COMPOSIÇÃO DE VALORES'!B421</f>
        <v>0</v>
      </c>
      <c r="C421" s="65">
        <f>'COMPOSIÇÃO DE VALORES'!C421</f>
        <v>0</v>
      </c>
      <c r="D421" s="65">
        <f>'COMPOSIÇÃO DE VALORES'!D421</f>
        <v>0</v>
      </c>
      <c r="E421" s="65">
        <f>'COMPOSIÇÃO DE VALORES'!G421</f>
        <v>0</v>
      </c>
      <c r="F421" s="65">
        <f>'COMPOSIÇÃO DE VALORES'!H421</f>
        <v>0</v>
      </c>
      <c r="G421" s="66">
        <f>'COMPOSIÇÃO DE VALORES'!L421</f>
        <v>0</v>
      </c>
      <c r="H421" s="66">
        <f t="shared" si="12"/>
        <v>0</v>
      </c>
      <c r="I421" s="65">
        <f>'COMPOSIÇÃO DE VALORES'!M421</f>
        <v>0</v>
      </c>
    </row>
    <row r="422" spans="1:9" x14ac:dyDescent="0.3">
      <c r="A422" s="64">
        <v>412</v>
      </c>
      <c r="B422" s="65">
        <f>'COMPOSIÇÃO DE VALORES'!B422</f>
        <v>0</v>
      </c>
      <c r="C422" s="65">
        <f>'COMPOSIÇÃO DE VALORES'!C422</f>
        <v>0</v>
      </c>
      <c r="D422" s="65">
        <f>'COMPOSIÇÃO DE VALORES'!D422</f>
        <v>0</v>
      </c>
      <c r="E422" s="65">
        <f>'COMPOSIÇÃO DE VALORES'!G422</f>
        <v>0</v>
      </c>
      <c r="F422" s="65">
        <f>'COMPOSIÇÃO DE VALORES'!H422</f>
        <v>0</v>
      </c>
      <c r="G422" s="66">
        <f>'COMPOSIÇÃO DE VALORES'!L422</f>
        <v>0</v>
      </c>
      <c r="H422" s="66">
        <f t="shared" si="12"/>
        <v>0</v>
      </c>
      <c r="I422" s="65">
        <f>'COMPOSIÇÃO DE VALORES'!M422</f>
        <v>0</v>
      </c>
    </row>
    <row r="423" spans="1:9" x14ac:dyDescent="0.3">
      <c r="A423" s="64">
        <v>413</v>
      </c>
      <c r="B423" s="65">
        <f>'COMPOSIÇÃO DE VALORES'!B423</f>
        <v>0</v>
      </c>
      <c r="C423" s="65">
        <f>'COMPOSIÇÃO DE VALORES'!C423</f>
        <v>0</v>
      </c>
      <c r="D423" s="65">
        <f>'COMPOSIÇÃO DE VALORES'!D423</f>
        <v>0</v>
      </c>
      <c r="E423" s="65">
        <f>'COMPOSIÇÃO DE VALORES'!G423</f>
        <v>0</v>
      </c>
      <c r="F423" s="65">
        <f>'COMPOSIÇÃO DE VALORES'!H423</f>
        <v>0</v>
      </c>
      <c r="G423" s="66">
        <f>'COMPOSIÇÃO DE VALORES'!L423</f>
        <v>0</v>
      </c>
      <c r="H423" s="66">
        <f t="shared" si="12"/>
        <v>0</v>
      </c>
      <c r="I423" s="65">
        <f>'COMPOSIÇÃO DE VALORES'!M423</f>
        <v>0</v>
      </c>
    </row>
    <row r="424" spans="1:9" x14ac:dyDescent="0.3">
      <c r="A424" s="64">
        <v>414</v>
      </c>
      <c r="B424" s="65">
        <f>'COMPOSIÇÃO DE VALORES'!B424</f>
        <v>0</v>
      </c>
      <c r="C424" s="65">
        <f>'COMPOSIÇÃO DE VALORES'!C424</f>
        <v>0</v>
      </c>
      <c r="D424" s="65">
        <f>'COMPOSIÇÃO DE VALORES'!D424</f>
        <v>0</v>
      </c>
      <c r="E424" s="65">
        <f>'COMPOSIÇÃO DE VALORES'!G424</f>
        <v>0</v>
      </c>
      <c r="F424" s="65">
        <f>'COMPOSIÇÃO DE VALORES'!H424</f>
        <v>0</v>
      </c>
      <c r="G424" s="66">
        <f>'COMPOSIÇÃO DE VALORES'!L424</f>
        <v>0</v>
      </c>
      <c r="H424" s="66">
        <f t="shared" si="12"/>
        <v>0</v>
      </c>
      <c r="I424" s="65">
        <f>'COMPOSIÇÃO DE VALORES'!M424</f>
        <v>0</v>
      </c>
    </row>
    <row r="425" spans="1:9" x14ac:dyDescent="0.3">
      <c r="A425" s="64">
        <v>415</v>
      </c>
      <c r="B425" s="65">
        <f>'COMPOSIÇÃO DE VALORES'!B425</f>
        <v>0</v>
      </c>
      <c r="C425" s="65">
        <f>'COMPOSIÇÃO DE VALORES'!C425</f>
        <v>0</v>
      </c>
      <c r="D425" s="65">
        <f>'COMPOSIÇÃO DE VALORES'!D425</f>
        <v>0</v>
      </c>
      <c r="E425" s="65">
        <f>'COMPOSIÇÃO DE VALORES'!G425</f>
        <v>0</v>
      </c>
      <c r="F425" s="65">
        <f>'COMPOSIÇÃO DE VALORES'!H425</f>
        <v>0</v>
      </c>
      <c r="G425" s="66">
        <f>'COMPOSIÇÃO DE VALORES'!L425</f>
        <v>0</v>
      </c>
      <c r="H425" s="66">
        <f t="shared" si="12"/>
        <v>0</v>
      </c>
      <c r="I425" s="65">
        <f>'COMPOSIÇÃO DE VALORES'!M425</f>
        <v>0</v>
      </c>
    </row>
    <row r="426" spans="1:9" x14ac:dyDescent="0.3">
      <c r="A426" s="64">
        <v>416</v>
      </c>
      <c r="B426" s="65">
        <f>'COMPOSIÇÃO DE VALORES'!B426</f>
        <v>0</v>
      </c>
      <c r="C426" s="65">
        <f>'COMPOSIÇÃO DE VALORES'!C426</f>
        <v>0</v>
      </c>
      <c r="D426" s="65">
        <f>'COMPOSIÇÃO DE VALORES'!D426</f>
        <v>0</v>
      </c>
      <c r="E426" s="65">
        <f>'COMPOSIÇÃO DE VALORES'!G426</f>
        <v>0</v>
      </c>
      <c r="F426" s="65">
        <f>'COMPOSIÇÃO DE VALORES'!H426</f>
        <v>0</v>
      </c>
      <c r="G426" s="66">
        <f>'COMPOSIÇÃO DE VALORES'!L426</f>
        <v>0</v>
      </c>
      <c r="H426" s="66">
        <f t="shared" si="12"/>
        <v>0</v>
      </c>
      <c r="I426" s="65">
        <f>'COMPOSIÇÃO DE VALORES'!M426</f>
        <v>0</v>
      </c>
    </row>
    <row r="427" spans="1:9" x14ac:dyDescent="0.3">
      <c r="A427" s="64">
        <v>417</v>
      </c>
      <c r="B427" s="65">
        <f>'COMPOSIÇÃO DE VALORES'!B427</f>
        <v>0</v>
      </c>
      <c r="C427" s="65">
        <f>'COMPOSIÇÃO DE VALORES'!C427</f>
        <v>0</v>
      </c>
      <c r="D427" s="65">
        <f>'COMPOSIÇÃO DE VALORES'!D427</f>
        <v>0</v>
      </c>
      <c r="E427" s="65">
        <f>'COMPOSIÇÃO DE VALORES'!G427</f>
        <v>0</v>
      </c>
      <c r="F427" s="65">
        <f>'COMPOSIÇÃO DE VALORES'!H427</f>
        <v>0</v>
      </c>
      <c r="G427" s="66">
        <f>'COMPOSIÇÃO DE VALORES'!L427</f>
        <v>0</v>
      </c>
      <c r="H427" s="66">
        <f t="shared" si="12"/>
        <v>0</v>
      </c>
      <c r="I427" s="65">
        <f>'COMPOSIÇÃO DE VALORES'!M427</f>
        <v>0</v>
      </c>
    </row>
    <row r="428" spans="1:9" x14ac:dyDescent="0.3">
      <c r="A428" s="64">
        <v>418</v>
      </c>
      <c r="B428" s="65">
        <f>'COMPOSIÇÃO DE VALORES'!B428</f>
        <v>0</v>
      </c>
      <c r="C428" s="65">
        <f>'COMPOSIÇÃO DE VALORES'!C428</f>
        <v>0</v>
      </c>
      <c r="D428" s="65">
        <f>'COMPOSIÇÃO DE VALORES'!D428</f>
        <v>0</v>
      </c>
      <c r="E428" s="65">
        <f>'COMPOSIÇÃO DE VALORES'!G428</f>
        <v>0</v>
      </c>
      <c r="F428" s="65">
        <f>'COMPOSIÇÃO DE VALORES'!H428</f>
        <v>0</v>
      </c>
      <c r="G428" s="66">
        <f>'COMPOSIÇÃO DE VALORES'!L428</f>
        <v>0</v>
      </c>
      <c r="H428" s="66">
        <f t="shared" si="12"/>
        <v>0</v>
      </c>
      <c r="I428" s="65">
        <f>'COMPOSIÇÃO DE VALORES'!M428</f>
        <v>0</v>
      </c>
    </row>
    <row r="429" spans="1:9" x14ac:dyDescent="0.3">
      <c r="A429" s="64">
        <v>419</v>
      </c>
      <c r="B429" s="65">
        <f>'COMPOSIÇÃO DE VALORES'!B429</f>
        <v>0</v>
      </c>
      <c r="C429" s="65">
        <f>'COMPOSIÇÃO DE VALORES'!C429</f>
        <v>0</v>
      </c>
      <c r="D429" s="65">
        <f>'COMPOSIÇÃO DE VALORES'!D429</f>
        <v>0</v>
      </c>
      <c r="E429" s="65">
        <f>'COMPOSIÇÃO DE VALORES'!G429</f>
        <v>0</v>
      </c>
      <c r="F429" s="65">
        <f>'COMPOSIÇÃO DE VALORES'!H429</f>
        <v>0</v>
      </c>
      <c r="G429" s="66">
        <f>'COMPOSIÇÃO DE VALORES'!L429</f>
        <v>0</v>
      </c>
      <c r="H429" s="66">
        <f t="shared" si="12"/>
        <v>0</v>
      </c>
      <c r="I429" s="65">
        <f>'COMPOSIÇÃO DE VALORES'!M429</f>
        <v>0</v>
      </c>
    </row>
    <row r="430" spans="1:9" x14ac:dyDescent="0.3">
      <c r="A430" s="64">
        <v>420</v>
      </c>
      <c r="B430" s="65">
        <f>'COMPOSIÇÃO DE VALORES'!B430</f>
        <v>0</v>
      </c>
      <c r="C430" s="65">
        <f>'COMPOSIÇÃO DE VALORES'!C430</f>
        <v>0</v>
      </c>
      <c r="D430" s="65">
        <f>'COMPOSIÇÃO DE VALORES'!D430</f>
        <v>0</v>
      </c>
      <c r="E430" s="65">
        <f>'COMPOSIÇÃO DE VALORES'!G430</f>
        <v>0</v>
      </c>
      <c r="F430" s="65">
        <f>'COMPOSIÇÃO DE VALORES'!H430</f>
        <v>0</v>
      </c>
      <c r="G430" s="66">
        <f>'COMPOSIÇÃO DE VALORES'!L430</f>
        <v>0</v>
      </c>
      <c r="H430" s="66">
        <f t="shared" si="12"/>
        <v>0</v>
      </c>
      <c r="I430" s="65">
        <f>'COMPOSIÇÃO DE VALORES'!M430</f>
        <v>0</v>
      </c>
    </row>
    <row r="431" spans="1:9" x14ac:dyDescent="0.3">
      <c r="A431" s="64">
        <v>421</v>
      </c>
      <c r="B431" s="65">
        <f>'COMPOSIÇÃO DE VALORES'!B431</f>
        <v>0</v>
      </c>
      <c r="C431" s="65">
        <f>'COMPOSIÇÃO DE VALORES'!C431</f>
        <v>0</v>
      </c>
      <c r="D431" s="65">
        <f>'COMPOSIÇÃO DE VALORES'!D431</f>
        <v>0</v>
      </c>
      <c r="E431" s="65">
        <f>'COMPOSIÇÃO DE VALORES'!G431</f>
        <v>0</v>
      </c>
      <c r="F431" s="65">
        <f>'COMPOSIÇÃO DE VALORES'!H431</f>
        <v>0</v>
      </c>
      <c r="G431" s="66">
        <f>'COMPOSIÇÃO DE VALORES'!L431</f>
        <v>0</v>
      </c>
      <c r="H431" s="66">
        <f t="shared" si="12"/>
        <v>0</v>
      </c>
      <c r="I431" s="65">
        <f>'COMPOSIÇÃO DE VALORES'!M431</f>
        <v>0</v>
      </c>
    </row>
    <row r="432" spans="1:9" x14ac:dyDescent="0.3">
      <c r="A432" s="64">
        <v>422</v>
      </c>
      <c r="B432" s="65">
        <f>'COMPOSIÇÃO DE VALORES'!B432</f>
        <v>0</v>
      </c>
      <c r="C432" s="65">
        <f>'COMPOSIÇÃO DE VALORES'!C432</f>
        <v>0</v>
      </c>
      <c r="D432" s="65">
        <f>'COMPOSIÇÃO DE VALORES'!D432</f>
        <v>0</v>
      </c>
      <c r="E432" s="65">
        <f>'COMPOSIÇÃO DE VALORES'!G432</f>
        <v>0</v>
      </c>
      <c r="F432" s="65">
        <f>'COMPOSIÇÃO DE VALORES'!H432</f>
        <v>0</v>
      </c>
      <c r="G432" s="66">
        <f>'COMPOSIÇÃO DE VALORES'!L432</f>
        <v>0</v>
      </c>
      <c r="H432" s="66">
        <f t="shared" si="12"/>
        <v>0</v>
      </c>
      <c r="I432" s="65">
        <f>'COMPOSIÇÃO DE VALORES'!M432</f>
        <v>0</v>
      </c>
    </row>
    <row r="433" spans="1:9" x14ac:dyDescent="0.3">
      <c r="A433" s="64">
        <v>423</v>
      </c>
      <c r="B433" s="65">
        <f>'COMPOSIÇÃO DE VALORES'!B433</f>
        <v>0</v>
      </c>
      <c r="C433" s="65">
        <f>'COMPOSIÇÃO DE VALORES'!C433</f>
        <v>0</v>
      </c>
      <c r="D433" s="65">
        <f>'COMPOSIÇÃO DE VALORES'!D433</f>
        <v>0</v>
      </c>
      <c r="E433" s="65">
        <f>'COMPOSIÇÃO DE VALORES'!G433</f>
        <v>0</v>
      </c>
      <c r="F433" s="65">
        <f>'COMPOSIÇÃO DE VALORES'!H433</f>
        <v>0</v>
      </c>
      <c r="G433" s="66">
        <f>'COMPOSIÇÃO DE VALORES'!L433</f>
        <v>0</v>
      </c>
      <c r="H433" s="66">
        <f t="shared" si="12"/>
        <v>0</v>
      </c>
      <c r="I433" s="65">
        <f>'COMPOSIÇÃO DE VALORES'!M433</f>
        <v>0</v>
      </c>
    </row>
    <row r="434" spans="1:9" x14ac:dyDescent="0.3">
      <c r="A434" s="64">
        <v>424</v>
      </c>
      <c r="B434" s="65">
        <f>'COMPOSIÇÃO DE VALORES'!B434</f>
        <v>0</v>
      </c>
      <c r="C434" s="65">
        <f>'COMPOSIÇÃO DE VALORES'!C434</f>
        <v>0</v>
      </c>
      <c r="D434" s="65">
        <f>'COMPOSIÇÃO DE VALORES'!D434</f>
        <v>0</v>
      </c>
      <c r="E434" s="65">
        <f>'COMPOSIÇÃO DE VALORES'!G434</f>
        <v>0</v>
      </c>
      <c r="F434" s="65">
        <f>'COMPOSIÇÃO DE VALORES'!H434</f>
        <v>0</v>
      </c>
      <c r="G434" s="66">
        <f>'COMPOSIÇÃO DE VALORES'!L434</f>
        <v>0</v>
      </c>
      <c r="H434" s="66">
        <f t="shared" si="12"/>
        <v>0</v>
      </c>
      <c r="I434" s="65">
        <f>'COMPOSIÇÃO DE VALORES'!M434</f>
        <v>0</v>
      </c>
    </row>
    <row r="435" spans="1:9" x14ac:dyDescent="0.3">
      <c r="A435" s="64">
        <v>425</v>
      </c>
      <c r="B435" s="65">
        <f>'COMPOSIÇÃO DE VALORES'!B435</f>
        <v>0</v>
      </c>
      <c r="C435" s="65">
        <f>'COMPOSIÇÃO DE VALORES'!C435</f>
        <v>0</v>
      </c>
      <c r="D435" s="65">
        <f>'COMPOSIÇÃO DE VALORES'!D435</f>
        <v>0</v>
      </c>
      <c r="E435" s="65">
        <f>'COMPOSIÇÃO DE VALORES'!G435</f>
        <v>0</v>
      </c>
      <c r="F435" s="65">
        <f>'COMPOSIÇÃO DE VALORES'!H435</f>
        <v>0</v>
      </c>
      <c r="G435" s="66">
        <f>'COMPOSIÇÃO DE VALORES'!L435</f>
        <v>0</v>
      </c>
      <c r="H435" s="66">
        <f t="shared" si="12"/>
        <v>0</v>
      </c>
      <c r="I435" s="65">
        <f>'COMPOSIÇÃO DE VALORES'!M435</f>
        <v>0</v>
      </c>
    </row>
    <row r="436" spans="1:9" x14ac:dyDescent="0.3">
      <c r="A436" s="64">
        <v>426</v>
      </c>
      <c r="B436" s="65">
        <f>'COMPOSIÇÃO DE VALORES'!B436</f>
        <v>0</v>
      </c>
      <c r="C436" s="65">
        <f>'COMPOSIÇÃO DE VALORES'!C436</f>
        <v>0</v>
      </c>
      <c r="D436" s="65">
        <f>'COMPOSIÇÃO DE VALORES'!D436</f>
        <v>0</v>
      </c>
      <c r="E436" s="65">
        <f>'COMPOSIÇÃO DE VALORES'!G436</f>
        <v>0</v>
      </c>
      <c r="F436" s="65">
        <f>'COMPOSIÇÃO DE VALORES'!H436</f>
        <v>0</v>
      </c>
      <c r="G436" s="66">
        <f>'COMPOSIÇÃO DE VALORES'!L436</f>
        <v>0</v>
      </c>
      <c r="H436" s="66">
        <f t="shared" si="12"/>
        <v>0</v>
      </c>
      <c r="I436" s="65">
        <f>'COMPOSIÇÃO DE VALORES'!M436</f>
        <v>0</v>
      </c>
    </row>
    <row r="437" spans="1:9" x14ac:dyDescent="0.3">
      <c r="A437" s="64">
        <v>427</v>
      </c>
      <c r="B437" s="65">
        <f>'COMPOSIÇÃO DE VALORES'!B437</f>
        <v>0</v>
      </c>
      <c r="C437" s="65">
        <f>'COMPOSIÇÃO DE VALORES'!C437</f>
        <v>0</v>
      </c>
      <c r="D437" s="65">
        <f>'COMPOSIÇÃO DE VALORES'!D437</f>
        <v>0</v>
      </c>
      <c r="E437" s="65">
        <f>'COMPOSIÇÃO DE VALORES'!G437</f>
        <v>0</v>
      </c>
      <c r="F437" s="65">
        <f>'COMPOSIÇÃO DE VALORES'!H437</f>
        <v>0</v>
      </c>
      <c r="G437" s="66">
        <f>'COMPOSIÇÃO DE VALORES'!L437</f>
        <v>0</v>
      </c>
      <c r="H437" s="66">
        <f t="shared" si="12"/>
        <v>0</v>
      </c>
      <c r="I437" s="65">
        <f>'COMPOSIÇÃO DE VALORES'!M437</f>
        <v>0</v>
      </c>
    </row>
    <row r="438" spans="1:9" x14ac:dyDescent="0.3">
      <c r="A438" s="64">
        <v>428</v>
      </c>
      <c r="B438" s="65">
        <f>'COMPOSIÇÃO DE VALORES'!B438</f>
        <v>0</v>
      </c>
      <c r="C438" s="65">
        <f>'COMPOSIÇÃO DE VALORES'!C438</f>
        <v>0</v>
      </c>
      <c r="D438" s="65">
        <f>'COMPOSIÇÃO DE VALORES'!D438</f>
        <v>0</v>
      </c>
      <c r="E438" s="65">
        <f>'COMPOSIÇÃO DE VALORES'!G438</f>
        <v>0</v>
      </c>
      <c r="F438" s="65">
        <f>'COMPOSIÇÃO DE VALORES'!H438</f>
        <v>0</v>
      </c>
      <c r="G438" s="66">
        <f>'COMPOSIÇÃO DE VALORES'!L438</f>
        <v>0</v>
      </c>
      <c r="H438" s="66">
        <f t="shared" si="12"/>
        <v>0</v>
      </c>
      <c r="I438" s="65">
        <f>'COMPOSIÇÃO DE VALORES'!M438</f>
        <v>0</v>
      </c>
    </row>
    <row r="439" spans="1:9" x14ac:dyDescent="0.3">
      <c r="A439" s="64">
        <v>429</v>
      </c>
      <c r="B439" s="65">
        <f>'COMPOSIÇÃO DE VALORES'!B439</f>
        <v>0</v>
      </c>
      <c r="C439" s="65">
        <f>'COMPOSIÇÃO DE VALORES'!C439</f>
        <v>0</v>
      </c>
      <c r="D439" s="65">
        <f>'COMPOSIÇÃO DE VALORES'!D439</f>
        <v>0</v>
      </c>
      <c r="E439" s="65">
        <f>'COMPOSIÇÃO DE VALORES'!G439</f>
        <v>0</v>
      </c>
      <c r="F439" s="65">
        <f>'COMPOSIÇÃO DE VALORES'!H439</f>
        <v>0</v>
      </c>
      <c r="G439" s="66">
        <f>'COMPOSIÇÃO DE VALORES'!L439</f>
        <v>0</v>
      </c>
      <c r="H439" s="66">
        <f t="shared" si="12"/>
        <v>0</v>
      </c>
      <c r="I439" s="65">
        <f>'COMPOSIÇÃO DE VALORES'!M439</f>
        <v>0</v>
      </c>
    </row>
    <row r="440" spans="1:9" x14ac:dyDescent="0.3">
      <c r="A440" s="64">
        <v>430</v>
      </c>
      <c r="B440" s="65">
        <f>'COMPOSIÇÃO DE VALORES'!B440</f>
        <v>0</v>
      </c>
      <c r="C440" s="65">
        <f>'COMPOSIÇÃO DE VALORES'!C440</f>
        <v>0</v>
      </c>
      <c r="D440" s="65">
        <f>'COMPOSIÇÃO DE VALORES'!D440</f>
        <v>0</v>
      </c>
      <c r="E440" s="65">
        <f>'COMPOSIÇÃO DE VALORES'!G440</f>
        <v>0</v>
      </c>
      <c r="F440" s="65">
        <f>'COMPOSIÇÃO DE VALORES'!H440</f>
        <v>0</v>
      </c>
      <c r="G440" s="66">
        <f>'COMPOSIÇÃO DE VALORES'!L440</f>
        <v>0</v>
      </c>
      <c r="H440" s="66">
        <f t="shared" si="12"/>
        <v>0</v>
      </c>
      <c r="I440" s="65">
        <f>'COMPOSIÇÃO DE VALORES'!M440</f>
        <v>0</v>
      </c>
    </row>
    <row r="441" spans="1:9" x14ac:dyDescent="0.3">
      <c r="A441" s="64">
        <v>431</v>
      </c>
      <c r="B441" s="65">
        <f>'COMPOSIÇÃO DE VALORES'!B441</f>
        <v>0</v>
      </c>
      <c r="C441" s="65">
        <f>'COMPOSIÇÃO DE VALORES'!C441</f>
        <v>0</v>
      </c>
      <c r="D441" s="65">
        <f>'COMPOSIÇÃO DE VALORES'!D441</f>
        <v>0</v>
      </c>
      <c r="E441" s="65">
        <f>'COMPOSIÇÃO DE VALORES'!G441</f>
        <v>0</v>
      </c>
      <c r="F441" s="65">
        <f>'COMPOSIÇÃO DE VALORES'!H441</f>
        <v>0</v>
      </c>
      <c r="G441" s="66">
        <f>'COMPOSIÇÃO DE VALORES'!L441</f>
        <v>0</v>
      </c>
      <c r="H441" s="66">
        <f>G441*B441</f>
        <v>0</v>
      </c>
      <c r="I441" s="65">
        <f>'COMPOSIÇÃO DE VALORES'!M441</f>
        <v>0</v>
      </c>
    </row>
    <row r="442" spans="1:9" x14ac:dyDescent="0.3">
      <c r="A442" s="64">
        <v>432</v>
      </c>
      <c r="B442" s="65">
        <f>'COMPOSIÇÃO DE VALORES'!B442</f>
        <v>0</v>
      </c>
      <c r="C442" s="65">
        <f>'COMPOSIÇÃO DE VALORES'!C442</f>
        <v>0</v>
      </c>
      <c r="D442" s="65">
        <f>'COMPOSIÇÃO DE VALORES'!D442</f>
        <v>0</v>
      </c>
      <c r="E442" s="65">
        <f>'COMPOSIÇÃO DE VALORES'!G442</f>
        <v>0</v>
      </c>
      <c r="F442" s="65">
        <f>'COMPOSIÇÃO DE VALORES'!H442</f>
        <v>0</v>
      </c>
      <c r="G442" s="66">
        <f>'COMPOSIÇÃO DE VALORES'!L442</f>
        <v>0</v>
      </c>
      <c r="H442" s="66">
        <f t="shared" ref="H442:H464" si="13">G442*B442</f>
        <v>0</v>
      </c>
      <c r="I442" s="65">
        <f>'COMPOSIÇÃO DE VALORES'!M442</f>
        <v>0</v>
      </c>
    </row>
    <row r="443" spans="1:9" x14ac:dyDescent="0.3">
      <c r="A443" s="64">
        <v>433</v>
      </c>
      <c r="B443" s="65">
        <f>'COMPOSIÇÃO DE VALORES'!B443</f>
        <v>0</v>
      </c>
      <c r="C443" s="65">
        <f>'COMPOSIÇÃO DE VALORES'!C443</f>
        <v>0</v>
      </c>
      <c r="D443" s="65">
        <f>'COMPOSIÇÃO DE VALORES'!D443</f>
        <v>0</v>
      </c>
      <c r="E443" s="65">
        <f>'COMPOSIÇÃO DE VALORES'!G443</f>
        <v>0</v>
      </c>
      <c r="F443" s="65">
        <f>'COMPOSIÇÃO DE VALORES'!H443</f>
        <v>0</v>
      </c>
      <c r="G443" s="66">
        <f>'COMPOSIÇÃO DE VALORES'!L443</f>
        <v>0</v>
      </c>
      <c r="H443" s="66">
        <f t="shared" si="13"/>
        <v>0</v>
      </c>
      <c r="I443" s="65">
        <f>'COMPOSIÇÃO DE VALORES'!M443</f>
        <v>0</v>
      </c>
    </row>
    <row r="444" spans="1:9" x14ac:dyDescent="0.3">
      <c r="A444" s="64">
        <v>434</v>
      </c>
      <c r="B444" s="65">
        <f>'COMPOSIÇÃO DE VALORES'!B444</f>
        <v>0</v>
      </c>
      <c r="C444" s="65">
        <f>'COMPOSIÇÃO DE VALORES'!C444</f>
        <v>0</v>
      </c>
      <c r="D444" s="65">
        <f>'COMPOSIÇÃO DE VALORES'!D444</f>
        <v>0</v>
      </c>
      <c r="E444" s="65">
        <f>'COMPOSIÇÃO DE VALORES'!G444</f>
        <v>0</v>
      </c>
      <c r="F444" s="65">
        <f>'COMPOSIÇÃO DE VALORES'!H444</f>
        <v>0</v>
      </c>
      <c r="G444" s="66">
        <f>'COMPOSIÇÃO DE VALORES'!L444</f>
        <v>0</v>
      </c>
      <c r="H444" s="66">
        <f t="shared" si="13"/>
        <v>0</v>
      </c>
      <c r="I444" s="65">
        <f>'COMPOSIÇÃO DE VALORES'!M444</f>
        <v>0</v>
      </c>
    </row>
    <row r="445" spans="1:9" x14ac:dyDescent="0.3">
      <c r="A445" s="64">
        <v>435</v>
      </c>
      <c r="B445" s="65">
        <f>'COMPOSIÇÃO DE VALORES'!B445</f>
        <v>0</v>
      </c>
      <c r="C445" s="65">
        <f>'COMPOSIÇÃO DE VALORES'!C445</f>
        <v>0</v>
      </c>
      <c r="D445" s="65">
        <f>'COMPOSIÇÃO DE VALORES'!D445</f>
        <v>0</v>
      </c>
      <c r="E445" s="65">
        <f>'COMPOSIÇÃO DE VALORES'!G445</f>
        <v>0</v>
      </c>
      <c r="F445" s="65">
        <f>'COMPOSIÇÃO DE VALORES'!H445</f>
        <v>0</v>
      </c>
      <c r="G445" s="66">
        <f>'COMPOSIÇÃO DE VALORES'!L445</f>
        <v>0</v>
      </c>
      <c r="H445" s="66">
        <f t="shared" si="13"/>
        <v>0</v>
      </c>
      <c r="I445" s="65">
        <f>'COMPOSIÇÃO DE VALORES'!M445</f>
        <v>0</v>
      </c>
    </row>
    <row r="446" spans="1:9" x14ac:dyDescent="0.3">
      <c r="A446" s="64">
        <v>436</v>
      </c>
      <c r="B446" s="65">
        <f>'COMPOSIÇÃO DE VALORES'!B446</f>
        <v>0</v>
      </c>
      <c r="C446" s="65">
        <f>'COMPOSIÇÃO DE VALORES'!C446</f>
        <v>0</v>
      </c>
      <c r="D446" s="65">
        <f>'COMPOSIÇÃO DE VALORES'!D446</f>
        <v>0</v>
      </c>
      <c r="E446" s="65">
        <f>'COMPOSIÇÃO DE VALORES'!G446</f>
        <v>0</v>
      </c>
      <c r="F446" s="65">
        <f>'COMPOSIÇÃO DE VALORES'!H446</f>
        <v>0</v>
      </c>
      <c r="G446" s="66">
        <f>'COMPOSIÇÃO DE VALORES'!L446</f>
        <v>0</v>
      </c>
      <c r="H446" s="66">
        <f t="shared" si="13"/>
        <v>0</v>
      </c>
      <c r="I446" s="65">
        <f>'COMPOSIÇÃO DE VALORES'!M446</f>
        <v>0</v>
      </c>
    </row>
    <row r="447" spans="1:9" x14ac:dyDescent="0.3">
      <c r="A447" s="64">
        <v>437</v>
      </c>
      <c r="B447" s="65">
        <f>'COMPOSIÇÃO DE VALORES'!B447</f>
        <v>0</v>
      </c>
      <c r="C447" s="65">
        <f>'COMPOSIÇÃO DE VALORES'!C447</f>
        <v>0</v>
      </c>
      <c r="D447" s="65">
        <f>'COMPOSIÇÃO DE VALORES'!D447</f>
        <v>0</v>
      </c>
      <c r="E447" s="65">
        <f>'COMPOSIÇÃO DE VALORES'!G447</f>
        <v>0</v>
      </c>
      <c r="F447" s="65">
        <f>'COMPOSIÇÃO DE VALORES'!H447</f>
        <v>0</v>
      </c>
      <c r="G447" s="66">
        <f>'COMPOSIÇÃO DE VALORES'!L447</f>
        <v>0</v>
      </c>
      <c r="H447" s="66">
        <f t="shared" si="13"/>
        <v>0</v>
      </c>
      <c r="I447" s="65">
        <f>'COMPOSIÇÃO DE VALORES'!M447</f>
        <v>0</v>
      </c>
    </row>
    <row r="448" spans="1:9" x14ac:dyDescent="0.3">
      <c r="A448" s="64">
        <v>438</v>
      </c>
      <c r="B448" s="65">
        <f>'COMPOSIÇÃO DE VALORES'!B448</f>
        <v>0</v>
      </c>
      <c r="C448" s="65">
        <f>'COMPOSIÇÃO DE VALORES'!C448</f>
        <v>0</v>
      </c>
      <c r="D448" s="65">
        <f>'COMPOSIÇÃO DE VALORES'!D448</f>
        <v>0</v>
      </c>
      <c r="E448" s="65">
        <f>'COMPOSIÇÃO DE VALORES'!G448</f>
        <v>0</v>
      </c>
      <c r="F448" s="65">
        <f>'COMPOSIÇÃO DE VALORES'!H448</f>
        <v>0</v>
      </c>
      <c r="G448" s="66">
        <f>'COMPOSIÇÃO DE VALORES'!L448</f>
        <v>0</v>
      </c>
      <c r="H448" s="66">
        <f t="shared" si="13"/>
        <v>0</v>
      </c>
      <c r="I448" s="65">
        <f>'COMPOSIÇÃO DE VALORES'!M448</f>
        <v>0</v>
      </c>
    </row>
    <row r="449" spans="1:9" x14ac:dyDescent="0.3">
      <c r="A449" s="64">
        <v>439</v>
      </c>
      <c r="B449" s="65">
        <f>'COMPOSIÇÃO DE VALORES'!B449</f>
        <v>0</v>
      </c>
      <c r="C449" s="65">
        <f>'COMPOSIÇÃO DE VALORES'!C449</f>
        <v>0</v>
      </c>
      <c r="D449" s="65">
        <f>'COMPOSIÇÃO DE VALORES'!D449</f>
        <v>0</v>
      </c>
      <c r="E449" s="65">
        <f>'COMPOSIÇÃO DE VALORES'!G449</f>
        <v>0</v>
      </c>
      <c r="F449" s="65">
        <f>'COMPOSIÇÃO DE VALORES'!H449</f>
        <v>0</v>
      </c>
      <c r="G449" s="66">
        <f>'COMPOSIÇÃO DE VALORES'!L449</f>
        <v>0</v>
      </c>
      <c r="H449" s="66">
        <f t="shared" si="13"/>
        <v>0</v>
      </c>
      <c r="I449" s="65">
        <f>'COMPOSIÇÃO DE VALORES'!M449</f>
        <v>0</v>
      </c>
    </row>
    <row r="450" spans="1:9" x14ac:dyDescent="0.3">
      <c r="A450" s="64">
        <v>440</v>
      </c>
      <c r="B450" s="65">
        <f>'COMPOSIÇÃO DE VALORES'!B450</f>
        <v>0</v>
      </c>
      <c r="C450" s="65">
        <f>'COMPOSIÇÃO DE VALORES'!C450</f>
        <v>0</v>
      </c>
      <c r="D450" s="65">
        <f>'COMPOSIÇÃO DE VALORES'!D450</f>
        <v>0</v>
      </c>
      <c r="E450" s="65">
        <f>'COMPOSIÇÃO DE VALORES'!G450</f>
        <v>0</v>
      </c>
      <c r="F450" s="65">
        <f>'COMPOSIÇÃO DE VALORES'!H450</f>
        <v>0</v>
      </c>
      <c r="G450" s="66">
        <f>'COMPOSIÇÃO DE VALORES'!L450</f>
        <v>0</v>
      </c>
      <c r="H450" s="66">
        <f t="shared" si="13"/>
        <v>0</v>
      </c>
      <c r="I450" s="65">
        <f>'COMPOSIÇÃO DE VALORES'!M450</f>
        <v>0</v>
      </c>
    </row>
    <row r="451" spans="1:9" x14ac:dyDescent="0.3">
      <c r="A451" s="64">
        <v>441</v>
      </c>
      <c r="B451" s="65">
        <f>'COMPOSIÇÃO DE VALORES'!B451</f>
        <v>0</v>
      </c>
      <c r="C451" s="65">
        <f>'COMPOSIÇÃO DE VALORES'!C451</f>
        <v>0</v>
      </c>
      <c r="D451" s="65">
        <f>'COMPOSIÇÃO DE VALORES'!D451</f>
        <v>0</v>
      </c>
      <c r="E451" s="65">
        <f>'COMPOSIÇÃO DE VALORES'!G451</f>
        <v>0</v>
      </c>
      <c r="F451" s="65">
        <f>'COMPOSIÇÃO DE VALORES'!H451</f>
        <v>0</v>
      </c>
      <c r="G451" s="66">
        <f>'COMPOSIÇÃO DE VALORES'!L451</f>
        <v>0</v>
      </c>
      <c r="H451" s="66">
        <f t="shared" si="13"/>
        <v>0</v>
      </c>
      <c r="I451" s="65">
        <f>'COMPOSIÇÃO DE VALORES'!M451</f>
        <v>0</v>
      </c>
    </row>
    <row r="452" spans="1:9" x14ac:dyDescent="0.3">
      <c r="A452" s="64">
        <v>442</v>
      </c>
      <c r="B452" s="65">
        <f>'COMPOSIÇÃO DE VALORES'!B452</f>
        <v>0</v>
      </c>
      <c r="C452" s="65">
        <f>'COMPOSIÇÃO DE VALORES'!C452</f>
        <v>0</v>
      </c>
      <c r="D452" s="65">
        <f>'COMPOSIÇÃO DE VALORES'!D452</f>
        <v>0</v>
      </c>
      <c r="E452" s="65">
        <f>'COMPOSIÇÃO DE VALORES'!G452</f>
        <v>0</v>
      </c>
      <c r="F452" s="65">
        <f>'COMPOSIÇÃO DE VALORES'!H452</f>
        <v>0</v>
      </c>
      <c r="G452" s="66">
        <f>'COMPOSIÇÃO DE VALORES'!L452</f>
        <v>0</v>
      </c>
      <c r="H452" s="66">
        <f t="shared" si="13"/>
        <v>0</v>
      </c>
      <c r="I452" s="65">
        <f>'COMPOSIÇÃO DE VALORES'!M452</f>
        <v>0</v>
      </c>
    </row>
    <row r="453" spans="1:9" x14ac:dyDescent="0.3">
      <c r="A453" s="64">
        <v>443</v>
      </c>
      <c r="B453" s="65">
        <f>'COMPOSIÇÃO DE VALORES'!B453</f>
        <v>0</v>
      </c>
      <c r="C453" s="65">
        <f>'COMPOSIÇÃO DE VALORES'!C453</f>
        <v>0</v>
      </c>
      <c r="D453" s="65">
        <f>'COMPOSIÇÃO DE VALORES'!D453</f>
        <v>0</v>
      </c>
      <c r="E453" s="65">
        <f>'COMPOSIÇÃO DE VALORES'!G453</f>
        <v>0</v>
      </c>
      <c r="F453" s="65">
        <f>'COMPOSIÇÃO DE VALORES'!H453</f>
        <v>0</v>
      </c>
      <c r="G453" s="66">
        <f>'COMPOSIÇÃO DE VALORES'!L453</f>
        <v>0</v>
      </c>
      <c r="H453" s="66">
        <f t="shared" si="13"/>
        <v>0</v>
      </c>
      <c r="I453" s="65">
        <f>'COMPOSIÇÃO DE VALORES'!M453</f>
        <v>0</v>
      </c>
    </row>
    <row r="454" spans="1:9" x14ac:dyDescent="0.3">
      <c r="A454" s="64">
        <v>444</v>
      </c>
      <c r="B454" s="65">
        <f>'COMPOSIÇÃO DE VALORES'!B454</f>
        <v>0</v>
      </c>
      <c r="C454" s="65">
        <f>'COMPOSIÇÃO DE VALORES'!C454</f>
        <v>0</v>
      </c>
      <c r="D454" s="65">
        <f>'COMPOSIÇÃO DE VALORES'!D454</f>
        <v>0</v>
      </c>
      <c r="E454" s="65">
        <f>'COMPOSIÇÃO DE VALORES'!G454</f>
        <v>0</v>
      </c>
      <c r="F454" s="65">
        <f>'COMPOSIÇÃO DE VALORES'!H454</f>
        <v>0</v>
      </c>
      <c r="G454" s="66">
        <f>'COMPOSIÇÃO DE VALORES'!L454</f>
        <v>0</v>
      </c>
      <c r="H454" s="66">
        <f t="shared" si="13"/>
        <v>0</v>
      </c>
      <c r="I454" s="65">
        <f>'COMPOSIÇÃO DE VALORES'!M454</f>
        <v>0</v>
      </c>
    </row>
    <row r="455" spans="1:9" x14ac:dyDescent="0.3">
      <c r="A455" s="64">
        <v>445</v>
      </c>
      <c r="B455" s="65">
        <f>'COMPOSIÇÃO DE VALORES'!B455</f>
        <v>0</v>
      </c>
      <c r="C455" s="65">
        <f>'COMPOSIÇÃO DE VALORES'!C455</f>
        <v>0</v>
      </c>
      <c r="D455" s="65">
        <f>'COMPOSIÇÃO DE VALORES'!D455</f>
        <v>0</v>
      </c>
      <c r="E455" s="65">
        <f>'COMPOSIÇÃO DE VALORES'!G455</f>
        <v>0</v>
      </c>
      <c r="F455" s="65">
        <f>'COMPOSIÇÃO DE VALORES'!H455</f>
        <v>0</v>
      </c>
      <c r="G455" s="66">
        <f>'COMPOSIÇÃO DE VALORES'!L455</f>
        <v>0</v>
      </c>
      <c r="H455" s="66">
        <f t="shared" si="13"/>
        <v>0</v>
      </c>
      <c r="I455" s="65">
        <f>'COMPOSIÇÃO DE VALORES'!M455</f>
        <v>0</v>
      </c>
    </row>
    <row r="456" spans="1:9" x14ac:dyDescent="0.3">
      <c r="A456" s="64">
        <v>446</v>
      </c>
      <c r="B456" s="65">
        <f>'COMPOSIÇÃO DE VALORES'!B456</f>
        <v>0</v>
      </c>
      <c r="C456" s="65">
        <f>'COMPOSIÇÃO DE VALORES'!C456</f>
        <v>0</v>
      </c>
      <c r="D456" s="65">
        <f>'COMPOSIÇÃO DE VALORES'!D456</f>
        <v>0</v>
      </c>
      <c r="E456" s="65">
        <f>'COMPOSIÇÃO DE VALORES'!G456</f>
        <v>0</v>
      </c>
      <c r="F456" s="65">
        <f>'COMPOSIÇÃO DE VALORES'!H456</f>
        <v>0</v>
      </c>
      <c r="G456" s="66">
        <f>'COMPOSIÇÃO DE VALORES'!L456</f>
        <v>0</v>
      </c>
      <c r="H456" s="66">
        <f t="shared" si="13"/>
        <v>0</v>
      </c>
      <c r="I456" s="65">
        <f>'COMPOSIÇÃO DE VALORES'!M456</f>
        <v>0</v>
      </c>
    </row>
    <row r="457" spans="1:9" x14ac:dyDescent="0.3">
      <c r="A457" s="64">
        <v>447</v>
      </c>
      <c r="B457" s="65">
        <f>'COMPOSIÇÃO DE VALORES'!B457</f>
        <v>0</v>
      </c>
      <c r="C457" s="65">
        <f>'COMPOSIÇÃO DE VALORES'!C457</f>
        <v>0</v>
      </c>
      <c r="D457" s="65">
        <f>'COMPOSIÇÃO DE VALORES'!D457</f>
        <v>0</v>
      </c>
      <c r="E457" s="65">
        <f>'COMPOSIÇÃO DE VALORES'!G457</f>
        <v>0</v>
      </c>
      <c r="F457" s="65">
        <f>'COMPOSIÇÃO DE VALORES'!H457</f>
        <v>0</v>
      </c>
      <c r="G457" s="66">
        <f>'COMPOSIÇÃO DE VALORES'!L457</f>
        <v>0</v>
      </c>
      <c r="H457" s="66">
        <f t="shared" si="13"/>
        <v>0</v>
      </c>
      <c r="I457" s="65">
        <f>'COMPOSIÇÃO DE VALORES'!M457</f>
        <v>0</v>
      </c>
    </row>
    <row r="458" spans="1:9" x14ac:dyDescent="0.3">
      <c r="A458" s="64">
        <v>448</v>
      </c>
      <c r="B458" s="65">
        <f>'COMPOSIÇÃO DE VALORES'!B458</f>
        <v>0</v>
      </c>
      <c r="C458" s="65">
        <f>'COMPOSIÇÃO DE VALORES'!C458</f>
        <v>0</v>
      </c>
      <c r="D458" s="65">
        <f>'COMPOSIÇÃO DE VALORES'!D458</f>
        <v>0</v>
      </c>
      <c r="E458" s="65">
        <f>'COMPOSIÇÃO DE VALORES'!G458</f>
        <v>0</v>
      </c>
      <c r="F458" s="65">
        <f>'COMPOSIÇÃO DE VALORES'!H458</f>
        <v>0</v>
      </c>
      <c r="G458" s="66">
        <f>'COMPOSIÇÃO DE VALORES'!L458</f>
        <v>0</v>
      </c>
      <c r="H458" s="66">
        <f t="shared" si="13"/>
        <v>0</v>
      </c>
      <c r="I458" s="65">
        <f>'COMPOSIÇÃO DE VALORES'!M458</f>
        <v>0</v>
      </c>
    </row>
    <row r="459" spans="1:9" x14ac:dyDescent="0.3">
      <c r="A459" s="64">
        <v>449</v>
      </c>
      <c r="B459" s="65">
        <f>'COMPOSIÇÃO DE VALORES'!B459</f>
        <v>0</v>
      </c>
      <c r="C459" s="65">
        <f>'COMPOSIÇÃO DE VALORES'!C459</f>
        <v>0</v>
      </c>
      <c r="D459" s="65">
        <f>'COMPOSIÇÃO DE VALORES'!D459</f>
        <v>0</v>
      </c>
      <c r="E459" s="65">
        <f>'COMPOSIÇÃO DE VALORES'!G459</f>
        <v>0</v>
      </c>
      <c r="F459" s="65">
        <f>'COMPOSIÇÃO DE VALORES'!H459</f>
        <v>0</v>
      </c>
      <c r="G459" s="66">
        <f>'COMPOSIÇÃO DE VALORES'!L459</f>
        <v>0</v>
      </c>
      <c r="H459" s="66">
        <f t="shared" si="13"/>
        <v>0</v>
      </c>
      <c r="I459" s="65">
        <f>'COMPOSIÇÃO DE VALORES'!M459</f>
        <v>0</v>
      </c>
    </row>
    <row r="460" spans="1:9" x14ac:dyDescent="0.3">
      <c r="A460" s="64">
        <v>450</v>
      </c>
      <c r="B460" s="65">
        <f>'COMPOSIÇÃO DE VALORES'!B460</f>
        <v>0</v>
      </c>
      <c r="C460" s="65">
        <f>'COMPOSIÇÃO DE VALORES'!C460</f>
        <v>0</v>
      </c>
      <c r="D460" s="65">
        <f>'COMPOSIÇÃO DE VALORES'!D460</f>
        <v>0</v>
      </c>
      <c r="E460" s="65">
        <f>'COMPOSIÇÃO DE VALORES'!G460</f>
        <v>0</v>
      </c>
      <c r="F460" s="65">
        <f>'COMPOSIÇÃO DE VALORES'!H460</f>
        <v>0</v>
      </c>
      <c r="G460" s="66">
        <f>'COMPOSIÇÃO DE VALORES'!L460</f>
        <v>0</v>
      </c>
      <c r="H460" s="66">
        <f t="shared" si="13"/>
        <v>0</v>
      </c>
      <c r="I460" s="65">
        <f>'COMPOSIÇÃO DE VALORES'!M460</f>
        <v>0</v>
      </c>
    </row>
    <row r="461" spans="1:9" x14ac:dyDescent="0.3">
      <c r="A461" s="64">
        <v>451</v>
      </c>
      <c r="B461" s="65">
        <f>'COMPOSIÇÃO DE VALORES'!B461</f>
        <v>0</v>
      </c>
      <c r="C461" s="65">
        <f>'COMPOSIÇÃO DE VALORES'!C461</f>
        <v>0</v>
      </c>
      <c r="D461" s="65">
        <f>'COMPOSIÇÃO DE VALORES'!D461</f>
        <v>0</v>
      </c>
      <c r="E461" s="65">
        <f>'COMPOSIÇÃO DE VALORES'!G461</f>
        <v>0</v>
      </c>
      <c r="F461" s="65">
        <f>'COMPOSIÇÃO DE VALORES'!H461</f>
        <v>0</v>
      </c>
      <c r="G461" s="66">
        <f>'COMPOSIÇÃO DE VALORES'!L461</f>
        <v>0</v>
      </c>
      <c r="H461" s="66">
        <f t="shared" si="13"/>
        <v>0</v>
      </c>
      <c r="I461" s="65">
        <f>'COMPOSIÇÃO DE VALORES'!M461</f>
        <v>0</v>
      </c>
    </row>
    <row r="462" spans="1:9" x14ac:dyDescent="0.3">
      <c r="A462" s="64">
        <v>452</v>
      </c>
      <c r="B462" s="65">
        <f>'COMPOSIÇÃO DE VALORES'!B462</f>
        <v>0</v>
      </c>
      <c r="C462" s="65">
        <f>'COMPOSIÇÃO DE VALORES'!C462</f>
        <v>0</v>
      </c>
      <c r="D462" s="65">
        <f>'COMPOSIÇÃO DE VALORES'!D462</f>
        <v>0</v>
      </c>
      <c r="E462" s="65">
        <f>'COMPOSIÇÃO DE VALORES'!G462</f>
        <v>0</v>
      </c>
      <c r="F462" s="65">
        <f>'COMPOSIÇÃO DE VALORES'!H462</f>
        <v>0</v>
      </c>
      <c r="G462" s="66">
        <f>'COMPOSIÇÃO DE VALORES'!L462</f>
        <v>0</v>
      </c>
      <c r="H462" s="66">
        <f t="shared" si="13"/>
        <v>0</v>
      </c>
      <c r="I462" s="65">
        <f>'COMPOSIÇÃO DE VALORES'!M462</f>
        <v>0</v>
      </c>
    </row>
    <row r="463" spans="1:9" x14ac:dyDescent="0.3">
      <c r="A463" s="64">
        <v>453</v>
      </c>
      <c r="B463" s="65">
        <f>'COMPOSIÇÃO DE VALORES'!B463</f>
        <v>0</v>
      </c>
      <c r="C463" s="65">
        <f>'COMPOSIÇÃO DE VALORES'!C463</f>
        <v>0</v>
      </c>
      <c r="D463" s="65">
        <f>'COMPOSIÇÃO DE VALORES'!D463</f>
        <v>0</v>
      </c>
      <c r="E463" s="65">
        <f>'COMPOSIÇÃO DE VALORES'!G463</f>
        <v>0</v>
      </c>
      <c r="F463" s="65">
        <f>'COMPOSIÇÃO DE VALORES'!H463</f>
        <v>0</v>
      </c>
      <c r="G463" s="66">
        <f>'COMPOSIÇÃO DE VALORES'!L463</f>
        <v>0</v>
      </c>
      <c r="H463" s="66">
        <f t="shared" si="13"/>
        <v>0</v>
      </c>
      <c r="I463" s="65">
        <f>'COMPOSIÇÃO DE VALORES'!M463</f>
        <v>0</v>
      </c>
    </row>
    <row r="464" spans="1:9" x14ac:dyDescent="0.3">
      <c r="A464" s="64">
        <v>454</v>
      </c>
      <c r="B464" s="65">
        <f>'COMPOSIÇÃO DE VALORES'!B464</f>
        <v>0</v>
      </c>
      <c r="C464" s="65">
        <f>'COMPOSIÇÃO DE VALORES'!C464</f>
        <v>0</v>
      </c>
      <c r="D464" s="65">
        <f>'COMPOSIÇÃO DE VALORES'!D464</f>
        <v>0</v>
      </c>
      <c r="E464" s="65">
        <f>'COMPOSIÇÃO DE VALORES'!G464</f>
        <v>0</v>
      </c>
      <c r="F464" s="65">
        <f>'COMPOSIÇÃO DE VALORES'!H464</f>
        <v>0</v>
      </c>
      <c r="G464" s="66">
        <f>'COMPOSIÇÃO DE VALORES'!L464</f>
        <v>0</v>
      </c>
      <c r="H464" s="66">
        <f t="shared" si="13"/>
        <v>0</v>
      </c>
      <c r="I464" s="65">
        <f>'COMPOSIÇÃO DE VALORES'!M464</f>
        <v>0</v>
      </c>
    </row>
    <row r="465" spans="1:9" x14ac:dyDescent="0.3">
      <c r="A465" s="64">
        <v>455</v>
      </c>
      <c r="B465" s="65">
        <f>'COMPOSIÇÃO DE VALORES'!B465</f>
        <v>0</v>
      </c>
      <c r="C465" s="65">
        <f>'COMPOSIÇÃO DE VALORES'!C465</f>
        <v>0</v>
      </c>
      <c r="D465" s="65">
        <f>'COMPOSIÇÃO DE VALORES'!D465</f>
        <v>0</v>
      </c>
      <c r="E465" s="65">
        <f>'COMPOSIÇÃO DE VALORES'!G465</f>
        <v>0</v>
      </c>
      <c r="F465" s="65">
        <f>'COMPOSIÇÃO DE VALORES'!H465</f>
        <v>0</v>
      </c>
      <c r="G465" s="66">
        <f>'COMPOSIÇÃO DE VALORES'!L465</f>
        <v>0</v>
      </c>
      <c r="H465" s="66">
        <f>G465*B465</f>
        <v>0</v>
      </c>
      <c r="I465" s="65">
        <f>'COMPOSIÇÃO DE VALORES'!M465</f>
        <v>0</v>
      </c>
    </row>
    <row r="466" spans="1:9" x14ac:dyDescent="0.3">
      <c r="A466" s="64">
        <v>456</v>
      </c>
      <c r="B466" s="65">
        <f>'COMPOSIÇÃO DE VALORES'!B466</f>
        <v>0</v>
      </c>
      <c r="C466" s="65">
        <f>'COMPOSIÇÃO DE VALORES'!C466</f>
        <v>0</v>
      </c>
      <c r="D466" s="65">
        <f>'COMPOSIÇÃO DE VALORES'!D466</f>
        <v>0</v>
      </c>
      <c r="E466" s="65">
        <f>'COMPOSIÇÃO DE VALORES'!G466</f>
        <v>0</v>
      </c>
      <c r="F466" s="65">
        <f>'COMPOSIÇÃO DE VALORES'!H466</f>
        <v>0</v>
      </c>
      <c r="G466" s="66">
        <f>'COMPOSIÇÃO DE VALORES'!L466</f>
        <v>0</v>
      </c>
      <c r="H466" s="66">
        <f t="shared" ref="H466:H485" si="14">G466*B466</f>
        <v>0</v>
      </c>
      <c r="I466" s="65">
        <f>'COMPOSIÇÃO DE VALORES'!M466</f>
        <v>0</v>
      </c>
    </row>
    <row r="467" spans="1:9" x14ac:dyDescent="0.3">
      <c r="A467" s="64">
        <v>457</v>
      </c>
      <c r="B467" s="65">
        <f>'COMPOSIÇÃO DE VALORES'!B467</f>
        <v>0</v>
      </c>
      <c r="C467" s="65">
        <f>'COMPOSIÇÃO DE VALORES'!C467</f>
        <v>0</v>
      </c>
      <c r="D467" s="65">
        <f>'COMPOSIÇÃO DE VALORES'!D467</f>
        <v>0</v>
      </c>
      <c r="E467" s="65">
        <f>'COMPOSIÇÃO DE VALORES'!G467</f>
        <v>0</v>
      </c>
      <c r="F467" s="65">
        <f>'COMPOSIÇÃO DE VALORES'!H467</f>
        <v>0</v>
      </c>
      <c r="G467" s="66">
        <f>'COMPOSIÇÃO DE VALORES'!L467</f>
        <v>0</v>
      </c>
      <c r="H467" s="66">
        <f t="shared" si="14"/>
        <v>0</v>
      </c>
      <c r="I467" s="65">
        <f>'COMPOSIÇÃO DE VALORES'!M467</f>
        <v>0</v>
      </c>
    </row>
    <row r="468" spans="1:9" x14ac:dyDescent="0.3">
      <c r="A468" s="64">
        <v>458</v>
      </c>
      <c r="B468" s="65">
        <f>'COMPOSIÇÃO DE VALORES'!B468</f>
        <v>0</v>
      </c>
      <c r="C468" s="65">
        <f>'COMPOSIÇÃO DE VALORES'!C468</f>
        <v>0</v>
      </c>
      <c r="D468" s="65">
        <f>'COMPOSIÇÃO DE VALORES'!D468</f>
        <v>0</v>
      </c>
      <c r="E468" s="65">
        <f>'COMPOSIÇÃO DE VALORES'!G468</f>
        <v>0</v>
      </c>
      <c r="F468" s="65">
        <f>'COMPOSIÇÃO DE VALORES'!H468</f>
        <v>0</v>
      </c>
      <c r="G468" s="66">
        <f>'COMPOSIÇÃO DE VALORES'!L468</f>
        <v>0</v>
      </c>
      <c r="H468" s="66">
        <f t="shared" si="14"/>
        <v>0</v>
      </c>
      <c r="I468" s="65">
        <f>'COMPOSIÇÃO DE VALORES'!M468</f>
        <v>0</v>
      </c>
    </row>
    <row r="469" spans="1:9" x14ac:dyDescent="0.3">
      <c r="A469" s="64">
        <v>459</v>
      </c>
      <c r="B469" s="65">
        <f>'COMPOSIÇÃO DE VALORES'!B469</f>
        <v>0</v>
      </c>
      <c r="C469" s="65">
        <f>'COMPOSIÇÃO DE VALORES'!C469</f>
        <v>0</v>
      </c>
      <c r="D469" s="65">
        <f>'COMPOSIÇÃO DE VALORES'!D469</f>
        <v>0</v>
      </c>
      <c r="E469" s="65">
        <f>'COMPOSIÇÃO DE VALORES'!G469</f>
        <v>0</v>
      </c>
      <c r="F469" s="65">
        <f>'COMPOSIÇÃO DE VALORES'!H469</f>
        <v>0</v>
      </c>
      <c r="G469" s="66">
        <f>'COMPOSIÇÃO DE VALORES'!L469</f>
        <v>0</v>
      </c>
      <c r="H469" s="66">
        <f t="shared" si="14"/>
        <v>0</v>
      </c>
      <c r="I469" s="65">
        <f>'COMPOSIÇÃO DE VALORES'!M469</f>
        <v>0</v>
      </c>
    </row>
    <row r="470" spans="1:9" x14ac:dyDescent="0.3">
      <c r="A470" s="64">
        <v>460</v>
      </c>
      <c r="B470" s="65">
        <f>'COMPOSIÇÃO DE VALORES'!B470</f>
        <v>0</v>
      </c>
      <c r="C470" s="65">
        <f>'COMPOSIÇÃO DE VALORES'!C470</f>
        <v>0</v>
      </c>
      <c r="D470" s="65">
        <f>'COMPOSIÇÃO DE VALORES'!D470</f>
        <v>0</v>
      </c>
      <c r="E470" s="65">
        <f>'COMPOSIÇÃO DE VALORES'!G470</f>
        <v>0</v>
      </c>
      <c r="F470" s="65">
        <f>'COMPOSIÇÃO DE VALORES'!H470</f>
        <v>0</v>
      </c>
      <c r="G470" s="66">
        <f>'COMPOSIÇÃO DE VALORES'!L470</f>
        <v>0</v>
      </c>
      <c r="H470" s="66">
        <f t="shared" si="14"/>
        <v>0</v>
      </c>
      <c r="I470" s="65">
        <f>'COMPOSIÇÃO DE VALORES'!M470</f>
        <v>0</v>
      </c>
    </row>
    <row r="471" spans="1:9" x14ac:dyDescent="0.3">
      <c r="A471" s="64">
        <v>461</v>
      </c>
      <c r="B471" s="65">
        <f>'COMPOSIÇÃO DE VALORES'!B471</f>
        <v>0</v>
      </c>
      <c r="C471" s="65">
        <f>'COMPOSIÇÃO DE VALORES'!C471</f>
        <v>0</v>
      </c>
      <c r="D471" s="65">
        <f>'COMPOSIÇÃO DE VALORES'!D471</f>
        <v>0</v>
      </c>
      <c r="E471" s="65">
        <f>'COMPOSIÇÃO DE VALORES'!G471</f>
        <v>0</v>
      </c>
      <c r="F471" s="65">
        <f>'COMPOSIÇÃO DE VALORES'!H471</f>
        <v>0</v>
      </c>
      <c r="G471" s="66">
        <f>'COMPOSIÇÃO DE VALORES'!L471</f>
        <v>0</v>
      </c>
      <c r="H471" s="66">
        <f t="shared" si="14"/>
        <v>0</v>
      </c>
      <c r="I471" s="65">
        <f>'COMPOSIÇÃO DE VALORES'!M471</f>
        <v>0</v>
      </c>
    </row>
    <row r="472" spans="1:9" x14ac:dyDescent="0.3">
      <c r="A472" s="64">
        <v>462</v>
      </c>
      <c r="B472" s="65">
        <f>'COMPOSIÇÃO DE VALORES'!B472</f>
        <v>0</v>
      </c>
      <c r="C472" s="65">
        <f>'COMPOSIÇÃO DE VALORES'!C472</f>
        <v>0</v>
      </c>
      <c r="D472" s="65">
        <f>'COMPOSIÇÃO DE VALORES'!D472</f>
        <v>0</v>
      </c>
      <c r="E472" s="65">
        <f>'COMPOSIÇÃO DE VALORES'!G472</f>
        <v>0</v>
      </c>
      <c r="F472" s="65">
        <f>'COMPOSIÇÃO DE VALORES'!H472</f>
        <v>0</v>
      </c>
      <c r="G472" s="66">
        <f>'COMPOSIÇÃO DE VALORES'!L472</f>
        <v>0</v>
      </c>
      <c r="H472" s="66">
        <f t="shared" si="14"/>
        <v>0</v>
      </c>
      <c r="I472" s="65">
        <f>'COMPOSIÇÃO DE VALORES'!M472</f>
        <v>0</v>
      </c>
    </row>
    <row r="473" spans="1:9" x14ac:dyDescent="0.3">
      <c r="A473" s="64">
        <v>463</v>
      </c>
      <c r="B473" s="65">
        <f>'COMPOSIÇÃO DE VALORES'!B473</f>
        <v>0</v>
      </c>
      <c r="C473" s="65">
        <f>'COMPOSIÇÃO DE VALORES'!C473</f>
        <v>0</v>
      </c>
      <c r="D473" s="65">
        <f>'COMPOSIÇÃO DE VALORES'!D473</f>
        <v>0</v>
      </c>
      <c r="E473" s="65">
        <f>'COMPOSIÇÃO DE VALORES'!G473</f>
        <v>0</v>
      </c>
      <c r="F473" s="65">
        <f>'COMPOSIÇÃO DE VALORES'!H473</f>
        <v>0</v>
      </c>
      <c r="G473" s="66">
        <f>'COMPOSIÇÃO DE VALORES'!L473</f>
        <v>0</v>
      </c>
      <c r="H473" s="66">
        <f t="shared" si="14"/>
        <v>0</v>
      </c>
      <c r="I473" s="65">
        <f>'COMPOSIÇÃO DE VALORES'!M473</f>
        <v>0</v>
      </c>
    </row>
    <row r="474" spans="1:9" x14ac:dyDescent="0.3">
      <c r="A474" s="64">
        <v>464</v>
      </c>
      <c r="B474" s="65">
        <f>'COMPOSIÇÃO DE VALORES'!B474</f>
        <v>0</v>
      </c>
      <c r="C474" s="65">
        <f>'COMPOSIÇÃO DE VALORES'!C474</f>
        <v>0</v>
      </c>
      <c r="D474" s="65">
        <f>'COMPOSIÇÃO DE VALORES'!D474</f>
        <v>0</v>
      </c>
      <c r="E474" s="65">
        <f>'COMPOSIÇÃO DE VALORES'!G474</f>
        <v>0</v>
      </c>
      <c r="F474" s="65">
        <f>'COMPOSIÇÃO DE VALORES'!H474</f>
        <v>0</v>
      </c>
      <c r="G474" s="66">
        <f>'COMPOSIÇÃO DE VALORES'!L474</f>
        <v>0</v>
      </c>
      <c r="H474" s="66">
        <f t="shared" si="14"/>
        <v>0</v>
      </c>
      <c r="I474" s="65">
        <f>'COMPOSIÇÃO DE VALORES'!M474</f>
        <v>0</v>
      </c>
    </row>
    <row r="475" spans="1:9" x14ac:dyDescent="0.3">
      <c r="A475" s="64">
        <v>465</v>
      </c>
      <c r="B475" s="65">
        <f>'COMPOSIÇÃO DE VALORES'!B475</f>
        <v>0</v>
      </c>
      <c r="C475" s="65">
        <f>'COMPOSIÇÃO DE VALORES'!C475</f>
        <v>0</v>
      </c>
      <c r="D475" s="65">
        <f>'COMPOSIÇÃO DE VALORES'!D475</f>
        <v>0</v>
      </c>
      <c r="E475" s="65">
        <f>'COMPOSIÇÃO DE VALORES'!G475</f>
        <v>0</v>
      </c>
      <c r="F475" s="65">
        <f>'COMPOSIÇÃO DE VALORES'!H475</f>
        <v>0</v>
      </c>
      <c r="G475" s="66">
        <f>'COMPOSIÇÃO DE VALORES'!L475</f>
        <v>0</v>
      </c>
      <c r="H475" s="66">
        <f t="shared" si="14"/>
        <v>0</v>
      </c>
      <c r="I475" s="65">
        <f>'COMPOSIÇÃO DE VALORES'!M475</f>
        <v>0</v>
      </c>
    </row>
    <row r="476" spans="1:9" x14ac:dyDescent="0.3">
      <c r="A476" s="64">
        <v>466</v>
      </c>
      <c r="B476" s="65">
        <f>'COMPOSIÇÃO DE VALORES'!B476</f>
        <v>0</v>
      </c>
      <c r="C476" s="65">
        <f>'COMPOSIÇÃO DE VALORES'!C476</f>
        <v>0</v>
      </c>
      <c r="D476" s="65">
        <f>'COMPOSIÇÃO DE VALORES'!D476</f>
        <v>0</v>
      </c>
      <c r="E476" s="65">
        <f>'COMPOSIÇÃO DE VALORES'!G476</f>
        <v>0</v>
      </c>
      <c r="F476" s="65">
        <f>'COMPOSIÇÃO DE VALORES'!H476</f>
        <v>0</v>
      </c>
      <c r="G476" s="66">
        <f>'COMPOSIÇÃO DE VALORES'!L476</f>
        <v>0</v>
      </c>
      <c r="H476" s="66">
        <f t="shared" si="14"/>
        <v>0</v>
      </c>
      <c r="I476" s="65">
        <f>'COMPOSIÇÃO DE VALORES'!M476</f>
        <v>0</v>
      </c>
    </row>
    <row r="477" spans="1:9" x14ac:dyDescent="0.3">
      <c r="A477" s="64">
        <v>467</v>
      </c>
      <c r="B477" s="65">
        <f>'COMPOSIÇÃO DE VALORES'!B477</f>
        <v>0</v>
      </c>
      <c r="C477" s="65">
        <f>'COMPOSIÇÃO DE VALORES'!C477</f>
        <v>0</v>
      </c>
      <c r="D477" s="65">
        <f>'COMPOSIÇÃO DE VALORES'!D477</f>
        <v>0</v>
      </c>
      <c r="E477" s="65">
        <f>'COMPOSIÇÃO DE VALORES'!G477</f>
        <v>0</v>
      </c>
      <c r="F477" s="65">
        <f>'COMPOSIÇÃO DE VALORES'!H477</f>
        <v>0</v>
      </c>
      <c r="G477" s="66">
        <f>'COMPOSIÇÃO DE VALORES'!L477</f>
        <v>0</v>
      </c>
      <c r="H477" s="66">
        <f t="shared" si="14"/>
        <v>0</v>
      </c>
      <c r="I477" s="65">
        <f>'COMPOSIÇÃO DE VALORES'!M477</f>
        <v>0</v>
      </c>
    </row>
    <row r="478" spans="1:9" x14ac:dyDescent="0.3">
      <c r="A478" s="64">
        <v>468</v>
      </c>
      <c r="B478" s="65">
        <f>'COMPOSIÇÃO DE VALORES'!B478</f>
        <v>0</v>
      </c>
      <c r="C478" s="65">
        <f>'COMPOSIÇÃO DE VALORES'!C478</f>
        <v>0</v>
      </c>
      <c r="D478" s="65">
        <f>'COMPOSIÇÃO DE VALORES'!D478</f>
        <v>0</v>
      </c>
      <c r="E478" s="65">
        <f>'COMPOSIÇÃO DE VALORES'!G478</f>
        <v>0</v>
      </c>
      <c r="F478" s="65">
        <f>'COMPOSIÇÃO DE VALORES'!H478</f>
        <v>0</v>
      </c>
      <c r="G478" s="66">
        <f>'COMPOSIÇÃO DE VALORES'!L478</f>
        <v>0</v>
      </c>
      <c r="H478" s="66">
        <f t="shared" si="14"/>
        <v>0</v>
      </c>
      <c r="I478" s="65">
        <f>'COMPOSIÇÃO DE VALORES'!M478</f>
        <v>0</v>
      </c>
    </row>
    <row r="479" spans="1:9" x14ac:dyDescent="0.3">
      <c r="A479" s="64">
        <v>469</v>
      </c>
      <c r="B479" s="65">
        <f>'COMPOSIÇÃO DE VALORES'!B479</f>
        <v>0</v>
      </c>
      <c r="C479" s="65">
        <f>'COMPOSIÇÃO DE VALORES'!C479</f>
        <v>0</v>
      </c>
      <c r="D479" s="65">
        <f>'COMPOSIÇÃO DE VALORES'!D479</f>
        <v>0</v>
      </c>
      <c r="E479" s="65">
        <f>'COMPOSIÇÃO DE VALORES'!G479</f>
        <v>0</v>
      </c>
      <c r="F479" s="65">
        <f>'COMPOSIÇÃO DE VALORES'!H479</f>
        <v>0</v>
      </c>
      <c r="G479" s="66">
        <f>'COMPOSIÇÃO DE VALORES'!L479</f>
        <v>0</v>
      </c>
      <c r="H479" s="66">
        <f t="shared" si="14"/>
        <v>0</v>
      </c>
      <c r="I479" s="65">
        <f>'COMPOSIÇÃO DE VALORES'!M479</f>
        <v>0</v>
      </c>
    </row>
    <row r="480" spans="1:9" x14ac:dyDescent="0.3">
      <c r="A480" s="64">
        <v>470</v>
      </c>
      <c r="B480" s="65">
        <f>'COMPOSIÇÃO DE VALORES'!B480</f>
        <v>0</v>
      </c>
      <c r="C480" s="65">
        <f>'COMPOSIÇÃO DE VALORES'!C480</f>
        <v>0</v>
      </c>
      <c r="D480" s="65">
        <f>'COMPOSIÇÃO DE VALORES'!D480</f>
        <v>0</v>
      </c>
      <c r="E480" s="65">
        <f>'COMPOSIÇÃO DE VALORES'!G480</f>
        <v>0</v>
      </c>
      <c r="F480" s="65">
        <f>'COMPOSIÇÃO DE VALORES'!H480</f>
        <v>0</v>
      </c>
      <c r="G480" s="66">
        <f>'COMPOSIÇÃO DE VALORES'!L480</f>
        <v>0</v>
      </c>
      <c r="H480" s="66">
        <f t="shared" si="14"/>
        <v>0</v>
      </c>
      <c r="I480" s="65">
        <f>'COMPOSIÇÃO DE VALORES'!M480</f>
        <v>0</v>
      </c>
    </row>
    <row r="481" spans="1:9" x14ac:dyDescent="0.3">
      <c r="A481" s="64">
        <v>471</v>
      </c>
      <c r="B481" s="65">
        <f>'COMPOSIÇÃO DE VALORES'!B481</f>
        <v>0</v>
      </c>
      <c r="C481" s="65">
        <f>'COMPOSIÇÃO DE VALORES'!C481</f>
        <v>0</v>
      </c>
      <c r="D481" s="65">
        <f>'COMPOSIÇÃO DE VALORES'!D481</f>
        <v>0</v>
      </c>
      <c r="E481" s="65">
        <f>'COMPOSIÇÃO DE VALORES'!G481</f>
        <v>0</v>
      </c>
      <c r="F481" s="65">
        <f>'COMPOSIÇÃO DE VALORES'!H481</f>
        <v>0</v>
      </c>
      <c r="G481" s="66">
        <f>'COMPOSIÇÃO DE VALORES'!L481</f>
        <v>0</v>
      </c>
      <c r="H481" s="66">
        <f t="shared" si="14"/>
        <v>0</v>
      </c>
      <c r="I481" s="65">
        <f>'COMPOSIÇÃO DE VALORES'!M481</f>
        <v>0</v>
      </c>
    </row>
    <row r="482" spans="1:9" x14ac:dyDescent="0.3">
      <c r="A482" s="64">
        <v>472</v>
      </c>
      <c r="B482" s="65">
        <f>'COMPOSIÇÃO DE VALORES'!B482</f>
        <v>0</v>
      </c>
      <c r="C482" s="65">
        <f>'COMPOSIÇÃO DE VALORES'!C482</f>
        <v>0</v>
      </c>
      <c r="D482" s="65">
        <f>'COMPOSIÇÃO DE VALORES'!D482</f>
        <v>0</v>
      </c>
      <c r="E482" s="65">
        <f>'COMPOSIÇÃO DE VALORES'!G482</f>
        <v>0</v>
      </c>
      <c r="F482" s="65">
        <f>'COMPOSIÇÃO DE VALORES'!H482</f>
        <v>0</v>
      </c>
      <c r="G482" s="66">
        <f>'COMPOSIÇÃO DE VALORES'!L482</f>
        <v>0</v>
      </c>
      <c r="H482" s="66">
        <f t="shared" si="14"/>
        <v>0</v>
      </c>
      <c r="I482" s="65">
        <f>'COMPOSIÇÃO DE VALORES'!M482</f>
        <v>0</v>
      </c>
    </row>
    <row r="483" spans="1:9" x14ac:dyDescent="0.3">
      <c r="A483" s="64">
        <v>473</v>
      </c>
      <c r="B483" s="65">
        <f>'COMPOSIÇÃO DE VALORES'!B483</f>
        <v>0</v>
      </c>
      <c r="C483" s="65">
        <f>'COMPOSIÇÃO DE VALORES'!C483</f>
        <v>0</v>
      </c>
      <c r="D483" s="65">
        <f>'COMPOSIÇÃO DE VALORES'!D483</f>
        <v>0</v>
      </c>
      <c r="E483" s="65">
        <f>'COMPOSIÇÃO DE VALORES'!G483</f>
        <v>0</v>
      </c>
      <c r="F483" s="65">
        <f>'COMPOSIÇÃO DE VALORES'!H483</f>
        <v>0</v>
      </c>
      <c r="G483" s="66">
        <f>'COMPOSIÇÃO DE VALORES'!L483</f>
        <v>0</v>
      </c>
      <c r="H483" s="66">
        <f t="shared" si="14"/>
        <v>0</v>
      </c>
      <c r="I483" s="65">
        <f>'COMPOSIÇÃO DE VALORES'!M483</f>
        <v>0</v>
      </c>
    </row>
    <row r="484" spans="1:9" x14ac:dyDescent="0.3">
      <c r="A484" s="64">
        <v>474</v>
      </c>
      <c r="B484" s="65">
        <f>'COMPOSIÇÃO DE VALORES'!B484</f>
        <v>0</v>
      </c>
      <c r="C484" s="65">
        <f>'COMPOSIÇÃO DE VALORES'!C484</f>
        <v>0</v>
      </c>
      <c r="D484" s="65">
        <f>'COMPOSIÇÃO DE VALORES'!D484</f>
        <v>0</v>
      </c>
      <c r="E484" s="65">
        <f>'COMPOSIÇÃO DE VALORES'!G484</f>
        <v>0</v>
      </c>
      <c r="F484" s="65">
        <f>'COMPOSIÇÃO DE VALORES'!H484</f>
        <v>0</v>
      </c>
      <c r="G484" s="66">
        <f>'COMPOSIÇÃO DE VALORES'!L484</f>
        <v>0</v>
      </c>
      <c r="H484" s="66">
        <f t="shared" si="14"/>
        <v>0</v>
      </c>
      <c r="I484" s="65">
        <f>'COMPOSIÇÃO DE VALORES'!M484</f>
        <v>0</v>
      </c>
    </row>
    <row r="485" spans="1:9" x14ac:dyDescent="0.3">
      <c r="A485" s="64">
        <v>475</v>
      </c>
      <c r="B485" s="65">
        <f>'COMPOSIÇÃO DE VALORES'!B485</f>
        <v>0</v>
      </c>
      <c r="C485" s="65">
        <f>'COMPOSIÇÃO DE VALORES'!C485</f>
        <v>0</v>
      </c>
      <c r="D485" s="65">
        <f>'COMPOSIÇÃO DE VALORES'!D485</f>
        <v>0</v>
      </c>
      <c r="E485" s="65">
        <f>'COMPOSIÇÃO DE VALORES'!G485</f>
        <v>0</v>
      </c>
      <c r="F485" s="65">
        <f>'COMPOSIÇÃO DE VALORES'!H485</f>
        <v>0</v>
      </c>
      <c r="G485" s="66">
        <f>'COMPOSIÇÃO DE VALORES'!L485</f>
        <v>0</v>
      </c>
      <c r="H485" s="66">
        <f t="shared" si="14"/>
        <v>0</v>
      </c>
      <c r="I485" s="65">
        <f>'COMPOSIÇÃO DE VALORES'!M485</f>
        <v>0</v>
      </c>
    </row>
    <row r="486" spans="1:9" x14ac:dyDescent="0.3">
      <c r="A486" s="64">
        <v>476</v>
      </c>
      <c r="B486" s="65">
        <f>'COMPOSIÇÃO DE VALORES'!B486</f>
        <v>0</v>
      </c>
      <c r="C486" s="65">
        <f>'COMPOSIÇÃO DE VALORES'!C486</f>
        <v>0</v>
      </c>
      <c r="D486" s="65">
        <f>'COMPOSIÇÃO DE VALORES'!D486</f>
        <v>0</v>
      </c>
      <c r="E486" s="65">
        <f>'COMPOSIÇÃO DE VALORES'!G486</f>
        <v>0</v>
      </c>
      <c r="F486" s="65">
        <f>'COMPOSIÇÃO DE VALORES'!H486</f>
        <v>0</v>
      </c>
      <c r="G486" s="66">
        <f>'COMPOSIÇÃO DE VALORES'!L486</f>
        <v>0</v>
      </c>
      <c r="H486" s="66">
        <f>G486*B486</f>
        <v>0</v>
      </c>
      <c r="I486" s="65">
        <f>'COMPOSIÇÃO DE VALORES'!M486</f>
        <v>0</v>
      </c>
    </row>
    <row r="487" spans="1:9" x14ac:dyDescent="0.3">
      <c r="A487" s="64">
        <v>477</v>
      </c>
      <c r="B487" s="65">
        <f>'COMPOSIÇÃO DE VALORES'!B487</f>
        <v>0</v>
      </c>
      <c r="C487" s="65">
        <f>'COMPOSIÇÃO DE VALORES'!C487</f>
        <v>0</v>
      </c>
      <c r="D487" s="65">
        <f>'COMPOSIÇÃO DE VALORES'!D487</f>
        <v>0</v>
      </c>
      <c r="E487" s="65">
        <f>'COMPOSIÇÃO DE VALORES'!G487</f>
        <v>0</v>
      </c>
      <c r="F487" s="65">
        <f>'COMPOSIÇÃO DE VALORES'!H487</f>
        <v>0</v>
      </c>
      <c r="G487" s="66">
        <f>'COMPOSIÇÃO DE VALORES'!L487</f>
        <v>0</v>
      </c>
      <c r="H487" s="66">
        <f t="shared" ref="H487:H506" si="15">G487*B487</f>
        <v>0</v>
      </c>
      <c r="I487" s="65">
        <f>'COMPOSIÇÃO DE VALORES'!M487</f>
        <v>0</v>
      </c>
    </row>
    <row r="488" spans="1:9" x14ac:dyDescent="0.3">
      <c r="A488" s="64">
        <v>478</v>
      </c>
      <c r="B488" s="65">
        <f>'COMPOSIÇÃO DE VALORES'!B488</f>
        <v>0</v>
      </c>
      <c r="C488" s="65">
        <f>'COMPOSIÇÃO DE VALORES'!C488</f>
        <v>0</v>
      </c>
      <c r="D488" s="65">
        <f>'COMPOSIÇÃO DE VALORES'!D488</f>
        <v>0</v>
      </c>
      <c r="E488" s="65">
        <f>'COMPOSIÇÃO DE VALORES'!G488</f>
        <v>0</v>
      </c>
      <c r="F488" s="65">
        <f>'COMPOSIÇÃO DE VALORES'!H488</f>
        <v>0</v>
      </c>
      <c r="G488" s="66">
        <f>'COMPOSIÇÃO DE VALORES'!L488</f>
        <v>0</v>
      </c>
      <c r="H488" s="66">
        <f t="shared" si="15"/>
        <v>0</v>
      </c>
      <c r="I488" s="65">
        <f>'COMPOSIÇÃO DE VALORES'!M488</f>
        <v>0</v>
      </c>
    </row>
    <row r="489" spans="1:9" x14ac:dyDescent="0.3">
      <c r="A489" s="64">
        <v>479</v>
      </c>
      <c r="B489" s="65">
        <f>'COMPOSIÇÃO DE VALORES'!B489</f>
        <v>0</v>
      </c>
      <c r="C489" s="65">
        <f>'COMPOSIÇÃO DE VALORES'!C489</f>
        <v>0</v>
      </c>
      <c r="D489" s="65">
        <f>'COMPOSIÇÃO DE VALORES'!D489</f>
        <v>0</v>
      </c>
      <c r="E489" s="65">
        <f>'COMPOSIÇÃO DE VALORES'!G489</f>
        <v>0</v>
      </c>
      <c r="F489" s="65">
        <f>'COMPOSIÇÃO DE VALORES'!H489</f>
        <v>0</v>
      </c>
      <c r="G489" s="66">
        <f>'COMPOSIÇÃO DE VALORES'!L489</f>
        <v>0</v>
      </c>
      <c r="H489" s="66">
        <f t="shared" si="15"/>
        <v>0</v>
      </c>
      <c r="I489" s="65">
        <f>'COMPOSIÇÃO DE VALORES'!M489</f>
        <v>0</v>
      </c>
    </row>
    <row r="490" spans="1:9" x14ac:dyDescent="0.3">
      <c r="A490" s="64">
        <v>480</v>
      </c>
      <c r="B490" s="65">
        <f>'COMPOSIÇÃO DE VALORES'!B490</f>
        <v>0</v>
      </c>
      <c r="C490" s="65">
        <f>'COMPOSIÇÃO DE VALORES'!C490</f>
        <v>0</v>
      </c>
      <c r="D490" s="65">
        <f>'COMPOSIÇÃO DE VALORES'!D490</f>
        <v>0</v>
      </c>
      <c r="E490" s="65">
        <f>'COMPOSIÇÃO DE VALORES'!G490</f>
        <v>0</v>
      </c>
      <c r="F490" s="65">
        <f>'COMPOSIÇÃO DE VALORES'!H490</f>
        <v>0</v>
      </c>
      <c r="G490" s="66">
        <f>'COMPOSIÇÃO DE VALORES'!L490</f>
        <v>0</v>
      </c>
      <c r="H490" s="66">
        <f t="shared" si="15"/>
        <v>0</v>
      </c>
      <c r="I490" s="65">
        <f>'COMPOSIÇÃO DE VALORES'!M490</f>
        <v>0</v>
      </c>
    </row>
    <row r="491" spans="1:9" x14ac:dyDescent="0.3">
      <c r="A491" s="64">
        <v>481</v>
      </c>
      <c r="B491" s="65">
        <f>'COMPOSIÇÃO DE VALORES'!B491</f>
        <v>0</v>
      </c>
      <c r="C491" s="65">
        <f>'COMPOSIÇÃO DE VALORES'!C491</f>
        <v>0</v>
      </c>
      <c r="D491" s="65">
        <f>'COMPOSIÇÃO DE VALORES'!D491</f>
        <v>0</v>
      </c>
      <c r="E491" s="65">
        <f>'COMPOSIÇÃO DE VALORES'!G491</f>
        <v>0</v>
      </c>
      <c r="F491" s="65">
        <f>'COMPOSIÇÃO DE VALORES'!H491</f>
        <v>0</v>
      </c>
      <c r="G491" s="66">
        <f>'COMPOSIÇÃO DE VALORES'!L491</f>
        <v>0</v>
      </c>
      <c r="H491" s="66">
        <f t="shared" si="15"/>
        <v>0</v>
      </c>
      <c r="I491" s="65">
        <f>'COMPOSIÇÃO DE VALORES'!M491</f>
        <v>0</v>
      </c>
    </row>
    <row r="492" spans="1:9" x14ac:dyDescent="0.3">
      <c r="A492" s="64">
        <v>482</v>
      </c>
      <c r="B492" s="65">
        <f>'COMPOSIÇÃO DE VALORES'!B492</f>
        <v>0</v>
      </c>
      <c r="C492" s="65">
        <f>'COMPOSIÇÃO DE VALORES'!C492</f>
        <v>0</v>
      </c>
      <c r="D492" s="65">
        <f>'COMPOSIÇÃO DE VALORES'!D492</f>
        <v>0</v>
      </c>
      <c r="E492" s="65">
        <f>'COMPOSIÇÃO DE VALORES'!G492</f>
        <v>0</v>
      </c>
      <c r="F492" s="65">
        <f>'COMPOSIÇÃO DE VALORES'!H492</f>
        <v>0</v>
      </c>
      <c r="G492" s="66">
        <f>'COMPOSIÇÃO DE VALORES'!L492</f>
        <v>0</v>
      </c>
      <c r="H492" s="66">
        <f t="shared" si="15"/>
        <v>0</v>
      </c>
      <c r="I492" s="65">
        <f>'COMPOSIÇÃO DE VALORES'!M492</f>
        <v>0</v>
      </c>
    </row>
    <row r="493" spans="1:9" x14ac:dyDescent="0.3">
      <c r="A493" s="64">
        <v>483</v>
      </c>
      <c r="B493" s="65">
        <f>'COMPOSIÇÃO DE VALORES'!B493</f>
        <v>0</v>
      </c>
      <c r="C493" s="65">
        <f>'COMPOSIÇÃO DE VALORES'!C493</f>
        <v>0</v>
      </c>
      <c r="D493" s="65">
        <f>'COMPOSIÇÃO DE VALORES'!D493</f>
        <v>0</v>
      </c>
      <c r="E493" s="65">
        <f>'COMPOSIÇÃO DE VALORES'!G493</f>
        <v>0</v>
      </c>
      <c r="F493" s="65">
        <f>'COMPOSIÇÃO DE VALORES'!H493</f>
        <v>0</v>
      </c>
      <c r="G493" s="66">
        <f>'COMPOSIÇÃO DE VALORES'!L493</f>
        <v>0</v>
      </c>
      <c r="H493" s="66">
        <f t="shared" si="15"/>
        <v>0</v>
      </c>
      <c r="I493" s="65">
        <f>'COMPOSIÇÃO DE VALORES'!M493</f>
        <v>0</v>
      </c>
    </row>
    <row r="494" spans="1:9" x14ac:dyDescent="0.3">
      <c r="A494" s="64">
        <v>484</v>
      </c>
      <c r="B494" s="65">
        <f>'COMPOSIÇÃO DE VALORES'!B494</f>
        <v>0</v>
      </c>
      <c r="C494" s="65">
        <f>'COMPOSIÇÃO DE VALORES'!C494</f>
        <v>0</v>
      </c>
      <c r="D494" s="65">
        <f>'COMPOSIÇÃO DE VALORES'!D494</f>
        <v>0</v>
      </c>
      <c r="E494" s="65">
        <f>'COMPOSIÇÃO DE VALORES'!G494</f>
        <v>0</v>
      </c>
      <c r="F494" s="65">
        <f>'COMPOSIÇÃO DE VALORES'!H494</f>
        <v>0</v>
      </c>
      <c r="G494" s="66">
        <f>'COMPOSIÇÃO DE VALORES'!L494</f>
        <v>0</v>
      </c>
      <c r="H494" s="66">
        <f t="shared" si="15"/>
        <v>0</v>
      </c>
      <c r="I494" s="65">
        <f>'COMPOSIÇÃO DE VALORES'!M494</f>
        <v>0</v>
      </c>
    </row>
    <row r="495" spans="1:9" x14ac:dyDescent="0.3">
      <c r="A495" s="64">
        <v>485</v>
      </c>
      <c r="B495" s="65">
        <f>'COMPOSIÇÃO DE VALORES'!B495</f>
        <v>0</v>
      </c>
      <c r="C495" s="65">
        <f>'COMPOSIÇÃO DE VALORES'!C495</f>
        <v>0</v>
      </c>
      <c r="D495" s="65">
        <f>'COMPOSIÇÃO DE VALORES'!D495</f>
        <v>0</v>
      </c>
      <c r="E495" s="65">
        <f>'COMPOSIÇÃO DE VALORES'!G495</f>
        <v>0</v>
      </c>
      <c r="F495" s="65">
        <f>'COMPOSIÇÃO DE VALORES'!H495</f>
        <v>0</v>
      </c>
      <c r="G495" s="66">
        <f>'COMPOSIÇÃO DE VALORES'!L495</f>
        <v>0</v>
      </c>
      <c r="H495" s="66">
        <f t="shared" si="15"/>
        <v>0</v>
      </c>
      <c r="I495" s="65">
        <f>'COMPOSIÇÃO DE VALORES'!M495</f>
        <v>0</v>
      </c>
    </row>
    <row r="496" spans="1:9" x14ac:dyDescent="0.3">
      <c r="A496" s="64">
        <v>486</v>
      </c>
      <c r="B496" s="65">
        <f>'COMPOSIÇÃO DE VALORES'!B496</f>
        <v>0</v>
      </c>
      <c r="C496" s="65">
        <f>'COMPOSIÇÃO DE VALORES'!C496</f>
        <v>0</v>
      </c>
      <c r="D496" s="65">
        <f>'COMPOSIÇÃO DE VALORES'!D496</f>
        <v>0</v>
      </c>
      <c r="E496" s="65">
        <f>'COMPOSIÇÃO DE VALORES'!G496</f>
        <v>0</v>
      </c>
      <c r="F496" s="65">
        <f>'COMPOSIÇÃO DE VALORES'!H496</f>
        <v>0</v>
      </c>
      <c r="G496" s="66">
        <f>'COMPOSIÇÃO DE VALORES'!L496</f>
        <v>0</v>
      </c>
      <c r="H496" s="66">
        <f t="shared" si="15"/>
        <v>0</v>
      </c>
      <c r="I496" s="65">
        <f>'COMPOSIÇÃO DE VALORES'!M496</f>
        <v>0</v>
      </c>
    </row>
    <row r="497" spans="1:9" x14ac:dyDescent="0.3">
      <c r="A497" s="64">
        <v>487</v>
      </c>
      <c r="B497" s="65">
        <f>'COMPOSIÇÃO DE VALORES'!B497</f>
        <v>0</v>
      </c>
      <c r="C497" s="65">
        <f>'COMPOSIÇÃO DE VALORES'!C497</f>
        <v>0</v>
      </c>
      <c r="D497" s="65">
        <f>'COMPOSIÇÃO DE VALORES'!D497</f>
        <v>0</v>
      </c>
      <c r="E497" s="65">
        <f>'COMPOSIÇÃO DE VALORES'!G497</f>
        <v>0</v>
      </c>
      <c r="F497" s="65">
        <f>'COMPOSIÇÃO DE VALORES'!H497</f>
        <v>0</v>
      </c>
      <c r="G497" s="66">
        <f>'COMPOSIÇÃO DE VALORES'!L497</f>
        <v>0</v>
      </c>
      <c r="H497" s="66">
        <f t="shared" si="15"/>
        <v>0</v>
      </c>
      <c r="I497" s="65">
        <f>'COMPOSIÇÃO DE VALORES'!M497</f>
        <v>0</v>
      </c>
    </row>
    <row r="498" spans="1:9" x14ac:dyDescent="0.3">
      <c r="A498" s="64">
        <v>488</v>
      </c>
      <c r="B498" s="65">
        <f>'COMPOSIÇÃO DE VALORES'!B498</f>
        <v>0</v>
      </c>
      <c r="C498" s="65">
        <f>'COMPOSIÇÃO DE VALORES'!C498</f>
        <v>0</v>
      </c>
      <c r="D498" s="65">
        <f>'COMPOSIÇÃO DE VALORES'!D498</f>
        <v>0</v>
      </c>
      <c r="E498" s="65">
        <f>'COMPOSIÇÃO DE VALORES'!G498</f>
        <v>0</v>
      </c>
      <c r="F498" s="65">
        <f>'COMPOSIÇÃO DE VALORES'!H498</f>
        <v>0</v>
      </c>
      <c r="G498" s="66">
        <f>'COMPOSIÇÃO DE VALORES'!L498</f>
        <v>0</v>
      </c>
      <c r="H498" s="66">
        <f t="shared" si="15"/>
        <v>0</v>
      </c>
      <c r="I498" s="65">
        <f>'COMPOSIÇÃO DE VALORES'!M498</f>
        <v>0</v>
      </c>
    </row>
    <row r="499" spans="1:9" x14ac:dyDescent="0.3">
      <c r="A499" s="64">
        <v>489</v>
      </c>
      <c r="B499" s="65">
        <f>'COMPOSIÇÃO DE VALORES'!B499</f>
        <v>0</v>
      </c>
      <c r="C499" s="65">
        <f>'COMPOSIÇÃO DE VALORES'!C499</f>
        <v>0</v>
      </c>
      <c r="D499" s="65">
        <f>'COMPOSIÇÃO DE VALORES'!D499</f>
        <v>0</v>
      </c>
      <c r="E499" s="65">
        <f>'COMPOSIÇÃO DE VALORES'!G499</f>
        <v>0</v>
      </c>
      <c r="F499" s="65">
        <f>'COMPOSIÇÃO DE VALORES'!H499</f>
        <v>0</v>
      </c>
      <c r="G499" s="66">
        <f>'COMPOSIÇÃO DE VALORES'!L499</f>
        <v>0</v>
      </c>
      <c r="H499" s="66">
        <f t="shared" si="15"/>
        <v>0</v>
      </c>
      <c r="I499" s="65">
        <f>'COMPOSIÇÃO DE VALORES'!M499</f>
        <v>0</v>
      </c>
    </row>
    <row r="500" spans="1:9" x14ac:dyDescent="0.3">
      <c r="A500" s="64">
        <v>490</v>
      </c>
      <c r="B500" s="65">
        <f>'COMPOSIÇÃO DE VALORES'!B500</f>
        <v>0</v>
      </c>
      <c r="C500" s="65">
        <f>'COMPOSIÇÃO DE VALORES'!C500</f>
        <v>0</v>
      </c>
      <c r="D500" s="65">
        <f>'COMPOSIÇÃO DE VALORES'!D500</f>
        <v>0</v>
      </c>
      <c r="E500" s="65">
        <f>'COMPOSIÇÃO DE VALORES'!G500</f>
        <v>0</v>
      </c>
      <c r="F500" s="65">
        <f>'COMPOSIÇÃO DE VALORES'!H500</f>
        <v>0</v>
      </c>
      <c r="G500" s="66">
        <f>'COMPOSIÇÃO DE VALORES'!L500</f>
        <v>0</v>
      </c>
      <c r="H500" s="66">
        <f t="shared" si="15"/>
        <v>0</v>
      </c>
      <c r="I500" s="65">
        <f>'COMPOSIÇÃO DE VALORES'!M500</f>
        <v>0</v>
      </c>
    </row>
    <row r="501" spans="1:9" x14ac:dyDescent="0.3">
      <c r="A501" s="64">
        <v>491</v>
      </c>
      <c r="B501" s="65">
        <f>'COMPOSIÇÃO DE VALORES'!B501</f>
        <v>0</v>
      </c>
      <c r="C501" s="65">
        <f>'COMPOSIÇÃO DE VALORES'!C501</f>
        <v>0</v>
      </c>
      <c r="D501" s="65">
        <f>'COMPOSIÇÃO DE VALORES'!D501</f>
        <v>0</v>
      </c>
      <c r="E501" s="65">
        <f>'COMPOSIÇÃO DE VALORES'!G501</f>
        <v>0</v>
      </c>
      <c r="F501" s="65">
        <f>'COMPOSIÇÃO DE VALORES'!H501</f>
        <v>0</v>
      </c>
      <c r="G501" s="66">
        <f>'COMPOSIÇÃO DE VALORES'!L501</f>
        <v>0</v>
      </c>
      <c r="H501" s="66">
        <f t="shared" si="15"/>
        <v>0</v>
      </c>
      <c r="I501" s="65">
        <f>'COMPOSIÇÃO DE VALORES'!M501</f>
        <v>0</v>
      </c>
    </row>
    <row r="502" spans="1:9" x14ac:dyDescent="0.3">
      <c r="A502" s="64">
        <v>492</v>
      </c>
      <c r="B502" s="65">
        <f>'COMPOSIÇÃO DE VALORES'!B502</f>
        <v>0</v>
      </c>
      <c r="C502" s="65">
        <f>'COMPOSIÇÃO DE VALORES'!C502</f>
        <v>0</v>
      </c>
      <c r="D502" s="65">
        <f>'COMPOSIÇÃO DE VALORES'!D502</f>
        <v>0</v>
      </c>
      <c r="E502" s="65">
        <f>'COMPOSIÇÃO DE VALORES'!G502</f>
        <v>0</v>
      </c>
      <c r="F502" s="65">
        <f>'COMPOSIÇÃO DE VALORES'!H502</f>
        <v>0</v>
      </c>
      <c r="G502" s="66">
        <f>'COMPOSIÇÃO DE VALORES'!L502</f>
        <v>0</v>
      </c>
      <c r="H502" s="66">
        <f t="shared" si="15"/>
        <v>0</v>
      </c>
      <c r="I502" s="65">
        <f>'COMPOSIÇÃO DE VALORES'!M502</f>
        <v>0</v>
      </c>
    </row>
    <row r="503" spans="1:9" x14ac:dyDescent="0.3">
      <c r="A503" s="64">
        <v>493</v>
      </c>
      <c r="B503" s="65">
        <f>'COMPOSIÇÃO DE VALORES'!B503</f>
        <v>0</v>
      </c>
      <c r="C503" s="65">
        <f>'COMPOSIÇÃO DE VALORES'!C503</f>
        <v>0</v>
      </c>
      <c r="D503" s="65">
        <f>'COMPOSIÇÃO DE VALORES'!D503</f>
        <v>0</v>
      </c>
      <c r="E503" s="65">
        <f>'COMPOSIÇÃO DE VALORES'!G503</f>
        <v>0</v>
      </c>
      <c r="F503" s="65">
        <f>'COMPOSIÇÃO DE VALORES'!H503</f>
        <v>0</v>
      </c>
      <c r="G503" s="66">
        <f>'COMPOSIÇÃO DE VALORES'!L503</f>
        <v>0</v>
      </c>
      <c r="H503" s="66">
        <f t="shared" si="15"/>
        <v>0</v>
      </c>
      <c r="I503" s="65">
        <f>'COMPOSIÇÃO DE VALORES'!M503</f>
        <v>0</v>
      </c>
    </row>
    <row r="504" spans="1:9" x14ac:dyDescent="0.3">
      <c r="A504" s="64">
        <v>494</v>
      </c>
      <c r="B504" s="65">
        <f>'COMPOSIÇÃO DE VALORES'!B504</f>
        <v>0</v>
      </c>
      <c r="C504" s="65">
        <f>'COMPOSIÇÃO DE VALORES'!C504</f>
        <v>0</v>
      </c>
      <c r="D504" s="65">
        <f>'COMPOSIÇÃO DE VALORES'!D504</f>
        <v>0</v>
      </c>
      <c r="E504" s="65">
        <f>'COMPOSIÇÃO DE VALORES'!G504</f>
        <v>0</v>
      </c>
      <c r="F504" s="65">
        <f>'COMPOSIÇÃO DE VALORES'!H504</f>
        <v>0</v>
      </c>
      <c r="G504" s="66">
        <f>'COMPOSIÇÃO DE VALORES'!L504</f>
        <v>0</v>
      </c>
      <c r="H504" s="66">
        <f t="shared" si="15"/>
        <v>0</v>
      </c>
      <c r="I504" s="65">
        <f>'COMPOSIÇÃO DE VALORES'!M504</f>
        <v>0</v>
      </c>
    </row>
    <row r="505" spans="1:9" x14ac:dyDescent="0.3">
      <c r="A505" s="64">
        <v>495</v>
      </c>
      <c r="B505" s="65">
        <f>'COMPOSIÇÃO DE VALORES'!B505</f>
        <v>0</v>
      </c>
      <c r="C505" s="65">
        <f>'COMPOSIÇÃO DE VALORES'!C505</f>
        <v>0</v>
      </c>
      <c r="D505" s="65">
        <f>'COMPOSIÇÃO DE VALORES'!D505</f>
        <v>0</v>
      </c>
      <c r="E505" s="65">
        <f>'COMPOSIÇÃO DE VALORES'!G505</f>
        <v>0</v>
      </c>
      <c r="F505" s="65">
        <f>'COMPOSIÇÃO DE VALORES'!H505</f>
        <v>0</v>
      </c>
      <c r="G505" s="66">
        <f>'COMPOSIÇÃO DE VALORES'!L505</f>
        <v>0</v>
      </c>
      <c r="H505" s="66">
        <f t="shared" si="15"/>
        <v>0</v>
      </c>
      <c r="I505" s="65">
        <f>'COMPOSIÇÃO DE VALORES'!M505</f>
        <v>0</v>
      </c>
    </row>
    <row r="506" spans="1:9" x14ac:dyDescent="0.3">
      <c r="A506" s="64">
        <v>496</v>
      </c>
      <c r="B506" s="65">
        <f>'COMPOSIÇÃO DE VALORES'!B506</f>
        <v>0</v>
      </c>
      <c r="C506" s="65">
        <f>'COMPOSIÇÃO DE VALORES'!C506</f>
        <v>0</v>
      </c>
      <c r="D506" s="65">
        <f>'COMPOSIÇÃO DE VALORES'!D506</f>
        <v>0</v>
      </c>
      <c r="E506" s="65">
        <f>'COMPOSIÇÃO DE VALORES'!G506</f>
        <v>0</v>
      </c>
      <c r="F506" s="65">
        <f>'COMPOSIÇÃO DE VALORES'!H506</f>
        <v>0</v>
      </c>
      <c r="G506" s="66">
        <f>'COMPOSIÇÃO DE VALORES'!L506</f>
        <v>0</v>
      </c>
      <c r="H506" s="66">
        <f t="shared" si="15"/>
        <v>0</v>
      </c>
      <c r="I506" s="65">
        <f>'COMPOSIÇÃO DE VALORES'!M506</f>
        <v>0</v>
      </c>
    </row>
    <row r="507" spans="1:9" x14ac:dyDescent="0.3">
      <c r="A507" s="64">
        <v>497</v>
      </c>
      <c r="B507" s="65">
        <f>'COMPOSIÇÃO DE VALORES'!B507</f>
        <v>0</v>
      </c>
      <c r="C507" s="65">
        <f>'COMPOSIÇÃO DE VALORES'!C507</f>
        <v>0</v>
      </c>
      <c r="D507" s="65">
        <f>'COMPOSIÇÃO DE VALORES'!D507</f>
        <v>0</v>
      </c>
      <c r="E507" s="65">
        <f>'COMPOSIÇÃO DE VALORES'!G507</f>
        <v>0</v>
      </c>
      <c r="F507" s="65">
        <f>'COMPOSIÇÃO DE VALORES'!H507</f>
        <v>0</v>
      </c>
      <c r="G507" s="66">
        <f>'COMPOSIÇÃO DE VALORES'!L507</f>
        <v>0</v>
      </c>
      <c r="H507" s="66">
        <f>G507*B507</f>
        <v>0</v>
      </c>
      <c r="I507" s="65">
        <f>'COMPOSIÇÃO DE VALORES'!M507</f>
        <v>0</v>
      </c>
    </row>
    <row r="508" spans="1:9" x14ac:dyDescent="0.3">
      <c r="A508" s="64">
        <v>498</v>
      </c>
      <c r="B508" s="65">
        <f>'COMPOSIÇÃO DE VALORES'!B508</f>
        <v>0</v>
      </c>
      <c r="C508" s="65">
        <f>'COMPOSIÇÃO DE VALORES'!C508</f>
        <v>0</v>
      </c>
      <c r="D508" s="65">
        <f>'COMPOSIÇÃO DE VALORES'!D508</f>
        <v>0</v>
      </c>
      <c r="E508" s="65">
        <f>'COMPOSIÇÃO DE VALORES'!G508</f>
        <v>0</v>
      </c>
      <c r="F508" s="65">
        <f>'COMPOSIÇÃO DE VALORES'!H508</f>
        <v>0</v>
      </c>
      <c r="G508" s="66">
        <f>'COMPOSIÇÃO DE VALORES'!L508</f>
        <v>0</v>
      </c>
      <c r="H508" s="66">
        <f t="shared" ref="H508:H510" si="16">G508*B508</f>
        <v>0</v>
      </c>
      <c r="I508" s="65">
        <f>'COMPOSIÇÃO DE VALORES'!M508</f>
        <v>0</v>
      </c>
    </row>
    <row r="509" spans="1:9" x14ac:dyDescent="0.3">
      <c r="A509" s="64">
        <v>499</v>
      </c>
      <c r="B509" s="65">
        <f>'COMPOSIÇÃO DE VALORES'!B509</f>
        <v>0</v>
      </c>
      <c r="C509" s="65">
        <f>'COMPOSIÇÃO DE VALORES'!C509</f>
        <v>0</v>
      </c>
      <c r="D509" s="65">
        <f>'COMPOSIÇÃO DE VALORES'!D509</f>
        <v>0</v>
      </c>
      <c r="E509" s="65">
        <f>'COMPOSIÇÃO DE VALORES'!G509</f>
        <v>0</v>
      </c>
      <c r="F509" s="65">
        <f>'COMPOSIÇÃO DE VALORES'!H509</f>
        <v>0</v>
      </c>
      <c r="G509" s="66">
        <f>'COMPOSIÇÃO DE VALORES'!L509</f>
        <v>0</v>
      </c>
      <c r="H509" s="66">
        <f t="shared" si="16"/>
        <v>0</v>
      </c>
      <c r="I509" s="65">
        <f>'COMPOSIÇÃO DE VALORES'!M509</f>
        <v>0</v>
      </c>
    </row>
    <row r="510" spans="1:9" x14ac:dyDescent="0.3">
      <c r="A510" s="64">
        <v>500</v>
      </c>
      <c r="B510" s="65">
        <f>'COMPOSIÇÃO DE VALORES'!B510</f>
        <v>0</v>
      </c>
      <c r="C510" s="65">
        <f>'COMPOSIÇÃO DE VALORES'!C510</f>
        <v>0</v>
      </c>
      <c r="D510" s="65">
        <f>'COMPOSIÇÃO DE VALORES'!D510</f>
        <v>0</v>
      </c>
      <c r="E510" s="65">
        <f>'COMPOSIÇÃO DE VALORES'!G510</f>
        <v>0</v>
      </c>
      <c r="F510" s="65">
        <f>'COMPOSIÇÃO DE VALORES'!H510</f>
        <v>0</v>
      </c>
      <c r="G510" s="66">
        <f>'COMPOSIÇÃO DE VALORES'!L510</f>
        <v>0</v>
      </c>
      <c r="H510" s="66">
        <f t="shared" si="16"/>
        <v>0</v>
      </c>
      <c r="I510" s="65">
        <f>'COMPOSIÇÃO DE VALORES'!M510</f>
        <v>0</v>
      </c>
    </row>
  </sheetData>
  <sheetProtection algorithmName="SHA-512" hashValue="D+GoSboM1wH/TeXw+fWDm+j70TA08+0v1PVpU0nh+H2LlEkBSnAK+yRSKXobUkKtPZiGj3IXfGis23jCcadpMA==" saltValue="j49fTAJQ411ew/xMxhttkA==" spinCount="100000" sheet="1" formatRows="0" sort="0" autoFilter="0"/>
  <autoFilter ref="A10:G110" xr:uid="{899A6031-0CB8-42B6-9EFC-C1E0561AFAB2}"/>
  <mergeCells count="12">
    <mergeCell ref="C8:D8"/>
    <mergeCell ref="A8:B8"/>
    <mergeCell ref="A3:B3"/>
    <mergeCell ref="A4:B4"/>
    <mergeCell ref="A5:B5"/>
    <mergeCell ref="A6:B6"/>
    <mergeCell ref="A1:B1"/>
    <mergeCell ref="F3:G3"/>
    <mergeCell ref="F4:G4"/>
    <mergeCell ref="C1:H1"/>
    <mergeCell ref="C3:D3"/>
    <mergeCell ref="C4:D4"/>
  </mergeCells>
  <pageMargins left="0.74803149606299213" right="0.51181102362204722" top="0.78740157480314965" bottom="0.78740157480314965" header="0.31496062992125984" footer="0.31496062992125984"/>
  <pageSetup paperSize="9" scale="54" fitToHeight="0" orientation="landscape" blackAndWhite="1" horizontalDpi="360" verticalDpi="360" r:id="rId1"/>
  <headerFooter>
    <oddFooter>Página &amp;P de &amp;N</oddFooter>
  </headerFooter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D4787792B5B114B8B8E69A156461AFD" ma:contentTypeVersion="16" ma:contentTypeDescription="Crie um novo documento." ma:contentTypeScope="" ma:versionID="702435d2fad545edb9b8b229c6e732e6">
  <xsd:schema xmlns:xsd="http://www.w3.org/2001/XMLSchema" xmlns:xs="http://www.w3.org/2001/XMLSchema" xmlns:p="http://schemas.microsoft.com/office/2006/metadata/properties" xmlns:ns2="76801044-da96-4605-b22f-f8290996618d" xmlns:ns3="63b5b49f-5cb3-4858-817b-ff375b1ad176" targetNamespace="http://schemas.microsoft.com/office/2006/metadata/properties" ma:root="true" ma:fieldsID="a4109c619f1b455f7889e69d29618534" ns2:_="" ns3:_="">
    <xsd:import namespace="76801044-da96-4605-b22f-f8290996618d"/>
    <xsd:import namespace="63b5b49f-5cb3-4858-817b-ff375b1ad17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  <xsd:element ref="ns3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801044-da96-4605-b22f-f8290996618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105109a-66b5-4c93-8aa8-6dcc90a599c2}" ma:internalName="TaxCatchAll" ma:showField="CatchAllData" ma:web="76801044-da96-4605-b22f-f829099661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b5b49f-5cb3-4858-817b-ff375b1ad1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90452a-749e-4f9e-b130-fd94934922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3" nillable="true" ma:displayName="Status de liberação" ma:internalName="Status_x0020_de_x0020_libera_x00e7__x00e3_o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3b5b49f-5cb3-4858-817b-ff375b1ad176">
      <Terms xmlns="http://schemas.microsoft.com/office/infopath/2007/PartnerControls"/>
    </lcf76f155ced4ddcb4097134ff3c332f>
    <TaxCatchAll xmlns="76801044-da96-4605-b22f-f8290996618d" xsi:nil="true"/>
    <_Flow_SignoffStatus xmlns="63b5b49f-5cb3-4858-817b-ff375b1ad17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B341E2-E347-4A73-A7DE-4FA6035DB1A3}"/>
</file>

<file path=customXml/itemProps2.xml><?xml version="1.0" encoding="utf-8"?>
<ds:datastoreItem xmlns:ds="http://schemas.openxmlformats.org/officeDocument/2006/customXml" ds:itemID="{083C0E06-1651-493D-913B-4E6D60F04F92}">
  <ds:schemaRefs>
    <ds:schemaRef ds:uri="http://schemas.microsoft.com/office/2006/metadata/properties"/>
    <ds:schemaRef ds:uri="http://schemas.microsoft.com/office/infopath/2007/PartnerControls"/>
    <ds:schemaRef ds:uri="63b5b49f-5cb3-4858-817b-ff375b1ad176"/>
    <ds:schemaRef ds:uri="76801044-da96-4605-b22f-f8290996618d"/>
  </ds:schemaRefs>
</ds:datastoreItem>
</file>

<file path=customXml/itemProps3.xml><?xml version="1.0" encoding="utf-8"?>
<ds:datastoreItem xmlns:ds="http://schemas.openxmlformats.org/officeDocument/2006/customXml" ds:itemID="{9271948A-DB74-4B8E-A17B-52EA62C828F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PARÂMETROS</vt:lpstr>
      <vt:lpstr>COMPOSIÇÃO DE VALORES</vt:lpstr>
      <vt:lpstr>RELATÓRIO</vt:lpstr>
      <vt:lpstr>'COMPOSIÇÃO DE VALORES'!Area_de_impressao</vt:lpstr>
      <vt:lpstr>PARÂMETROS!Area_de_impressao</vt:lpstr>
      <vt:lpstr>RELATÓRIO!Area_de_impressao</vt:lpstr>
      <vt:lpstr>'COMPOSIÇÃO DE VALORES'!Titulos_de_impressao</vt:lpstr>
      <vt:lpstr>PARÂMETROS!Titulos_de_impressao</vt:lpstr>
      <vt:lpstr>RELATÓRIO!Titulos_de_impressao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Nascimento</dc:creator>
  <cp:lastModifiedBy>Orçamento</cp:lastModifiedBy>
  <cp:lastPrinted>2025-01-07T12:30:34Z</cp:lastPrinted>
  <dcterms:created xsi:type="dcterms:W3CDTF">2015-06-05T18:19:34Z</dcterms:created>
  <dcterms:modified xsi:type="dcterms:W3CDTF">2025-01-08T15:42:50Z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0x010100CD4787792B5B114B8B8E69A156461AFD</vt:lpwstr>
  </property>
  <property fmtid="{D5CDD505-2E9C-101B-9397-08002B2CF9AE}" pid="3" name="MediaServiceImageTags">
    <vt:lpwstr/>
  </property>
</Properties>
</file>