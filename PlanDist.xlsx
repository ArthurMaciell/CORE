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workbookProtection lockStructure="1" workbookAlgorithmName="SHA-512" workbookHashValue="kGF/CmRvAYvYFio2rKevaoVoOEuDsD9aA1iepPWm9hrpOlqPcLeuMqXgUtPnrYkyjE2rwubht0jFgVIX7Y7Dww==" workbookSaltValue="1HcCVsKxrOJYRcjmNwaQYg==" workbookSpinCount="100000"/>
  <bookViews>
    <workbookView visibility="visible" minimized="0" showHorizontalScroll="1" showVerticalScroll="1" showSheetTabs="1" xWindow="22932" yWindow="-108" windowWidth="23256" windowHeight="12456" tabRatio="600" firstSheet="1" activeTab="1" autoFilterDateGrouping="1"/>
  </bookViews>
  <sheets>
    <sheet name="PARÂMETROS" sheetId="1" state="hidden" r:id="rId1"/>
    <sheet name="COMPOSIÇÃO DE VALORES" sheetId="2" state="visible" r:id="rId2"/>
    <sheet name="RELATÓRIO" sheetId="3" state="visible" r:id="rId3"/>
  </sheets>
  <definedNames>
    <definedName name="_xlnm._FilterDatabase" localSheetId="0" hidden="1">'PARÂMETROS'!$C$3:$I$403</definedName>
    <definedName name="_xlnm.Print_Titles" localSheetId="0">'PARÂMETROS'!$1:$3</definedName>
    <definedName name="_xlnm.Print_Area" localSheetId="0">'PARÂMETROS'!$A$1:$I$403</definedName>
    <definedName name="_xlnm._FilterDatabase" localSheetId="1" hidden="1">'COMPOSIÇÃO DE VALORES'!$A$10:$L$110</definedName>
    <definedName name="_xlnm.Print_Titles" localSheetId="1">'COMPOSIÇÃO DE VALORES'!$1:$10</definedName>
    <definedName name="_xlnm.Print_Area" localSheetId="1">'COMPOSIÇÃO DE VALORES'!$A$1:$M$110</definedName>
    <definedName name="_xlnm._FilterDatabase" localSheetId="2" hidden="1">'RELATÓRIO'!$A$10:$G$510</definedName>
    <definedName name="_xlnm.Print_Titles" localSheetId="2">'RELATÓRIO'!$1:$10</definedName>
    <definedName name="_xlnm.Print_Area" localSheetId="2">'RELATÓRIO'!$A$1:$I$510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00"/>
    <numFmt numFmtId="165" formatCode="&quot;R$&quot;\ #,##0.00"/>
    <numFmt numFmtId="166" formatCode="_-&quot;R$&quot;\ * #,##0.00_-;\-&quot;R$&quot;\ * #,##0.00_-;_-&quot;R$&quot;\ * &quot;-&quot;??_-;_-@_-"/>
  </numFmts>
  <fonts count="31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Segoe UI"/>
      <family val="2"/>
      <color indexed="81"/>
      <sz val="9"/>
    </font>
    <font>
      <name val="Calibri"/>
      <family val="2"/>
      <b val="1"/>
      <color theme="0"/>
      <sz val="11"/>
      <scheme val="minor"/>
    </font>
    <font>
      <name val="Calibri"/>
      <family val="2"/>
      <color theme="0"/>
      <sz val="20"/>
      <scheme val="minor"/>
    </font>
    <font>
      <name val="Calibri"/>
      <family val="2"/>
      <color rgb="FFFF7D7D"/>
      <sz val="20"/>
      <scheme val="minor"/>
    </font>
    <font>
      <name val="Calibri"/>
      <family val="2"/>
      <color rgb="FFFFFF00"/>
      <sz val="20"/>
      <scheme val="minor"/>
    </font>
    <font>
      <name val="Aptos Mono"/>
      <family val="3"/>
      <color theme="0"/>
      <sz val="11"/>
    </font>
    <font>
      <name val="Aptos Mono"/>
      <family val="3"/>
      <color theme="1"/>
      <sz val="11"/>
    </font>
    <font>
      <name val="Aptos Mono"/>
      <family val="3"/>
      <b val="1"/>
      <color theme="1"/>
      <sz val="11"/>
    </font>
    <font>
      <name val="Aptos Mono"/>
      <family val="3"/>
      <color theme="0"/>
      <sz val="12"/>
    </font>
    <font>
      <name val="Aptos Mono"/>
      <family val="3"/>
      <i val="1"/>
      <color theme="1"/>
      <sz val="10"/>
    </font>
    <font>
      <name val="Aptos Mono"/>
      <family val="3"/>
      <b val="1"/>
      <color theme="0"/>
      <sz val="11"/>
    </font>
    <font>
      <name val="Aptos Mono"/>
      <family val="3"/>
      <color theme="0"/>
      <sz val="10"/>
    </font>
    <font>
      <name val="Aptos Mono"/>
      <family val="3"/>
      <color theme="1"/>
      <sz val="10"/>
    </font>
    <font>
      <name val="Aptos Mono"/>
      <family val="3"/>
      <b val="1"/>
      <color theme="1"/>
      <sz val="10"/>
    </font>
    <font>
      <name val="Aptos Mono"/>
      <family val="3"/>
      <i val="1"/>
      <color theme="8" tint="-0.249977111117893"/>
      <sz val="9"/>
    </font>
    <font>
      <name val="Aptos Mono"/>
      <family val="3"/>
      <b val="1"/>
      <i val="1"/>
      <color theme="8" tint="-0.249977111117893"/>
      <sz val="9"/>
    </font>
    <font>
      <name val="Aptos Mono"/>
      <family val="3"/>
      <color theme="0"/>
      <sz val="16"/>
    </font>
    <font>
      <name val="Courier New"/>
      <family val="3"/>
      <color theme="0"/>
      <sz val="11"/>
    </font>
    <font>
      <name val="Courier New"/>
      <family val="3"/>
      <b val="1"/>
      <color theme="0"/>
      <sz val="16"/>
    </font>
    <font>
      <name val="Courier New"/>
      <family val="3"/>
      <color theme="1"/>
      <sz val="11"/>
    </font>
    <font>
      <name val="Courier New"/>
      <family val="3"/>
      <b val="1"/>
      <color theme="1"/>
      <sz val="11"/>
    </font>
    <font>
      <name val="Courier New"/>
      <family val="3"/>
      <color theme="0"/>
      <sz val="12"/>
    </font>
    <font>
      <name val="Courier New"/>
      <family val="3"/>
      <i val="1"/>
      <color theme="8" tint="-0.249977111117893"/>
      <sz val="10"/>
    </font>
    <font>
      <name val="Courier New"/>
      <family val="3"/>
      <i val="1"/>
      <color theme="1"/>
      <sz val="10"/>
    </font>
    <font>
      <name val="Courier New"/>
      <family val="3"/>
      <color theme="0"/>
      <sz val="10"/>
    </font>
    <font>
      <name val="Courier New"/>
      <family val="3"/>
      <color theme="1"/>
      <sz val="10"/>
    </font>
    <font>
      <name val="Courier New"/>
      <family val="3"/>
      <b val="1"/>
      <color theme="1"/>
      <sz val="10"/>
    </font>
  </fonts>
  <fills count="1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3FAE0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</borders>
  <cellStyleXfs count="3">
    <xf numFmtId="0" fontId="1" fillId="0" borderId="0"/>
    <xf numFmtId="44" fontId="1" fillId="0" borderId="0"/>
    <xf numFmtId="9" fontId="1" fillId="0" borderId="0"/>
  </cellStyleXfs>
  <cellXfs count="121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0" fillId="11" borderId="3" applyAlignment="1" applyProtection="1" pivotButton="0" quotePrefix="0" xfId="0">
      <alignment horizontal="center" vertical="center" wrapText="1"/>
      <protection locked="0" hidden="0"/>
    </xf>
    <xf numFmtId="0" fontId="0" fillId="11" borderId="3" applyAlignment="1" applyProtection="1" pivotButton="0" quotePrefix="0" xfId="0">
      <alignment horizontal="left" vertical="center" wrapText="1" indent="1"/>
      <protection locked="0" hidden="0"/>
    </xf>
    <xf numFmtId="9" fontId="0" fillId="11" borderId="3" applyAlignment="1" applyProtection="1" pivotButton="0" quotePrefix="0" xfId="2">
      <alignment horizontal="center" vertical="center" wrapText="1"/>
      <protection locked="0" hidden="0"/>
    </xf>
    <xf numFmtId="2" fontId="0" fillId="11" borderId="3" applyAlignment="1" applyProtection="1" pivotButton="0" quotePrefix="0" xfId="0">
      <alignment horizontal="center" vertical="center" wrapText="1"/>
      <protection locked="0" hidden="0"/>
    </xf>
    <xf numFmtId="14" fontId="0" fillId="11" borderId="3" applyAlignment="1" applyProtection="1" pivotButton="0" quotePrefix="0" xfId="0">
      <alignment horizontal="center" vertical="center" wrapText="1"/>
      <protection locked="0" hidden="0"/>
    </xf>
    <xf numFmtId="0" fontId="0" fillId="10" borderId="3" applyAlignment="1" applyProtection="1" pivotButton="0" quotePrefix="0" xfId="0">
      <alignment horizontal="center" vertical="center" wrapText="1"/>
      <protection locked="0" hidden="0"/>
    </xf>
    <xf numFmtId="0" fontId="0" fillId="10" borderId="3" applyAlignment="1" applyProtection="1" pivotButton="0" quotePrefix="0" xfId="0">
      <alignment horizontal="left" vertical="center" wrapText="1" indent="1"/>
      <protection locked="0" hidden="0"/>
    </xf>
    <xf numFmtId="9" fontId="0" fillId="10" borderId="3" applyAlignment="1" applyProtection="1" pivotButton="0" quotePrefix="0" xfId="2">
      <alignment horizontal="center" vertical="center" wrapText="1"/>
      <protection locked="0" hidden="0"/>
    </xf>
    <xf numFmtId="2" fontId="0" fillId="10" borderId="3" applyAlignment="1" applyProtection="1" pivotButton="0" quotePrefix="0" xfId="0">
      <alignment horizontal="center" vertical="center" wrapText="1"/>
      <protection locked="0" hidden="0"/>
    </xf>
    <xf numFmtId="14" fontId="0" fillId="10" borderId="3" applyAlignment="1" applyProtection="1" pivotButton="0" quotePrefix="0" xfId="0">
      <alignment horizontal="center" vertical="center" wrapText="1"/>
      <protection locked="0" hidden="0"/>
    </xf>
    <xf numFmtId="0" fontId="0" fillId="0" borderId="0" applyAlignment="1" pivotButton="0" quotePrefix="0" xfId="0">
      <alignment horizontal="center" vertical="center"/>
    </xf>
    <xf numFmtId="0" fontId="0" fillId="6" borderId="4" applyAlignment="1" pivotButton="0" quotePrefix="0" xfId="0">
      <alignment vertical="center" wrapText="1"/>
    </xf>
    <xf numFmtId="0" fontId="0" fillId="9" borderId="1" applyAlignment="1" pivotButton="0" quotePrefix="0" xfId="0">
      <alignment horizontal="center" vertical="center"/>
    </xf>
    <xf numFmtId="0" fontId="3" fillId="6" borderId="3" applyAlignment="1" pivotButton="0" quotePrefix="0" xfId="0">
      <alignment horizontal="center" vertical="center" wrapText="1"/>
    </xf>
    <xf numFmtId="0" fontId="0" fillId="11" borderId="3" applyAlignment="1" pivotButton="0" quotePrefix="0" xfId="0">
      <alignment horizontal="center" vertical="center" wrapText="1"/>
    </xf>
    <xf numFmtId="164" fontId="9" fillId="6" borderId="4" applyAlignment="1" applyProtection="1" pivotButton="0" quotePrefix="0" xfId="0">
      <alignment vertical="center" wrapText="1"/>
      <protection locked="1" hidden="1"/>
    </xf>
    <xf numFmtId="0" fontId="10" fillId="0" borderId="0" applyAlignment="1" applyProtection="1" pivotButton="0" quotePrefix="0" xfId="0">
      <alignment horizontal="center" vertical="center" wrapText="1"/>
      <protection locked="1" hidden="1"/>
    </xf>
    <xf numFmtId="164" fontId="10" fillId="0" borderId="0" applyAlignment="1" applyProtection="1" pivotButton="0" quotePrefix="0" xfId="0">
      <alignment horizontal="center" vertical="center" wrapText="1"/>
      <protection locked="1" hidden="1"/>
    </xf>
    <xf numFmtId="0" fontId="11" fillId="0" borderId="0" applyAlignment="1" applyProtection="1" pivotButton="0" quotePrefix="0" xfId="0">
      <alignment horizontal="left" vertical="center" wrapText="1" indent="1"/>
      <protection locked="1" hidden="1"/>
    </xf>
    <xf numFmtId="0" fontId="10" fillId="0" borderId="0" applyAlignment="1" applyProtection="1" pivotButton="0" quotePrefix="0" xfId="0">
      <alignment horizontal="right" vertical="center" wrapText="1" indent="1"/>
      <protection locked="1" hidden="1"/>
    </xf>
    <xf numFmtId="0" fontId="11" fillId="0" borderId="0" applyAlignment="1" applyProtection="1" pivotButton="0" quotePrefix="0" xfId="0">
      <alignment vertical="center" wrapText="1"/>
      <protection locked="1" hidden="1"/>
    </xf>
    <xf numFmtId="0" fontId="13" fillId="0" borderId="0" applyAlignment="1" applyProtection="1" pivotButton="0" quotePrefix="0" xfId="0">
      <alignment horizontal="right" vertical="center" wrapText="1"/>
      <protection locked="1" hidden="1"/>
    </xf>
    <xf numFmtId="14" fontId="13" fillId="0" borderId="0" applyAlignment="1" applyProtection="1" pivotButton="0" quotePrefix="0" xfId="0">
      <alignment horizontal="left" vertical="center" wrapText="1" indent="1"/>
      <protection locked="1" hidden="1"/>
    </xf>
    <xf numFmtId="0" fontId="11" fillId="0" borderId="0" applyAlignment="1" applyProtection="1" pivotButton="0" quotePrefix="0" xfId="0">
      <alignment horizontal="center" vertical="center" wrapText="1"/>
      <protection locked="0" hidden="0"/>
    </xf>
    <xf numFmtId="0" fontId="11" fillId="0" borderId="0" applyAlignment="1" applyProtection="1" pivotButton="0" quotePrefix="0" xfId="0">
      <alignment horizontal="center" vertical="center" wrapText="1"/>
      <protection locked="1" hidden="1"/>
    </xf>
    <xf numFmtId="0" fontId="10" fillId="0" borderId="8" applyAlignment="1" applyProtection="1" pivotButton="0" quotePrefix="0" xfId="0">
      <alignment horizontal="center" vertical="center" wrapText="1"/>
      <protection locked="1" hidden="1"/>
    </xf>
    <xf numFmtId="0" fontId="14" fillId="6" borderId="1" applyAlignment="1" applyProtection="1" pivotButton="0" quotePrefix="0" xfId="0">
      <alignment horizontal="center" vertical="center" wrapText="1"/>
      <protection locked="1" hidden="1"/>
    </xf>
    <xf numFmtId="164" fontId="11" fillId="5" borderId="1" applyAlignment="1" applyProtection="1" pivotButton="0" quotePrefix="0" xfId="0">
      <alignment horizontal="center" vertical="center" wrapText="1"/>
      <protection locked="1" hidden="1"/>
    </xf>
    <xf numFmtId="0" fontId="11" fillId="3" borderId="1" applyAlignment="1" applyProtection="1" pivotButton="0" quotePrefix="0" xfId="0">
      <alignment horizontal="center" vertical="center" wrapText="1"/>
      <protection locked="1" hidden="1"/>
    </xf>
    <xf numFmtId="164" fontId="15" fillId="6" borderId="3" applyAlignment="1" applyProtection="1" pivotButton="0" quotePrefix="0" xfId="0">
      <alignment horizontal="center" vertical="center" wrapText="1"/>
      <protection locked="1" hidden="1"/>
    </xf>
    <xf numFmtId="0" fontId="16" fillId="7" borderId="3" applyAlignment="1" applyProtection="1" pivotButton="0" quotePrefix="0" xfId="0">
      <alignment horizontal="center" vertical="center" wrapText="1"/>
      <protection locked="0" hidden="0"/>
    </xf>
    <xf numFmtId="165" fontId="16" fillId="7" borderId="3" applyAlignment="1" applyProtection="1" pivotButton="0" quotePrefix="0" xfId="1">
      <alignment horizontal="center" vertical="center" wrapText="1"/>
      <protection locked="0" hidden="0"/>
    </xf>
    <xf numFmtId="9" fontId="16" fillId="7" borderId="3" applyAlignment="1" applyProtection="1" pivotButton="0" quotePrefix="0" xfId="2">
      <alignment horizontal="center" vertical="center" wrapText="1"/>
      <protection locked="0" hidden="0"/>
    </xf>
    <xf numFmtId="165" fontId="17" fillId="8" borderId="3" applyAlignment="1" applyProtection="1" pivotButton="0" quotePrefix="0" xfId="0">
      <alignment horizontal="center" vertical="center" wrapText="1"/>
      <protection locked="1" hidden="1"/>
    </xf>
    <xf numFmtId="0" fontId="10" fillId="0" borderId="1" applyAlignment="1" applyProtection="1" pivotButton="0" quotePrefix="0" xfId="0">
      <alignment horizontal="center" vertical="center" wrapText="1"/>
      <protection locked="1" hidden="1"/>
    </xf>
    <xf numFmtId="9" fontId="10" fillId="0" borderId="1" applyAlignment="1" applyProtection="1" pivotButton="0" quotePrefix="0" xfId="2">
      <alignment horizontal="center" vertical="center" wrapText="1"/>
      <protection locked="1" hidden="1"/>
    </xf>
    <xf numFmtId="2" fontId="10" fillId="0" borderId="1" applyAlignment="1" applyProtection="1" pivotButton="0" quotePrefix="0" xfId="0">
      <alignment horizontal="center" vertical="center" wrapText="1"/>
      <protection locked="1" hidden="1"/>
    </xf>
    <xf numFmtId="14" fontId="10" fillId="0" borderId="1" applyAlignment="1" applyProtection="1" pivotButton="0" quotePrefix="0" xfId="0">
      <alignment horizontal="center" vertical="center" wrapText="1"/>
      <protection locked="1" hidden="1"/>
    </xf>
    <xf numFmtId="164" fontId="10" fillId="4" borderId="2" applyAlignment="1" applyProtection="1" pivotButton="0" quotePrefix="0" xfId="0">
      <alignment horizontal="center" vertical="center" wrapText="1"/>
      <protection locked="1" hidden="1"/>
    </xf>
    <xf numFmtId="166" fontId="10" fillId="0" borderId="1" applyAlignment="1" applyProtection="1" pivotButton="0" quotePrefix="0" xfId="1">
      <alignment horizontal="center" vertical="center" wrapText="1"/>
      <protection locked="1" hidden="1"/>
    </xf>
    <xf numFmtId="9" fontId="10" fillId="0" borderId="1" applyAlignment="1" applyProtection="1" pivotButton="0" quotePrefix="0" xfId="0">
      <alignment horizontal="center" vertical="center" wrapText="1"/>
      <protection locked="1" hidden="1"/>
    </xf>
    <xf numFmtId="166" fontId="10" fillId="4" borderId="1" applyAlignment="1" applyProtection="1" pivotButton="0" quotePrefix="0" xfId="0">
      <alignment horizontal="center" vertical="center" wrapText="1"/>
      <protection locked="1" hidden="1"/>
    </xf>
    <xf numFmtId="166" fontId="11" fillId="2" borderId="1" applyAlignment="1" applyProtection="1" pivotButton="0" quotePrefix="0" xfId="1">
      <alignment horizontal="center" vertical="center" wrapText="1"/>
      <protection locked="1" hidden="1"/>
    </xf>
    <xf numFmtId="165" fontId="16" fillId="7" borderId="3" applyAlignment="1" applyProtection="1" pivotButton="0" quotePrefix="0" xfId="0">
      <alignment horizontal="center" vertical="center" wrapText="1"/>
      <protection locked="0" hidden="0"/>
    </xf>
    <xf numFmtId="164" fontId="10" fillId="4" borderId="1" applyAlignment="1" applyProtection="1" pivotButton="0" quotePrefix="0" xfId="0">
      <alignment horizontal="center" vertical="center" wrapText="1"/>
      <protection locked="1" hidden="1"/>
    </xf>
    <xf numFmtId="0" fontId="15" fillId="6" borderId="3" applyAlignment="1" applyProtection="1" pivotButton="0" quotePrefix="1" xfId="0">
      <alignment horizontal="center" vertical="center" wrapText="1"/>
      <protection locked="1" hidden="1"/>
    </xf>
    <xf numFmtId="0" fontId="15" fillId="6" borderId="3" applyAlignment="1" applyProtection="1" pivotButton="0" quotePrefix="0" xfId="0">
      <alignment horizontal="center" vertical="center" wrapText="1"/>
      <protection locked="1" hidden="1"/>
    </xf>
    <xf numFmtId="0" fontId="11" fillId="0" borderId="7" applyAlignment="1" applyProtection="1" pivotButton="0" quotePrefix="0" xfId="0">
      <alignment horizontal="left" vertical="center" wrapText="1" indent="1"/>
      <protection locked="1" hidden="1"/>
    </xf>
    <xf numFmtId="0" fontId="11" fillId="0" borderId="5" applyAlignment="1" applyProtection="1" pivotButton="0" quotePrefix="0" xfId="0">
      <alignment horizontal="left" vertical="center" wrapText="1" indent="1"/>
      <protection locked="1" hidden="1"/>
    </xf>
    <xf numFmtId="164" fontId="9" fillId="6" borderId="5" applyAlignment="1" applyProtection="1" pivotButton="0" quotePrefix="0" xfId="0">
      <alignment vertical="center" wrapText="1"/>
      <protection locked="1" hidden="1"/>
    </xf>
    <xf numFmtId="0" fontId="15" fillId="6" borderId="0" applyAlignment="1" applyProtection="1" pivotButton="0" quotePrefix="0" xfId="0">
      <alignment horizontal="center" vertical="center" wrapText="1"/>
      <protection locked="1" hidden="1"/>
    </xf>
    <xf numFmtId="0" fontId="16" fillId="8" borderId="3" applyAlignment="1" applyProtection="1" pivotButton="0" quotePrefix="0" xfId="0">
      <alignment horizontal="left" vertical="center" wrapText="1"/>
      <protection locked="1" hidden="1"/>
    </xf>
    <xf numFmtId="0" fontId="10" fillId="0" borderId="1" applyAlignment="1" applyProtection="1" pivotButton="0" quotePrefix="0" xfId="0">
      <alignment horizontal="left" vertical="center" wrapText="1"/>
      <protection locked="1" hidden="1"/>
    </xf>
    <xf numFmtId="164" fontId="9" fillId="6" borderId="0" applyAlignment="1" applyProtection="1" pivotButton="0" quotePrefix="0" xfId="0">
      <alignment vertical="center" wrapText="1"/>
      <protection locked="1" hidden="1"/>
    </xf>
    <xf numFmtId="164" fontId="16" fillId="0" borderId="5" applyAlignment="1" applyProtection="1" pivotButton="0" quotePrefix="0" xfId="0">
      <alignment horizontal="center" vertical="center" wrapText="1"/>
      <protection locked="1" hidden="1"/>
    </xf>
    <xf numFmtId="1" fontId="11" fillId="7" borderId="9" applyAlignment="1" applyProtection="1" pivotButton="0" quotePrefix="0" xfId="0">
      <alignment horizontal="left" vertical="center" wrapText="1" indent="1"/>
      <protection locked="0" hidden="0"/>
    </xf>
    <xf numFmtId="1" fontId="11" fillId="7" borderId="6" applyAlignment="1" applyProtection="1" pivotButton="0" quotePrefix="0" xfId="0">
      <alignment horizontal="left" vertical="center" indent="1"/>
      <protection locked="0" hidden="0"/>
    </xf>
    <xf numFmtId="0" fontId="18" fillId="0" borderId="0" applyAlignment="1" applyProtection="1" pivotButton="0" quotePrefix="0" xfId="0">
      <alignment vertical="center" wrapText="1"/>
      <protection locked="1" hidden="1"/>
    </xf>
    <xf numFmtId="14" fontId="19" fillId="0" borderId="0" applyAlignment="1" applyProtection="1" pivotButton="0" quotePrefix="0" xfId="0">
      <alignment vertical="center" wrapText="1"/>
      <protection locked="1" hidden="1"/>
    </xf>
    <xf numFmtId="0" fontId="23" fillId="0" borderId="0" applyAlignment="1" pivotButton="0" quotePrefix="0" xfId="0">
      <alignment horizontal="center" vertical="center" wrapText="1"/>
    </xf>
    <xf numFmtId="164" fontId="23" fillId="0" borderId="0" applyAlignment="1" pivotButton="0" quotePrefix="0" xfId="0">
      <alignment horizontal="center" vertical="center" wrapText="1"/>
    </xf>
    <xf numFmtId="164" fontId="23" fillId="0" borderId="8" applyAlignment="1" pivotButton="0" quotePrefix="0" xfId="0">
      <alignment horizontal="center" vertical="center" wrapText="1"/>
    </xf>
    <xf numFmtId="164" fontId="23" fillId="0" borderId="0" applyAlignment="1" pivotButton="0" quotePrefix="0" xfId="0">
      <alignment horizontal="left" vertical="center" wrapText="1" indent="3"/>
    </xf>
    <xf numFmtId="0" fontId="23" fillId="0" borderId="0" applyAlignment="1" pivotButton="0" quotePrefix="0" xfId="0">
      <alignment horizontal="right" vertical="center" wrapText="1" indent="1"/>
    </xf>
    <xf numFmtId="0" fontId="25" fillId="12" borderId="3" applyAlignment="1" pivotButton="0" quotePrefix="0" xfId="0">
      <alignment horizontal="center" vertical="center" wrapText="1"/>
    </xf>
    <xf numFmtId="14" fontId="26" fillId="0" borderId="0" applyAlignment="1" pivotButton="0" quotePrefix="0" xfId="0">
      <alignment horizontal="left" vertical="center" wrapText="1" indent="1"/>
    </xf>
    <xf numFmtId="0" fontId="25" fillId="0" borderId="0" applyAlignment="1" pivotButton="0" quotePrefix="0" xfId="0">
      <alignment vertical="center" wrapText="1"/>
    </xf>
    <xf numFmtId="14" fontId="27" fillId="0" borderId="0" applyAlignment="1" pivotButton="0" quotePrefix="0" xfId="0">
      <alignment horizontal="left" vertical="center" wrapText="1" indent="1"/>
    </xf>
    <xf numFmtId="165" fontId="24" fillId="13" borderId="3" applyAlignment="1" pivotButton="0" quotePrefix="0" xfId="0">
      <alignment horizontal="center" vertical="center" wrapText="1"/>
    </xf>
    <xf numFmtId="0" fontId="24" fillId="0" borderId="0" applyAlignment="1" pivotButton="0" quotePrefix="0" xfId="0">
      <alignment vertical="center" wrapText="1"/>
    </xf>
    <xf numFmtId="0" fontId="21" fillId="0" borderId="0" applyAlignment="1" pivotButton="0" quotePrefix="0" xfId="0">
      <alignment horizontal="center" vertical="center" wrapText="1"/>
    </xf>
    <xf numFmtId="1" fontId="24" fillId="13" borderId="3" applyAlignment="1" pivotButton="0" quotePrefix="0" xfId="0">
      <alignment horizontal="left" vertical="center" wrapText="1" indent="1"/>
    </xf>
    <xf numFmtId="0" fontId="24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left" vertical="center" wrapText="1" indent="1"/>
    </xf>
    <xf numFmtId="0" fontId="23" fillId="0" borderId="8" applyAlignment="1" pivotButton="0" quotePrefix="0" xfId="0">
      <alignment horizontal="center" vertical="center" wrapText="1"/>
    </xf>
    <xf numFmtId="164" fontId="21" fillId="12" borderId="3" applyAlignment="1" pivotButton="0" quotePrefix="0" xfId="0">
      <alignment horizontal="center" vertical="center" wrapText="1"/>
    </xf>
    <xf numFmtId="0" fontId="21" fillId="12" borderId="3" applyAlignment="1" pivotButton="0" quotePrefix="1" xfId="0">
      <alignment horizontal="center" vertical="center" wrapText="1"/>
    </xf>
    <xf numFmtId="0" fontId="21" fillId="12" borderId="3" applyAlignment="1" pivotButton="0" quotePrefix="0" xfId="0">
      <alignment horizontal="center" vertical="center" wrapText="1"/>
    </xf>
    <xf numFmtId="164" fontId="28" fillId="12" borderId="3" applyAlignment="1" pivotButton="0" quotePrefix="0" xfId="0">
      <alignment horizontal="center" vertical="center" wrapText="1"/>
    </xf>
    <xf numFmtId="0" fontId="29" fillId="13" borderId="3" applyAlignment="1" pivotButton="0" quotePrefix="0" xfId="0">
      <alignment horizontal="center" vertical="center" wrapText="1"/>
    </xf>
    <xf numFmtId="165" fontId="30" fillId="10" borderId="3" applyAlignment="1" pivotButton="0" quotePrefix="0" xfId="0">
      <alignment horizontal="center" vertical="center" wrapText="1"/>
    </xf>
    <xf numFmtId="0" fontId="6" fillId="6" borderId="5" applyAlignment="1" pivotButton="0" quotePrefix="0" xfId="0">
      <alignment horizontal="left" vertical="center" wrapText="1" indent="1"/>
    </xf>
    <xf numFmtId="0" fontId="6" fillId="6" borderId="6" applyAlignment="1" pivotButton="0" quotePrefix="0" xfId="0">
      <alignment horizontal="left" vertical="center" wrapText="1" indent="1"/>
    </xf>
    <xf numFmtId="164" fontId="16" fillId="0" borderId="4" applyAlignment="1" applyProtection="1" pivotButton="0" quotePrefix="0" xfId="0">
      <alignment horizontal="center" vertical="center" wrapText="1"/>
      <protection locked="1" hidden="1"/>
    </xf>
    <xf numFmtId="164" fontId="16" fillId="0" borderId="6" applyAlignment="1" applyProtection="1" pivotButton="0" quotePrefix="0" xfId="0">
      <alignment horizontal="center" vertical="center" wrapText="1"/>
      <protection locked="1" hidden="1"/>
    </xf>
    <xf numFmtId="0" fontId="11" fillId="7" borderId="4" applyAlignment="1" applyProtection="1" pivotButton="0" quotePrefix="0" xfId="0">
      <alignment horizontal="left" vertical="center" wrapText="1" indent="1"/>
      <protection locked="0" hidden="0"/>
    </xf>
    <xf numFmtId="0" fontId="11" fillId="7" borderId="6" applyAlignment="1" applyProtection="1" pivotButton="0" quotePrefix="0" xfId="0">
      <alignment horizontal="left" vertical="center" wrapText="1" indent="1"/>
      <protection locked="0" hidden="0"/>
    </xf>
    <xf numFmtId="0" fontId="11" fillId="7" borderId="4" applyAlignment="1" applyProtection="1" pivotButton="0" quotePrefix="0" xfId="0">
      <alignment horizontal="center" vertical="center" wrapText="1"/>
      <protection locked="0" hidden="0"/>
    </xf>
    <xf numFmtId="0" fontId="11" fillId="7" borderId="6" applyAlignment="1" applyProtection="1" pivotButton="0" quotePrefix="0" xfId="0">
      <alignment horizontal="center" vertical="center" wrapText="1"/>
      <protection locked="0" hidden="0"/>
    </xf>
    <xf numFmtId="0" fontId="12" fillId="6" borderId="4" applyAlignment="1" applyProtection="1" pivotButton="0" quotePrefix="0" xfId="0">
      <alignment horizontal="center" vertical="center" wrapText="1"/>
      <protection locked="1" hidden="1"/>
    </xf>
    <xf numFmtId="0" fontId="12" fillId="6" borderId="6" applyAlignment="1" applyProtection="1" pivotButton="0" quotePrefix="0" xfId="0">
      <alignment horizontal="center" vertical="center" wrapText="1"/>
      <protection locked="1" hidden="1"/>
    </xf>
    <xf numFmtId="0" fontId="18" fillId="0" borderId="0" applyAlignment="1" applyProtection="1" pivotButton="0" quotePrefix="0" xfId="0">
      <alignment horizontal="center" vertical="center" wrapText="1"/>
      <protection locked="1" hidden="1"/>
    </xf>
    <xf numFmtId="14" fontId="19" fillId="0" borderId="0" applyAlignment="1" applyProtection="1" pivotButton="0" quotePrefix="0" xfId="0">
      <alignment horizontal="center" vertical="center" wrapText="1"/>
      <protection locked="1" hidden="1"/>
    </xf>
    <xf numFmtId="0" fontId="20" fillId="6" borderId="0" applyAlignment="1" applyProtection="1" pivotButton="0" quotePrefix="0" xfId="0">
      <alignment horizontal="center" vertical="center" wrapText="1"/>
      <protection locked="1" hidden="1"/>
    </xf>
    <xf numFmtId="0" fontId="20" fillId="6" borderId="10" applyAlignment="1" applyProtection="1" pivotButton="0" quotePrefix="0" xfId="0">
      <alignment horizontal="center" vertical="center" wrapText="1"/>
      <protection locked="1" hidden="1"/>
    </xf>
    <xf numFmtId="164" fontId="21" fillId="12" borderId="4" applyAlignment="1" pivotButton="0" quotePrefix="0" xfId="0">
      <alignment horizontal="center" vertical="center" wrapText="1"/>
    </xf>
    <xf numFmtId="164" fontId="21" fillId="12" borderId="5" applyAlignment="1" pivotButton="0" quotePrefix="0" xfId="0">
      <alignment horizontal="center" vertical="center" wrapText="1"/>
    </xf>
    <xf numFmtId="0" fontId="25" fillId="12" borderId="3" applyAlignment="1" pivotButton="0" quotePrefix="0" xfId="0">
      <alignment horizontal="center" vertical="center" wrapText="1"/>
    </xf>
    <xf numFmtId="0" fontId="24" fillId="13" borderId="3" applyAlignment="1" pivotButton="0" quotePrefix="0" xfId="0">
      <alignment horizontal="center" vertical="center" wrapText="1"/>
    </xf>
    <xf numFmtId="0" fontId="24" fillId="13" borderId="3" applyAlignment="1" pivotButton="0" quotePrefix="0" xfId="0">
      <alignment horizontal="left" vertical="center" wrapText="1" indent="1"/>
    </xf>
    <xf numFmtId="0" fontId="22" fillId="12" borderId="5" applyAlignment="1" pivotButton="0" quotePrefix="0" xfId="0">
      <alignment horizontal="center" vertical="center" wrapText="1"/>
    </xf>
    <xf numFmtId="0" fontId="22" fillId="12" borderId="6" applyAlignment="1" pivotButton="0" quotePrefix="0" xfId="0">
      <alignment horizontal="center" vertical="center" wrapText="1"/>
    </xf>
    <xf numFmtId="164" fontId="23" fillId="0" borderId="0" applyAlignment="1" pivotButton="0" quotePrefix="0" xfId="0">
      <alignment horizontal="left" vertical="center" wrapText="1" indent="3"/>
    </xf>
    <xf numFmtId="164" fontId="23" fillId="0" borderId="10" applyAlignment="1" pivotButton="0" quotePrefix="0" xfId="0">
      <alignment horizontal="left" vertical="center" wrapText="1" indent="3"/>
    </xf>
    <xf numFmtId="0" fontId="0" fillId="0" borderId="5" pivotButton="0" quotePrefix="0" xfId="0"/>
    <xf numFmtId="0" fontId="0" fillId="0" borderId="6" pivotButton="0" quotePrefix="0" xfId="0"/>
    <xf numFmtId="0" fontId="0" fillId="0" borderId="0" applyProtection="1" pivotButton="0" quotePrefix="0" xfId="0">
      <protection locked="1" hidden="1"/>
    </xf>
    <xf numFmtId="0" fontId="0" fillId="0" borderId="10" applyProtection="1" pivotButton="0" quotePrefix="0" xfId="0">
      <protection locked="1" hidden="1"/>
    </xf>
    <xf numFmtId="164" fontId="16" fillId="0" borderId="3" applyAlignment="1" applyProtection="1" pivotButton="0" quotePrefix="0" xfId="0">
      <alignment horizontal="center" vertical="center" wrapText="1"/>
      <protection locked="1" hidden="1"/>
    </xf>
    <xf numFmtId="0" fontId="0" fillId="0" borderId="6" applyProtection="1" pivotButton="0" quotePrefix="0" xfId="0">
      <protection locked="1" hidden="1"/>
    </xf>
    <xf numFmtId="0" fontId="11" fillId="7" borderId="3" applyAlignment="1" applyProtection="1" pivotButton="0" quotePrefix="0" xfId="0">
      <alignment horizontal="left" vertical="center" wrapText="1" indent="1"/>
      <protection locked="0" hidden="0"/>
    </xf>
    <xf numFmtId="0" fontId="0" fillId="0" borderId="6" applyProtection="1" pivotButton="0" quotePrefix="0" xfId="0">
      <protection locked="0" hidden="0"/>
    </xf>
    <xf numFmtId="0" fontId="12" fillId="6" borderId="3" applyAlignment="1" applyProtection="1" pivotButton="0" quotePrefix="0" xfId="0">
      <alignment horizontal="center" vertical="center" wrapText="1"/>
      <protection locked="1" hidden="1"/>
    </xf>
    <xf numFmtId="0" fontId="11" fillId="7" borderId="3" applyAlignment="1" applyProtection="1" pivotButton="0" quotePrefix="0" xfId="0">
      <alignment horizontal="center" vertical="center" wrapText="1"/>
      <protection locked="0" hidden="0"/>
    </xf>
    <xf numFmtId="166" fontId="10" fillId="0" borderId="1" applyAlignment="1" applyProtection="1" pivotButton="0" quotePrefix="0" xfId="1">
      <alignment horizontal="center" vertical="center" wrapText="1"/>
      <protection locked="1" hidden="1"/>
    </xf>
    <xf numFmtId="166" fontId="10" fillId="4" borderId="1" applyAlignment="1" applyProtection="1" pivotButton="0" quotePrefix="0" xfId="0">
      <alignment horizontal="center" vertical="center" wrapText="1"/>
      <protection locked="1" hidden="1"/>
    </xf>
    <xf numFmtId="166" fontId="11" fillId="2" borderId="1" applyAlignment="1" applyProtection="1" pivotButton="0" quotePrefix="0" xfId="1">
      <alignment horizontal="center" vertical="center" wrapText="1"/>
      <protection locked="1" hidden="1"/>
    </xf>
    <xf numFmtId="0" fontId="0" fillId="0" borderId="10" pivotButton="0" quotePrefix="0" xfId="0"/>
  </cellXfs>
  <cellStyles count="3">
    <cellStyle name="Normal" xfId="0" builtinId="0"/>
    <cellStyle name="Moeda" xfId="1" builtinId="4"/>
    <cellStyle name="Porcentagem" xfId="2" builtinId="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RETEC - José Nascimento</author>
  </authors>
  <commentList>
    <comment ref="L10" authorId="0" shapeId="0">
      <text>
        <t>Valor com frete e todos impostos inclusos.</t>
      </text>
    </comment>
  </commentList>
</comments>
</file>

<file path=xl/comments/comment2.xml><?xml version="1.0" encoding="utf-8"?>
<comments xmlns="http://schemas.openxmlformats.org/spreadsheetml/2006/main">
  <authors>
    <author>RETEC - José Nascimento</author>
  </authors>
  <commentList>
    <comment ref="G10" authorId="0" shapeId="0">
      <text>
        <t>Valor com frete e todos impostos inclusos.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80386</colOff>
      <row>0</row>
      <rowOff>74521</rowOff>
    </from>
    <to>
      <col>2</col>
      <colOff>631740</colOff>
      <row>0</row>
      <rowOff>626187</rowOff>
    </to>
    <pic>
      <nvPicPr>
        <cNvPr id="2" name="Imagem 1"/>
        <cNvPicPr>
          <a:picLocks noChangeAspect="1"/>
        </cNvPicPr>
      </nvPicPr>
      <blipFill>
        <a:blip cstate="print" r:embed="rId1">
          <duotone/>
        </a:blip>
        <a:srcRect/>
        <a:stretch>
          <a:fillRect/>
        </a:stretch>
      </blipFill>
      <spPr>
        <a:xfrm>
          <a:off x="178998" y="74521"/>
          <a:ext cx="558974" cy="544046"/>
        </a:xfrm>
        <a:prstGeom prst="rect">
          <avLst/>
        </a:prstGeom>
        <a:ln>
          <a:noFill/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57150</colOff>
      <row>0</row>
      <rowOff>147210</rowOff>
    </from>
    <to>
      <col>2</col>
      <colOff>2513</colOff>
      <row>0</row>
      <rowOff>667794</rowOff>
    </to>
    <pic>
      <nvPicPr>
        <cNvPr id="2" name="Imagem 1"/>
        <cNvPicPr>
          <a:picLocks noChangeAspect="1"/>
        </cNvPicPr>
      </nvPicPr>
      <blipFill>
        <a:blip cstate="print" r:embed="rId1"/>
        <a:srcRect/>
        <a:stretch>
          <a:fillRect/>
        </a:stretch>
      </blipFill>
      <spPr>
        <a:xfrm>
          <a:off x="57150" y="147210"/>
          <a:ext cx="1653428" cy="505344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86580</colOff>
      <row>0</row>
      <rowOff>134687</rowOff>
    </from>
    <to>
      <col>2</col>
      <colOff>20513</colOff>
      <row>0</row>
      <rowOff>663616</rowOff>
    </to>
    <pic>
      <nvPicPr>
        <cNvPr id="3" name="Imagem 2"/>
        <cNvPicPr>
          <a:picLocks noChangeAspect="1"/>
        </cNvPicPr>
      </nvPicPr>
      <blipFill>
        <a:blip cstate="print" r:embed="rId2"/>
        <a:srcRect/>
        <a:stretch>
          <a:fillRect/>
        </a:stretch>
      </blipFill>
      <spPr>
        <a:xfrm>
          <a:off x="86580" y="134687"/>
          <a:ext cx="1652243" cy="521309"/>
        </a:xfrm>
        <a:prstGeom prst="rect">
          <avLst/>
        </a:prstGeom>
        <a:ln>
          <a:noFill/>
          <a:prstDash val="solid"/>
        </a:ln>
      </spPr>
    </pic>
    <clientData fPrintsWithSheet="0"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 codeName="Planilha1">
    <tabColor theme="1"/>
    <outlinePr summaryBelow="1" summaryRight="1"/>
    <pageSetUpPr fitToPage="1"/>
  </sheetPr>
  <dimension ref="A1:R403"/>
  <sheetViews>
    <sheetView showGridLines="0" view="pageBreakPreview" topLeftCell="B1" zoomScale="85" zoomScaleNormal="85" zoomScaleSheetLayoutView="85" workbookViewId="0">
      <pane ySplit="3" topLeftCell="A4" activePane="bottomLeft" state="frozen"/>
      <selection pane="bottomLeft" activeCell="I104" sqref="B74:I104"/>
    </sheetView>
  </sheetViews>
  <sheetFormatPr baseColWidth="8" defaultColWidth="9.109375" defaultRowHeight="14.4"/>
  <cols>
    <col hidden="1" width="24.109375" customWidth="1" style="13" min="1" max="1"/>
    <col width="1.44140625" customWidth="1" style="1" min="2" max="2"/>
    <col width="20.6640625" customWidth="1" style="1" min="3" max="3"/>
    <col width="13.5546875" customWidth="1" style="1" min="4" max="4"/>
    <col width="52" customWidth="1" style="1" min="5" max="5"/>
    <col width="15" customWidth="1" style="1" min="6" max="6"/>
    <col width="15.44140625" customWidth="1" style="1" min="7" max="8"/>
    <col width="18.44140625" customWidth="1" style="1" min="9" max="9"/>
    <col width="1.44140625" customWidth="1" style="1" min="10" max="10"/>
    <col width="25.88671875" customWidth="1" style="1" min="11" max="11"/>
    <col width="1.44140625" customWidth="1" style="1" min="12" max="12"/>
    <col width="25.44140625" customWidth="1" style="1" min="13" max="13"/>
    <col width="1.44140625" customWidth="1" style="1" min="14" max="14"/>
    <col width="17.109375" customWidth="1" style="1" min="15" max="15"/>
    <col width="9.109375" customWidth="1" style="1" min="16" max="16"/>
    <col width="28.33203125" customWidth="1" style="1" min="17" max="18"/>
    <col width="9.109375" customWidth="1" style="1" min="19" max="16384"/>
  </cols>
  <sheetData>
    <row r="1" ht="53.25" customHeight="1">
      <c r="C1" s="14" t="n"/>
      <c r="D1" s="85" t="inlineStr">
        <is>
          <t>Parâmetros de Composição de Valores [⚠ USO RESTRITO DO DPTO DE COMPRAS]</t>
        </is>
      </c>
      <c r="E1" s="107" t="n"/>
      <c r="F1" s="107" t="n"/>
      <c r="G1" s="107" t="n"/>
      <c r="H1" s="107" t="n"/>
      <c r="I1" s="107" t="n"/>
      <c r="J1" s="107" t="n"/>
      <c r="K1" s="107" t="n"/>
      <c r="L1" s="107" t="n"/>
      <c r="M1" s="107" t="n"/>
      <c r="N1" s="107" t="n"/>
      <c r="O1" s="108" t="n"/>
    </row>
    <row r="3" ht="28.8" customHeight="1">
      <c r="A3" s="15" t="inlineStr">
        <is>
          <t>COD.</t>
        </is>
      </c>
      <c r="C3" s="16" t="inlineStr">
        <is>
          <t>Marca</t>
        </is>
      </c>
      <c r="D3" s="16" t="inlineStr">
        <is>
          <t>Grupos</t>
        </is>
      </c>
      <c r="E3" s="16" t="inlineStr">
        <is>
          <t>Descrição do Grupo</t>
        </is>
      </c>
      <c r="F3" s="16" t="inlineStr">
        <is>
          <t>Percentual de Frete (%)</t>
        </is>
      </c>
      <c r="G3" s="16" t="inlineStr">
        <is>
          <t>Multiplicador Varejo</t>
        </is>
      </c>
      <c r="H3" s="16" t="inlineStr">
        <is>
          <t>Multiplicador Atacado</t>
        </is>
      </c>
      <c r="I3" s="16" t="inlineStr">
        <is>
          <t>Data de Atualização</t>
        </is>
      </c>
      <c r="K3" s="16" t="inlineStr">
        <is>
          <t>Fabricantes</t>
        </is>
      </c>
      <c r="M3" s="16" t="inlineStr">
        <is>
          <t>Categorias</t>
        </is>
      </c>
      <c r="O3" s="16" t="inlineStr">
        <is>
          <t>Grupos</t>
        </is>
      </c>
      <c r="Q3" s="16" t="inlineStr">
        <is>
          <t>Orçamentistas</t>
        </is>
      </c>
      <c r="R3" s="16" t="inlineStr">
        <is>
          <t>Vendedores</t>
        </is>
      </c>
    </row>
    <row r="4">
      <c r="A4" s="15">
        <f>C4&amp;D4</f>
        <v/>
      </c>
      <c r="C4" s="3" t="inlineStr">
        <is>
          <t>ALTEC</t>
        </is>
      </c>
      <c r="D4" s="3" t="inlineStr">
        <is>
          <t>A</t>
        </is>
      </c>
      <c r="E4" s="4" t="inlineStr">
        <is>
          <t>Rolos de Alumínio liso e corrugado</t>
        </is>
      </c>
      <c r="F4" s="5" t="n">
        <v>0.08</v>
      </c>
      <c r="G4" s="6" t="n">
        <v>2.12</v>
      </c>
      <c r="H4" s="6" t="n">
        <v>1.92</v>
      </c>
      <c r="I4" s="7" t="n">
        <v>45701</v>
      </c>
      <c r="K4" s="3" t="inlineStr">
        <is>
          <t>-</t>
        </is>
      </c>
      <c r="M4" s="17" t="inlineStr">
        <is>
          <t>-</t>
        </is>
      </c>
      <c r="O4" s="17" t="inlineStr">
        <is>
          <t>-</t>
        </is>
      </c>
      <c r="Q4" s="17" t="inlineStr">
        <is>
          <t>-</t>
        </is>
      </c>
      <c r="R4" s="17" t="inlineStr">
        <is>
          <t>-</t>
        </is>
      </c>
    </row>
    <row r="5">
      <c r="A5" s="15">
        <f>C5&amp;D5</f>
        <v/>
      </c>
      <c r="C5" s="3" t="inlineStr">
        <is>
          <t>ALTEC</t>
        </is>
      </c>
      <c r="D5" s="3" t="inlineStr">
        <is>
          <t>B</t>
        </is>
      </c>
      <c r="E5" s="4" t="inlineStr">
        <is>
          <t>Demais itens (exceto descrito nos demais grupos)</t>
        </is>
      </c>
      <c r="F5" s="5" t="n">
        <v>0.08</v>
      </c>
      <c r="G5" s="6" t="n">
        <v>2.12</v>
      </c>
      <c r="H5" s="6" t="n">
        <v>1.92</v>
      </c>
      <c r="I5" s="7" t="n">
        <v>45701</v>
      </c>
      <c r="K5" s="3" t="inlineStr">
        <is>
          <t>ALTEC</t>
        </is>
      </c>
      <c r="M5" s="17" t="inlineStr">
        <is>
          <t>VAREJO</t>
        </is>
      </c>
      <c r="O5" s="17" t="inlineStr">
        <is>
          <t>A</t>
        </is>
      </c>
      <c r="Q5" s="17" t="inlineStr">
        <is>
          <t>Arthur Maciel</t>
        </is>
      </c>
      <c r="R5" s="17" t="inlineStr">
        <is>
          <t>Luan Araújo</t>
        </is>
      </c>
    </row>
    <row r="6">
      <c r="A6" s="15">
        <f>C6&amp;D6</f>
        <v/>
      </c>
      <c r="C6" s="3" t="inlineStr">
        <is>
          <t>ALTEC</t>
        </is>
      </c>
      <c r="D6" s="3" t="inlineStr">
        <is>
          <t>C</t>
        </is>
      </c>
      <c r="E6" s="4" t="n"/>
      <c r="F6" s="5" t="n"/>
      <c r="G6" s="6" t="n"/>
      <c r="H6" s="6" t="n"/>
      <c r="I6" s="7" t="n"/>
      <c r="K6" s="3" t="inlineStr">
        <is>
          <t>ARMACELL</t>
        </is>
      </c>
      <c r="M6" s="17" t="inlineStr">
        <is>
          <t>ATACADO</t>
        </is>
      </c>
      <c r="O6" s="17" t="inlineStr">
        <is>
          <t>B</t>
        </is>
      </c>
      <c r="Q6" s="17" t="inlineStr">
        <is>
          <t>Matheus Ramos</t>
        </is>
      </c>
      <c r="R6" s="17" t="inlineStr">
        <is>
          <t>Wellison Chaves</t>
        </is>
      </c>
    </row>
    <row r="7">
      <c r="A7" s="15">
        <f>C7&amp;D7</f>
        <v/>
      </c>
      <c r="C7" s="3" t="inlineStr">
        <is>
          <t>ALTEC</t>
        </is>
      </c>
      <c r="D7" s="3" t="inlineStr">
        <is>
          <t>D</t>
        </is>
      </c>
      <c r="E7" s="4" t="n"/>
      <c r="F7" s="5" t="n"/>
      <c r="G7" s="6" t="n"/>
      <c r="H7" s="6" t="n"/>
      <c r="I7" s="7" t="n"/>
      <c r="K7" s="3" t="inlineStr">
        <is>
          <t>GENEBRE</t>
        </is>
      </c>
      <c r="M7" s="2" t="n"/>
      <c r="O7" s="17" t="inlineStr">
        <is>
          <t>C</t>
        </is>
      </c>
      <c r="Q7" s="17" t="inlineStr">
        <is>
          <t>Lucas Aquino</t>
        </is>
      </c>
      <c r="R7" s="17" t="inlineStr">
        <is>
          <t>Bruno Crispim</t>
        </is>
      </c>
    </row>
    <row r="8">
      <c r="A8" s="15">
        <f>C8&amp;D8</f>
        <v/>
      </c>
      <c r="C8" s="8" t="inlineStr">
        <is>
          <t>ARMACELL</t>
        </is>
      </c>
      <c r="D8" s="8" t="inlineStr">
        <is>
          <t>A</t>
        </is>
      </c>
      <c r="E8" s="9" t="inlineStr">
        <is>
          <t>Todos os itens</t>
        </is>
      </c>
      <c r="F8" s="10" t="n">
        <v>0</v>
      </c>
      <c r="G8" s="11" t="n">
        <v>2.12</v>
      </c>
      <c r="H8" s="11" t="n">
        <v>1.92</v>
      </c>
      <c r="I8" s="12" t="n">
        <v>45701</v>
      </c>
      <c r="K8" s="3" t="inlineStr">
        <is>
          <t>GS.BOGADO</t>
        </is>
      </c>
      <c r="M8" s="2" t="n"/>
      <c r="O8" s="17" t="inlineStr">
        <is>
          <t>D</t>
        </is>
      </c>
      <c r="Q8" s="17" t="n"/>
      <c r="R8" s="17" t="inlineStr">
        <is>
          <t>Túlio Batista</t>
        </is>
      </c>
    </row>
    <row r="9">
      <c r="A9" s="15">
        <f>C9&amp;D9</f>
        <v/>
      </c>
      <c r="C9" s="8" t="inlineStr">
        <is>
          <t>ARMACELL</t>
        </is>
      </c>
      <c r="D9" s="8" t="inlineStr">
        <is>
          <t>B</t>
        </is>
      </c>
      <c r="E9" s="9" t="n"/>
      <c r="F9" s="10" t="n"/>
      <c r="G9" s="11" t="n"/>
      <c r="H9" s="11" t="n"/>
      <c r="I9" s="12" t="n"/>
      <c r="K9" s="3" t="inlineStr">
        <is>
          <t>IMI</t>
        </is>
      </c>
      <c r="M9" s="2" t="n"/>
      <c r="Q9" s="17" t="n"/>
      <c r="R9" s="17" t="inlineStr">
        <is>
          <t>Rutemar Júnior</t>
        </is>
      </c>
    </row>
    <row r="10">
      <c r="A10" s="15">
        <f>C10&amp;D10</f>
        <v/>
      </c>
      <c r="C10" s="8" t="inlineStr">
        <is>
          <t>ARMACELL</t>
        </is>
      </c>
      <c r="D10" s="8" t="inlineStr">
        <is>
          <t>C</t>
        </is>
      </c>
      <c r="E10" s="9" t="n"/>
      <c r="F10" s="10" t="n"/>
      <c r="G10" s="11" t="n"/>
      <c r="H10" s="11" t="n"/>
      <c r="I10" s="12" t="n"/>
      <c r="K10" s="3" t="inlineStr">
        <is>
          <t>ISOPUR</t>
        </is>
      </c>
      <c r="Q10" s="17" t="n"/>
      <c r="R10" s="17" t="inlineStr">
        <is>
          <t>Iago Rangel</t>
        </is>
      </c>
    </row>
    <row r="11">
      <c r="A11" s="15">
        <f>C11&amp;D11</f>
        <v/>
      </c>
      <c r="C11" s="8" t="inlineStr">
        <is>
          <t>ARMACELL</t>
        </is>
      </c>
      <c r="D11" s="8" t="inlineStr">
        <is>
          <t>D</t>
        </is>
      </c>
      <c r="E11" s="9" t="n"/>
      <c r="F11" s="10" t="n"/>
      <c r="G11" s="11" t="n"/>
      <c r="H11" s="11" t="n"/>
      <c r="I11" s="12" t="n"/>
      <c r="K11" s="3" t="inlineStr">
        <is>
          <t>ISOVER</t>
        </is>
      </c>
      <c r="Q11" s="17" t="n"/>
      <c r="R11" s="17" t="inlineStr">
        <is>
          <t>Marlon Souza</t>
        </is>
      </c>
    </row>
    <row r="12">
      <c r="A12" s="15">
        <f>C12&amp;D12</f>
        <v/>
      </c>
      <c r="C12" s="3" t="inlineStr">
        <is>
          <t>GENEBRE</t>
        </is>
      </c>
      <c r="D12" s="3" t="inlineStr">
        <is>
          <t>A</t>
        </is>
      </c>
      <c r="E12" s="4" t="inlineStr">
        <is>
          <t>Todos os itens</t>
        </is>
      </c>
      <c r="F12" s="5" t="n">
        <v>0.08</v>
      </c>
      <c r="G12" s="6" t="n">
        <v>2.12</v>
      </c>
      <c r="H12" s="6" t="n">
        <v>1.92</v>
      </c>
      <c r="I12" s="7" t="n">
        <v>45701</v>
      </c>
      <c r="K12" s="3" t="inlineStr">
        <is>
          <t>MPU</t>
        </is>
      </c>
      <c r="Q12" s="17" t="n"/>
      <c r="R12" s="17" t="inlineStr">
        <is>
          <t>Ananda Araújo</t>
        </is>
      </c>
    </row>
    <row r="13">
      <c r="A13" s="15">
        <f>C13&amp;D13</f>
        <v/>
      </c>
      <c r="C13" s="3" t="inlineStr">
        <is>
          <t>GENEBRE</t>
        </is>
      </c>
      <c r="D13" s="3" t="inlineStr">
        <is>
          <t>B</t>
        </is>
      </c>
      <c r="E13" s="4" t="n"/>
      <c r="F13" s="5" t="n"/>
      <c r="G13" s="6" t="n"/>
      <c r="H13" s="6" t="n"/>
      <c r="I13" s="7" t="n"/>
      <c r="K13" s="3" t="inlineStr">
        <is>
          <t>MULTIVAC</t>
        </is>
      </c>
      <c r="Q13" s="17" t="n"/>
      <c r="R13" s="17" t="inlineStr">
        <is>
          <t>José Nascimento</t>
        </is>
      </c>
    </row>
    <row r="14">
      <c r="A14" s="15">
        <f>C14&amp;D14</f>
        <v/>
      </c>
      <c r="C14" s="3" t="inlineStr">
        <is>
          <t>GENEBRE</t>
        </is>
      </c>
      <c r="D14" s="3" t="inlineStr">
        <is>
          <t>C</t>
        </is>
      </c>
      <c r="E14" s="4" t="n"/>
      <c r="F14" s="5" t="n"/>
      <c r="G14" s="6" t="n"/>
      <c r="H14" s="6" t="n"/>
      <c r="I14" s="7" t="n"/>
      <c r="K14" s="3" t="inlineStr">
        <is>
          <t>NORMA DIN</t>
        </is>
      </c>
      <c r="Q14" s="17" t="n"/>
      <c r="R14" s="17" t="inlineStr">
        <is>
          <t>Patrick Galletti</t>
        </is>
      </c>
    </row>
    <row r="15">
      <c r="A15" s="15">
        <f>C15&amp;D15</f>
        <v/>
      </c>
      <c r="C15" s="3" t="inlineStr">
        <is>
          <t>GENEBRE</t>
        </is>
      </c>
      <c r="D15" s="3" t="inlineStr">
        <is>
          <t>D</t>
        </is>
      </c>
      <c r="E15" s="4" t="n"/>
      <c r="F15" s="5" t="n"/>
      <c r="G15" s="6" t="n"/>
      <c r="H15" s="6" t="n"/>
      <c r="I15" s="7" t="n"/>
      <c r="K15" s="3" t="inlineStr">
        <is>
          <t>POWERMATIC</t>
        </is>
      </c>
      <c r="Q15" s="17" t="n"/>
      <c r="R15" s="17" t="n"/>
    </row>
    <row r="16">
      <c r="A16" s="15">
        <f>C16&amp;D16</f>
        <v/>
      </c>
      <c r="C16" s="8" t="inlineStr">
        <is>
          <t>GS.BOGADO</t>
        </is>
      </c>
      <c r="D16" s="8" t="inlineStr">
        <is>
          <t>A</t>
        </is>
      </c>
      <c r="E16" s="9" t="inlineStr">
        <is>
          <t>Todos os itens</t>
        </is>
      </c>
      <c r="F16" s="10" t="n">
        <v>0.1</v>
      </c>
      <c r="G16" s="11" t="n">
        <v>2.12</v>
      </c>
      <c r="H16" s="11" t="n">
        <v>1.92</v>
      </c>
      <c r="I16" s="12" t="n">
        <v>45701</v>
      </c>
      <c r="K16" s="3" t="inlineStr">
        <is>
          <t>COMPRA LOCAL</t>
        </is>
      </c>
      <c r="Q16" s="17" t="n"/>
      <c r="R16" s="17" t="n"/>
    </row>
    <row r="17">
      <c r="A17" s="15">
        <f>C17&amp;D17</f>
        <v/>
      </c>
      <c r="C17" s="8" t="inlineStr">
        <is>
          <t>GS.BOGADO</t>
        </is>
      </c>
      <c r="D17" s="8" t="inlineStr">
        <is>
          <t>B</t>
        </is>
      </c>
      <c r="E17" s="9" t="n"/>
      <c r="F17" s="10" t="n"/>
      <c r="G17" s="11" t="n"/>
      <c r="H17" s="11" t="n"/>
      <c r="I17" s="12" t="n"/>
      <c r="K17" s="3" t="inlineStr">
        <is>
          <t>ROCKFIBRAS</t>
        </is>
      </c>
      <c r="Q17" s="17" t="n"/>
      <c r="R17" s="17" t="n"/>
    </row>
    <row r="18">
      <c r="A18" s="15">
        <f>C18&amp;D18</f>
        <v/>
      </c>
      <c r="C18" s="8" t="inlineStr">
        <is>
          <t>GS.BOGADO</t>
        </is>
      </c>
      <c r="D18" s="8" t="inlineStr">
        <is>
          <t>C</t>
        </is>
      </c>
      <c r="E18" s="9" t="n"/>
      <c r="F18" s="10" t="n"/>
      <c r="G18" s="11" t="n"/>
      <c r="H18" s="11" t="n"/>
      <c r="I18" s="12" t="n"/>
      <c r="K18" s="3" t="inlineStr">
        <is>
          <t>SICTELL</t>
        </is>
      </c>
      <c r="Q18" s="17" t="n"/>
      <c r="R18" s="17" t="n"/>
    </row>
    <row r="19">
      <c r="A19" s="15">
        <f>C19&amp;D19</f>
        <v/>
      </c>
      <c r="C19" s="8" t="inlineStr">
        <is>
          <t>GS.BOGADO</t>
        </is>
      </c>
      <c r="D19" s="8" t="inlineStr">
        <is>
          <t>D</t>
        </is>
      </c>
      <c r="E19" s="9" t="n"/>
      <c r="F19" s="10" t="n"/>
      <c r="G19" s="11" t="n"/>
      <c r="H19" s="11" t="n"/>
      <c r="I19" s="12" t="n"/>
      <c r="K19" s="3" t="inlineStr">
        <is>
          <t>TECTAPE</t>
        </is>
      </c>
      <c r="Q19" s="17" t="n"/>
      <c r="R19" s="17" t="n"/>
    </row>
    <row r="20">
      <c r="A20" s="15">
        <f>C20&amp;D20</f>
        <v/>
      </c>
      <c r="C20" s="3" t="inlineStr">
        <is>
          <t>IMI</t>
        </is>
      </c>
      <c r="D20" s="3" t="inlineStr">
        <is>
          <t>A</t>
        </is>
      </c>
      <c r="E20" s="4" t="inlineStr">
        <is>
          <t>Todos os itens (venda para Goiânia/GO)</t>
        </is>
      </c>
      <c r="F20" s="5" t="n">
        <v>0.08</v>
      </c>
      <c r="G20" s="6" t="n">
        <v>2.12</v>
      </c>
      <c r="H20" s="6" t="n">
        <v>1.92</v>
      </c>
      <c r="I20" s="7" t="n">
        <v>45701</v>
      </c>
      <c r="K20" s="3" t="inlineStr">
        <is>
          <t>TRON</t>
        </is>
      </c>
      <c r="Q20" s="17" t="n"/>
      <c r="R20" s="17" t="n"/>
    </row>
    <row r="21">
      <c r="A21" s="15">
        <f>C21&amp;D21</f>
        <v/>
      </c>
      <c r="C21" s="3" t="inlineStr">
        <is>
          <t>IMI</t>
        </is>
      </c>
      <c r="D21" s="3" t="inlineStr">
        <is>
          <t>B</t>
        </is>
      </c>
      <c r="E21" s="4" t="inlineStr">
        <is>
          <t>Todos os itens (venda para Brasília/DF)</t>
        </is>
      </c>
      <c r="F21" s="5" t="n">
        <v>0.11</v>
      </c>
      <c r="G21" s="6" t="n">
        <v>2.12</v>
      </c>
      <c r="H21" s="6" t="n">
        <v>1.92</v>
      </c>
      <c r="I21" s="7" t="n">
        <v>45701</v>
      </c>
      <c r="K21" s="3" t="inlineStr">
        <is>
          <t>TROX</t>
        </is>
      </c>
      <c r="Q21" s="17" t="n"/>
      <c r="R21" s="17" t="n"/>
    </row>
    <row r="22">
      <c r="A22" s="15">
        <f>C22&amp;D22</f>
        <v/>
      </c>
      <c r="C22" s="3" t="inlineStr">
        <is>
          <t>IMI</t>
        </is>
      </c>
      <c r="D22" s="3" t="inlineStr">
        <is>
          <t>C</t>
        </is>
      </c>
      <c r="E22" s="4" t="n"/>
      <c r="F22" s="5" t="n"/>
      <c r="G22" s="6" t="n"/>
      <c r="H22" s="6" t="n"/>
      <c r="I22" s="7" t="n"/>
      <c r="K22" s="3" t="inlineStr">
        <is>
          <t>VENTISOL</t>
        </is>
      </c>
      <c r="Q22" s="17" t="n"/>
      <c r="R22" s="17" t="n"/>
    </row>
    <row r="23">
      <c r="A23" s="15">
        <f>C23&amp;D23</f>
        <v/>
      </c>
      <c r="C23" s="3" t="inlineStr">
        <is>
          <t>IMI</t>
        </is>
      </c>
      <c r="D23" s="3" t="inlineStr">
        <is>
          <t>D</t>
        </is>
      </c>
      <c r="E23" s="4" t="n"/>
      <c r="F23" s="5" t="n"/>
      <c r="G23" s="6" t="n"/>
      <c r="H23" s="6" t="n"/>
      <c r="I23" s="7" t="n"/>
      <c r="K23" s="3" t="inlineStr">
        <is>
          <t>PENNSE</t>
        </is>
      </c>
      <c r="Q23" s="17" t="n"/>
      <c r="R23" s="17" t="n"/>
    </row>
    <row r="24">
      <c r="A24" s="15">
        <f>C24&amp;D24</f>
        <v/>
      </c>
      <c r="C24" s="8" t="inlineStr">
        <is>
          <t>ISOPUR</t>
        </is>
      </c>
      <c r="D24" s="8" t="inlineStr">
        <is>
          <t>A</t>
        </is>
      </c>
      <c r="E24" s="9" t="inlineStr">
        <is>
          <t>Mantas</t>
        </is>
      </c>
      <c r="F24" s="10" t="n">
        <v>0.3</v>
      </c>
      <c r="G24" s="11" t="n">
        <v>2.12</v>
      </c>
      <c r="H24" s="11" t="n">
        <v>1.92</v>
      </c>
      <c r="I24" s="12" t="n">
        <v>45701</v>
      </c>
      <c r="K24" s="3" t="inlineStr">
        <is>
          <t>TRANE</t>
        </is>
      </c>
      <c r="Q24" s="17" t="n"/>
      <c r="R24" s="17" t="n"/>
    </row>
    <row r="25">
      <c r="A25" s="15">
        <f>C25&amp;D25</f>
        <v/>
      </c>
      <c r="C25" s="8" t="inlineStr">
        <is>
          <t>ISOPUR</t>
        </is>
      </c>
      <c r="D25" s="8" t="inlineStr">
        <is>
          <t>B</t>
        </is>
      </c>
      <c r="E25" s="9" t="inlineStr">
        <is>
          <t>Demais itens (exceto descrito nos demais grupos)</t>
        </is>
      </c>
      <c r="F25" s="10" t="n">
        <v>0.1</v>
      </c>
      <c r="G25" s="11" t="n">
        <v>2.12</v>
      </c>
      <c r="H25" s="11" t="n">
        <v>1.92</v>
      </c>
      <c r="I25" s="12" t="n">
        <v>45701</v>
      </c>
      <c r="K25" s="3" t="inlineStr">
        <is>
          <t>ELECON/WALSYWA</t>
        </is>
      </c>
      <c r="Q25" s="17" t="n"/>
      <c r="R25" s="17" t="n"/>
    </row>
    <row r="26">
      <c r="A26" s="15">
        <f>C26&amp;D26</f>
        <v/>
      </c>
      <c r="C26" s="8" t="inlineStr">
        <is>
          <t>ISOPUR</t>
        </is>
      </c>
      <c r="D26" s="8" t="inlineStr">
        <is>
          <t>C</t>
        </is>
      </c>
      <c r="E26" s="9" t="n"/>
      <c r="F26" s="10" t="n"/>
      <c r="G26" s="11" t="n"/>
      <c r="H26" s="11" t="n"/>
      <c r="I26" s="12" t="n"/>
      <c r="K26" s="3" t="inlineStr">
        <is>
          <t>FORNECEDOR PVC-U</t>
        </is>
      </c>
      <c r="Q26" s="17" t="n"/>
      <c r="R26" s="17" t="n"/>
    </row>
    <row r="27">
      <c r="A27" s="15">
        <f>C27&amp;D27</f>
        <v/>
      </c>
      <c r="C27" s="8" t="inlineStr">
        <is>
          <t>ISOPUR</t>
        </is>
      </c>
      <c r="D27" s="8" t="inlineStr">
        <is>
          <t>D</t>
        </is>
      </c>
      <c r="E27" s="9" t="n"/>
      <c r="F27" s="10" t="n"/>
      <c r="G27" s="11" t="n"/>
      <c r="H27" s="11" t="n"/>
      <c r="I27" s="12" t="n"/>
      <c r="K27" s="3" t="inlineStr">
        <is>
          <t>PROJELMEC</t>
        </is>
      </c>
      <c r="Q27" s="17" t="n"/>
      <c r="R27" s="17" t="n"/>
    </row>
    <row r="28">
      <c r="A28" s="15">
        <f>C28&amp;D28</f>
        <v/>
      </c>
      <c r="C28" s="3" t="inlineStr">
        <is>
          <t>ISOVER</t>
        </is>
      </c>
      <c r="D28" s="3" t="inlineStr">
        <is>
          <t>A</t>
        </is>
      </c>
      <c r="E28" s="4" t="inlineStr">
        <is>
          <t>Rolo de Manta</t>
        </is>
      </c>
      <c r="F28" s="5" t="n">
        <v>0.3</v>
      </c>
      <c r="G28" s="6" t="n">
        <v>2.12</v>
      </c>
      <c r="H28" s="6" t="n">
        <v>1.92</v>
      </c>
      <c r="I28" s="7" t="n">
        <v>45701</v>
      </c>
      <c r="K28" s="3" t="inlineStr">
        <is>
          <t>DAIKIN</t>
        </is>
      </c>
      <c r="Q28" s="17" t="n"/>
      <c r="R28" s="17" t="n"/>
    </row>
    <row r="29">
      <c r="A29" s="15">
        <f>C29&amp;D29</f>
        <v/>
      </c>
      <c r="C29" s="3" t="inlineStr">
        <is>
          <t>ISOVER</t>
        </is>
      </c>
      <c r="D29" s="3" t="inlineStr">
        <is>
          <t>B</t>
        </is>
      </c>
      <c r="E29" s="4" t="inlineStr">
        <is>
          <t>Painel</t>
        </is>
      </c>
      <c r="F29" s="5" t="n">
        <v>0.5</v>
      </c>
      <c r="G29" s="6" t="n">
        <v>2.12</v>
      </c>
      <c r="H29" s="6" t="n">
        <v>1.92</v>
      </c>
      <c r="I29" s="7" t="n">
        <v>45701</v>
      </c>
      <c r="K29" s="3" t="inlineStr">
        <is>
          <t>FORNECEDOR DE COBRE</t>
        </is>
      </c>
      <c r="Q29" s="17" t="n"/>
      <c r="R29" s="17" t="n"/>
    </row>
    <row r="30">
      <c r="A30" s="15">
        <f>C30&amp;D30</f>
        <v/>
      </c>
      <c r="C30" s="3" t="inlineStr">
        <is>
          <t>ISOVER</t>
        </is>
      </c>
      <c r="D30" s="3" t="inlineStr">
        <is>
          <t>C</t>
        </is>
      </c>
      <c r="E30" s="4" t="inlineStr">
        <is>
          <t>Demais itens (exceto descrito nos demais grupos)</t>
        </is>
      </c>
      <c r="F30" s="5" t="n">
        <v>0.1</v>
      </c>
      <c r="G30" s="6" t="n">
        <v>2.12</v>
      </c>
      <c r="H30" s="6" t="n">
        <v>1.92</v>
      </c>
      <c r="I30" s="7" t="n">
        <v>45701</v>
      </c>
      <c r="K30" s="3" t="inlineStr">
        <is>
          <t>ROCKTEC</t>
        </is>
      </c>
      <c r="Q30" s="17" t="n"/>
      <c r="R30" s="17" t="n"/>
    </row>
    <row r="31">
      <c r="A31" s="15">
        <f>C31&amp;D31</f>
        <v/>
      </c>
      <c r="C31" s="3" t="inlineStr">
        <is>
          <t>ISOVER</t>
        </is>
      </c>
      <c r="D31" s="3" t="inlineStr">
        <is>
          <t>D</t>
        </is>
      </c>
      <c r="E31" s="4" t="n"/>
      <c r="F31" s="5" t="n"/>
      <c r="G31" s="6" t="n"/>
      <c r="H31" s="6" t="n"/>
      <c r="I31" s="7" t="n"/>
      <c r="K31" s="3" t="inlineStr">
        <is>
          <t>-</t>
        </is>
      </c>
      <c r="Q31" s="17" t="n"/>
      <c r="R31" s="17" t="n"/>
    </row>
    <row r="32">
      <c r="A32" s="15">
        <f>C32&amp;D32</f>
        <v/>
      </c>
      <c r="C32" s="8" t="inlineStr">
        <is>
          <t>MPU</t>
        </is>
      </c>
      <c r="D32" s="8" t="inlineStr">
        <is>
          <t>A</t>
        </is>
      </c>
      <c r="E32" s="9" t="inlineStr">
        <is>
          <t>Todos os itens</t>
        </is>
      </c>
      <c r="F32" s="10" t="n">
        <v>0.08</v>
      </c>
      <c r="G32" s="11" t="n">
        <v>2.12</v>
      </c>
      <c r="H32" s="11" t="n">
        <v>1.92</v>
      </c>
      <c r="I32" s="12" t="n">
        <v>45701</v>
      </c>
      <c r="K32" s="3" t="inlineStr">
        <is>
          <t>-</t>
        </is>
      </c>
      <c r="Q32" s="17" t="n"/>
      <c r="R32" s="17" t="n"/>
    </row>
    <row r="33">
      <c r="A33" s="15">
        <f>C33&amp;D33</f>
        <v/>
      </c>
      <c r="C33" s="8" t="inlineStr">
        <is>
          <t>MPU</t>
        </is>
      </c>
      <c r="D33" s="8" t="inlineStr">
        <is>
          <t>B</t>
        </is>
      </c>
      <c r="E33" s="9" t="n"/>
      <c r="F33" s="10" t="n"/>
      <c r="G33" s="11" t="n"/>
      <c r="H33" s="11" t="n"/>
      <c r="I33" s="12" t="n"/>
      <c r="K33" s="3" t="inlineStr">
        <is>
          <t>-</t>
        </is>
      </c>
      <c r="Q33" s="17" t="n"/>
      <c r="R33" s="17" t="n"/>
    </row>
    <row r="34">
      <c r="A34" s="15">
        <f>C34&amp;D34</f>
        <v/>
      </c>
      <c r="C34" s="8" t="inlineStr">
        <is>
          <t>MPU</t>
        </is>
      </c>
      <c r="D34" s="8" t="inlineStr">
        <is>
          <t>C</t>
        </is>
      </c>
      <c r="E34" s="9" t="n"/>
      <c r="F34" s="10" t="n"/>
      <c r="G34" s="11" t="n"/>
      <c r="H34" s="11" t="n"/>
      <c r="I34" s="12" t="n"/>
      <c r="K34" s="3" t="inlineStr">
        <is>
          <t>-</t>
        </is>
      </c>
    </row>
    <row r="35">
      <c r="A35" s="15">
        <f>C35&amp;D35</f>
        <v/>
      </c>
      <c r="C35" s="8" t="inlineStr">
        <is>
          <t>MPU</t>
        </is>
      </c>
      <c r="D35" s="8" t="inlineStr">
        <is>
          <t>D</t>
        </is>
      </c>
      <c r="E35" s="9" t="n"/>
      <c r="F35" s="10" t="n"/>
      <c r="G35" s="11" t="n"/>
      <c r="H35" s="11" t="n"/>
      <c r="I35" s="12" t="n"/>
      <c r="K35" s="3" t="inlineStr">
        <is>
          <t>-</t>
        </is>
      </c>
    </row>
    <row r="36">
      <c r="A36" s="15">
        <f>C36&amp;D36</f>
        <v/>
      </c>
      <c r="C36" s="3" t="inlineStr">
        <is>
          <t>MULTIVAC</t>
        </is>
      </c>
      <c r="D36" s="3" t="inlineStr">
        <is>
          <t>A</t>
        </is>
      </c>
      <c r="E36" s="4" t="inlineStr">
        <is>
          <t>Todos os itens</t>
        </is>
      </c>
      <c r="F36" s="5" t="n">
        <v>0.08</v>
      </c>
      <c r="G36" s="6" t="n">
        <v>2.12</v>
      </c>
      <c r="H36" s="6" t="n">
        <v>1.92</v>
      </c>
      <c r="I36" s="7" t="n">
        <v>45701</v>
      </c>
      <c r="K36" s="3" t="inlineStr">
        <is>
          <t>-</t>
        </is>
      </c>
    </row>
    <row r="37">
      <c r="A37" s="15">
        <f>C37&amp;D37</f>
        <v/>
      </c>
      <c r="C37" s="3" t="inlineStr">
        <is>
          <t>MULTIVAC</t>
        </is>
      </c>
      <c r="D37" s="3" t="inlineStr">
        <is>
          <t>B</t>
        </is>
      </c>
      <c r="E37" s="4" t="n"/>
      <c r="F37" s="5" t="n"/>
      <c r="G37" s="6" t="n"/>
      <c r="H37" s="6" t="n"/>
      <c r="I37" s="7" t="n"/>
      <c r="K37" s="3" t="inlineStr">
        <is>
          <t>-</t>
        </is>
      </c>
    </row>
    <row r="38">
      <c r="A38" s="15">
        <f>C38&amp;D38</f>
        <v/>
      </c>
      <c r="C38" s="3" t="inlineStr">
        <is>
          <t>MULTIVAC</t>
        </is>
      </c>
      <c r="D38" s="3" t="inlineStr">
        <is>
          <t>C</t>
        </is>
      </c>
      <c r="E38" s="4" t="n"/>
      <c r="F38" s="5" t="n"/>
      <c r="G38" s="6" t="n"/>
      <c r="H38" s="6" t="n"/>
      <c r="I38" s="7" t="n"/>
      <c r="K38" s="3" t="inlineStr">
        <is>
          <t>-</t>
        </is>
      </c>
    </row>
    <row r="39">
      <c r="A39" s="15">
        <f>C39&amp;D39</f>
        <v/>
      </c>
      <c r="C39" s="3" t="inlineStr">
        <is>
          <t>MULTIVAC</t>
        </is>
      </c>
      <c r="D39" s="3" t="inlineStr">
        <is>
          <t>D</t>
        </is>
      </c>
      <c r="E39" s="4" t="n"/>
      <c r="F39" s="5" t="n"/>
      <c r="G39" s="6" t="n"/>
      <c r="H39" s="6" t="n"/>
      <c r="I39" s="7" t="n"/>
      <c r="K39" s="3" t="inlineStr">
        <is>
          <t>-</t>
        </is>
      </c>
    </row>
    <row r="40">
      <c r="A40" s="15">
        <f>C40&amp;D40</f>
        <v/>
      </c>
      <c r="C40" s="8" t="inlineStr">
        <is>
          <t>NORMA DIN</t>
        </is>
      </c>
      <c r="D40" s="8" t="inlineStr">
        <is>
          <t>A</t>
        </is>
      </c>
      <c r="E40" s="9" t="inlineStr">
        <is>
          <t>Todos os itens</t>
        </is>
      </c>
      <c r="F40" s="10" t="n">
        <v>0.05</v>
      </c>
      <c r="G40" s="11" t="n">
        <v>2.12</v>
      </c>
      <c r="H40" s="11" t="n">
        <v>1.92</v>
      </c>
      <c r="I40" s="12" t="n">
        <v>45701</v>
      </c>
      <c r="K40" s="3" t="inlineStr">
        <is>
          <t>-</t>
        </is>
      </c>
    </row>
    <row r="41">
      <c r="A41" s="15">
        <f>C41&amp;D41</f>
        <v/>
      </c>
      <c r="C41" s="8" t="inlineStr">
        <is>
          <t>NORMA DIN</t>
        </is>
      </c>
      <c r="D41" s="8" t="inlineStr">
        <is>
          <t>B</t>
        </is>
      </c>
      <c r="E41" s="9" t="n"/>
      <c r="F41" s="10" t="n"/>
      <c r="G41" s="11" t="n"/>
      <c r="H41" s="11" t="n"/>
      <c r="I41" s="12" t="n"/>
      <c r="K41" s="3" t="inlineStr">
        <is>
          <t>-</t>
        </is>
      </c>
    </row>
    <row r="42">
      <c r="A42" s="15">
        <f>C42&amp;D42</f>
        <v/>
      </c>
      <c r="C42" s="8" t="inlineStr">
        <is>
          <t>NORMA DIN</t>
        </is>
      </c>
      <c r="D42" s="8" t="inlineStr">
        <is>
          <t>C</t>
        </is>
      </c>
      <c r="E42" s="9" t="n"/>
      <c r="F42" s="10" t="n"/>
      <c r="G42" s="11" t="n"/>
      <c r="H42" s="11" t="n"/>
      <c r="I42" s="12" t="n"/>
      <c r="K42" s="3" t="inlineStr">
        <is>
          <t>-</t>
        </is>
      </c>
    </row>
    <row r="43">
      <c r="A43" s="15">
        <f>C43&amp;D43</f>
        <v/>
      </c>
      <c r="C43" s="8" t="inlineStr">
        <is>
          <t>NORMA DIN</t>
        </is>
      </c>
      <c r="D43" s="8" t="inlineStr">
        <is>
          <t>D</t>
        </is>
      </c>
      <c r="E43" s="9" t="n"/>
      <c r="F43" s="10" t="n"/>
      <c r="G43" s="11" t="n"/>
      <c r="H43" s="11" t="n"/>
      <c r="I43" s="12" t="n"/>
      <c r="K43" s="3" t="inlineStr">
        <is>
          <t>-</t>
        </is>
      </c>
    </row>
    <row r="44">
      <c r="A44" s="15">
        <f>C44&amp;D44</f>
        <v/>
      </c>
      <c r="C44" s="3" t="inlineStr">
        <is>
          <t>POWERMATIC</t>
        </is>
      </c>
      <c r="D44" s="3" t="inlineStr">
        <is>
          <t>A</t>
        </is>
      </c>
      <c r="E44" s="4" t="inlineStr">
        <is>
          <t>Todos os itens (venda para Goiânia/GO)</t>
        </is>
      </c>
      <c r="F44" s="5" t="n">
        <v>0.1</v>
      </c>
      <c r="G44" s="6" t="n">
        <v>2.12</v>
      </c>
      <c r="H44" s="6" t="n">
        <v>1.92</v>
      </c>
      <c r="I44" s="7" t="n">
        <v>45701</v>
      </c>
      <c r="K44" s="3" t="inlineStr">
        <is>
          <t>-</t>
        </is>
      </c>
    </row>
    <row r="45">
      <c r="A45" s="15">
        <f>C45&amp;D45</f>
        <v/>
      </c>
      <c r="C45" s="3" t="inlineStr">
        <is>
          <t>POWERMATIC</t>
        </is>
      </c>
      <c r="D45" s="3" t="inlineStr">
        <is>
          <t>B</t>
        </is>
      </c>
      <c r="E45" s="4" t="inlineStr">
        <is>
          <t>Todos os itens (venda para Brasília/DF)</t>
        </is>
      </c>
      <c r="F45" s="5" t="n">
        <v>0.15</v>
      </c>
      <c r="G45" s="6" t="n">
        <v>2.12</v>
      </c>
      <c r="H45" s="6" t="n">
        <v>1.92</v>
      </c>
      <c r="I45" s="7" t="n">
        <v>45701</v>
      </c>
      <c r="K45" s="3" t="inlineStr">
        <is>
          <t>-</t>
        </is>
      </c>
    </row>
    <row r="46">
      <c r="A46" s="15">
        <f>C46&amp;D46</f>
        <v/>
      </c>
      <c r="C46" s="3" t="inlineStr">
        <is>
          <t>POWERMATIC</t>
        </is>
      </c>
      <c r="D46" s="3" t="inlineStr">
        <is>
          <t>C</t>
        </is>
      </c>
      <c r="E46" s="4" t="n"/>
      <c r="F46" s="5" t="n"/>
      <c r="G46" s="6" t="n"/>
      <c r="H46" s="6" t="n"/>
      <c r="I46" s="7" t="n"/>
      <c r="K46" s="3" t="inlineStr">
        <is>
          <t>-</t>
        </is>
      </c>
    </row>
    <row r="47">
      <c r="A47" s="15">
        <f>C47&amp;D47</f>
        <v/>
      </c>
      <c r="C47" s="3" t="inlineStr">
        <is>
          <t>POWERMATIC</t>
        </is>
      </c>
      <c r="D47" s="3" t="inlineStr">
        <is>
          <t>D</t>
        </is>
      </c>
      <c r="E47" s="4" t="n"/>
      <c r="F47" s="5" t="n"/>
      <c r="G47" s="6" t="n"/>
      <c r="H47" s="6" t="n"/>
      <c r="I47" s="7" t="n"/>
      <c r="K47" s="3" t="inlineStr">
        <is>
          <t>-</t>
        </is>
      </c>
    </row>
    <row r="48">
      <c r="A48" s="15">
        <f>C48&amp;D48</f>
        <v/>
      </c>
      <c r="C48" s="8" t="inlineStr">
        <is>
          <t>COMPRA LOCAL</t>
        </is>
      </c>
      <c r="D48" s="8" t="inlineStr">
        <is>
          <t>A</t>
        </is>
      </c>
      <c r="E48" s="9" t="inlineStr">
        <is>
          <t>Todos os itens</t>
        </is>
      </c>
      <c r="F48" s="10" t="n">
        <v>0</v>
      </c>
      <c r="G48" s="11" t="n">
        <v>2.12</v>
      </c>
      <c r="H48" s="11" t="n">
        <v>1.92</v>
      </c>
      <c r="I48" s="12" t="n">
        <v>45701</v>
      </c>
      <c r="K48" s="3" t="inlineStr">
        <is>
          <t>-</t>
        </is>
      </c>
    </row>
    <row r="49">
      <c r="A49" s="15">
        <f>C49&amp;D49</f>
        <v/>
      </c>
      <c r="C49" s="8" t="inlineStr">
        <is>
          <t>COMPRA LOCAL</t>
        </is>
      </c>
      <c r="D49" s="8" t="inlineStr">
        <is>
          <t>B</t>
        </is>
      </c>
      <c r="E49" s="9" t="n"/>
      <c r="F49" s="10" t="n"/>
      <c r="G49" s="11" t="n"/>
      <c r="H49" s="11" t="n"/>
      <c r="I49" s="12" t="n"/>
      <c r="K49" s="3" t="inlineStr">
        <is>
          <t>-</t>
        </is>
      </c>
    </row>
    <row r="50">
      <c r="A50" s="15">
        <f>C50&amp;D50</f>
        <v/>
      </c>
      <c r="C50" s="8" t="inlineStr">
        <is>
          <t>COMPRA LOCAL</t>
        </is>
      </c>
      <c r="D50" s="8" t="inlineStr">
        <is>
          <t>C</t>
        </is>
      </c>
      <c r="E50" s="9" t="n"/>
      <c r="F50" s="10" t="n"/>
      <c r="G50" s="11" t="n"/>
      <c r="H50" s="11" t="n"/>
      <c r="I50" s="12" t="n"/>
      <c r="K50" s="3" t="inlineStr">
        <is>
          <t>-</t>
        </is>
      </c>
    </row>
    <row r="51">
      <c r="A51" s="15">
        <f>C51&amp;D51</f>
        <v/>
      </c>
      <c r="C51" s="8" t="inlineStr">
        <is>
          <t>COMPRA LOCAL</t>
        </is>
      </c>
      <c r="D51" s="8" t="inlineStr">
        <is>
          <t>D</t>
        </is>
      </c>
      <c r="E51" s="9" t="n"/>
      <c r="F51" s="10" t="n"/>
      <c r="G51" s="11" t="n"/>
      <c r="H51" s="11" t="n"/>
      <c r="I51" s="12" t="n"/>
      <c r="K51" s="3" t="inlineStr">
        <is>
          <t>-</t>
        </is>
      </c>
    </row>
    <row r="52">
      <c r="A52" s="15">
        <f>C52&amp;D52</f>
        <v/>
      </c>
      <c r="C52" s="3" t="inlineStr">
        <is>
          <t>ROCKFIBRAS</t>
        </is>
      </c>
      <c r="D52" s="3" t="inlineStr">
        <is>
          <t>A</t>
        </is>
      </c>
      <c r="E52" s="4" t="inlineStr">
        <is>
          <t>Rolo de Manta</t>
        </is>
      </c>
      <c r="F52" s="5" t="n">
        <v>0.3</v>
      </c>
      <c r="G52" s="6" t="n">
        <v>2.12</v>
      </c>
      <c r="H52" s="6" t="n">
        <v>1.92</v>
      </c>
      <c r="I52" s="7" t="n">
        <v>45701</v>
      </c>
      <c r="K52" s="3" t="inlineStr">
        <is>
          <t>-</t>
        </is>
      </c>
    </row>
    <row r="53">
      <c r="A53" s="15">
        <f>C53&amp;D53</f>
        <v/>
      </c>
      <c r="C53" s="3" t="inlineStr">
        <is>
          <t>ROCKFIBRAS</t>
        </is>
      </c>
      <c r="D53" s="3" t="inlineStr">
        <is>
          <t>B</t>
        </is>
      </c>
      <c r="E53" s="4" t="inlineStr">
        <is>
          <t>Painel</t>
        </is>
      </c>
      <c r="F53" s="5" t="n">
        <v>0.5</v>
      </c>
      <c r="G53" s="6" t="n">
        <v>2.12</v>
      </c>
      <c r="H53" s="6" t="n">
        <v>1.92</v>
      </c>
      <c r="I53" s="7" t="n">
        <v>45701</v>
      </c>
      <c r="K53" s="3" t="inlineStr">
        <is>
          <t>-</t>
        </is>
      </c>
    </row>
    <row r="54">
      <c r="A54" s="15">
        <f>C54&amp;D54</f>
        <v/>
      </c>
      <c r="C54" s="3" t="inlineStr">
        <is>
          <t>ROCKFIBRAS</t>
        </is>
      </c>
      <c r="D54" s="3" t="inlineStr">
        <is>
          <t>C</t>
        </is>
      </c>
      <c r="E54" s="4" t="inlineStr">
        <is>
          <t>Demais itens (exceto descrito nos demais grupos)</t>
        </is>
      </c>
      <c r="F54" s="5" t="n">
        <v>0.1</v>
      </c>
      <c r="G54" s="6" t="n">
        <v>2.12</v>
      </c>
      <c r="H54" s="6" t="n">
        <v>1.92</v>
      </c>
      <c r="I54" s="7" t="n">
        <v>45701</v>
      </c>
      <c r="K54" s="3" t="inlineStr">
        <is>
          <t>-</t>
        </is>
      </c>
    </row>
    <row r="55">
      <c r="A55" s="15">
        <f>C55&amp;D55</f>
        <v/>
      </c>
      <c r="C55" s="3" t="inlineStr">
        <is>
          <t>ROCKFIBRAS</t>
        </is>
      </c>
      <c r="D55" s="3" t="inlineStr">
        <is>
          <t>D</t>
        </is>
      </c>
      <c r="E55" s="4" t="n"/>
      <c r="F55" s="5" t="n"/>
      <c r="G55" s="6" t="n"/>
      <c r="H55" s="6" t="n"/>
      <c r="I55" s="7" t="n"/>
      <c r="K55" s="3" t="inlineStr">
        <is>
          <t>-</t>
        </is>
      </c>
    </row>
    <row r="56">
      <c r="A56" s="15">
        <f>C56&amp;D56</f>
        <v/>
      </c>
      <c r="C56" s="8" t="inlineStr">
        <is>
          <t>SICTELL</t>
        </is>
      </c>
      <c r="D56" s="8" t="inlineStr">
        <is>
          <t>A</t>
        </is>
      </c>
      <c r="E56" s="9" t="inlineStr">
        <is>
          <t>Todos os itens</t>
        </is>
      </c>
      <c r="F56" s="10" t="n">
        <v>0</v>
      </c>
      <c r="G56" s="11" t="n">
        <v>2.12</v>
      </c>
      <c r="H56" s="11" t="n">
        <v>1.92</v>
      </c>
      <c r="I56" s="12" t="n">
        <v>45701</v>
      </c>
      <c r="K56" s="3" t="inlineStr">
        <is>
          <t>-</t>
        </is>
      </c>
    </row>
    <row r="57">
      <c r="A57" s="15">
        <f>C57&amp;D57</f>
        <v/>
      </c>
      <c r="C57" s="8" t="inlineStr">
        <is>
          <t>SICTELL</t>
        </is>
      </c>
      <c r="D57" s="8" t="inlineStr">
        <is>
          <t>B</t>
        </is>
      </c>
      <c r="E57" s="9" t="n"/>
      <c r="F57" s="10" t="n"/>
      <c r="G57" s="11" t="n"/>
      <c r="H57" s="11" t="n"/>
      <c r="I57" s="12" t="n"/>
      <c r="K57" s="3" t="inlineStr">
        <is>
          <t>-</t>
        </is>
      </c>
    </row>
    <row r="58">
      <c r="A58" s="15">
        <f>C58&amp;D58</f>
        <v/>
      </c>
      <c r="C58" s="8" t="inlineStr">
        <is>
          <t>SICTELL</t>
        </is>
      </c>
      <c r="D58" s="8" t="inlineStr">
        <is>
          <t>C</t>
        </is>
      </c>
      <c r="E58" s="9" t="n"/>
      <c r="F58" s="10" t="n"/>
      <c r="G58" s="11" t="n"/>
      <c r="H58" s="11" t="n"/>
      <c r="I58" s="12" t="n"/>
      <c r="K58" s="3" t="inlineStr">
        <is>
          <t>-</t>
        </is>
      </c>
    </row>
    <row r="59">
      <c r="A59" s="15">
        <f>C59&amp;D59</f>
        <v/>
      </c>
      <c r="C59" s="8" t="inlineStr">
        <is>
          <t>SICTELL</t>
        </is>
      </c>
      <c r="D59" s="8" t="inlineStr">
        <is>
          <t>D</t>
        </is>
      </c>
      <c r="E59" s="9" t="n"/>
      <c r="F59" s="10" t="n"/>
      <c r="G59" s="11" t="n"/>
      <c r="H59" s="11" t="n"/>
      <c r="I59" s="12" t="n"/>
      <c r="K59" s="3" t="inlineStr">
        <is>
          <t>-</t>
        </is>
      </c>
    </row>
    <row r="60">
      <c r="A60" s="15">
        <f>C60&amp;D60</f>
        <v/>
      </c>
      <c r="C60" s="3" t="inlineStr">
        <is>
          <t>TECTAPE</t>
        </is>
      </c>
      <c r="D60" s="3" t="inlineStr">
        <is>
          <t>A</t>
        </is>
      </c>
      <c r="E60" s="4" t="inlineStr">
        <is>
          <t>Todos os itens</t>
        </is>
      </c>
      <c r="F60" s="5" t="n">
        <v>0.08</v>
      </c>
      <c r="G60" s="6" t="n">
        <v>2.12</v>
      </c>
      <c r="H60" s="6" t="n">
        <v>1.92</v>
      </c>
      <c r="I60" s="7" t="n">
        <v>45701</v>
      </c>
      <c r="K60" s="3" t="inlineStr">
        <is>
          <t>-</t>
        </is>
      </c>
    </row>
    <row r="61">
      <c r="A61" s="15">
        <f>C61&amp;D61</f>
        <v/>
      </c>
      <c r="C61" s="3" t="inlineStr">
        <is>
          <t>TECTAPE</t>
        </is>
      </c>
      <c r="D61" s="3" t="inlineStr">
        <is>
          <t>B</t>
        </is>
      </c>
      <c r="E61" s="4" t="n"/>
      <c r="F61" s="5" t="n"/>
      <c r="G61" s="6" t="n"/>
      <c r="H61" s="6" t="n"/>
      <c r="I61" s="7" t="n"/>
      <c r="K61" s="3" t="inlineStr">
        <is>
          <t>-</t>
        </is>
      </c>
    </row>
    <row r="62">
      <c r="A62" s="15">
        <f>C62&amp;D62</f>
        <v/>
      </c>
      <c r="C62" s="3" t="inlineStr">
        <is>
          <t>TECTAPE</t>
        </is>
      </c>
      <c r="D62" s="3" t="inlineStr">
        <is>
          <t>C</t>
        </is>
      </c>
      <c r="E62" s="4" t="n"/>
      <c r="F62" s="5" t="n"/>
      <c r="G62" s="6" t="n"/>
      <c r="H62" s="6" t="n"/>
      <c r="I62" s="7" t="n"/>
      <c r="K62" s="3" t="inlineStr">
        <is>
          <t>-</t>
        </is>
      </c>
    </row>
    <row r="63">
      <c r="A63" s="15">
        <f>C63&amp;D63</f>
        <v/>
      </c>
      <c r="C63" s="3" t="inlineStr">
        <is>
          <t>TECTAPE</t>
        </is>
      </c>
      <c r="D63" s="3" t="inlineStr">
        <is>
          <t>D</t>
        </is>
      </c>
      <c r="E63" s="4" t="n"/>
      <c r="F63" s="5" t="n"/>
      <c r="G63" s="6" t="n"/>
      <c r="H63" s="6" t="n"/>
      <c r="I63" s="7" t="n"/>
      <c r="K63" s="3" t="inlineStr">
        <is>
          <t>-</t>
        </is>
      </c>
    </row>
    <row r="64">
      <c r="A64" s="15">
        <f>C64&amp;D64</f>
        <v/>
      </c>
      <c r="C64" s="8" t="inlineStr">
        <is>
          <t>TRON</t>
        </is>
      </c>
      <c r="D64" s="8" t="inlineStr">
        <is>
          <t>A</t>
        </is>
      </c>
      <c r="E64" s="9" t="inlineStr">
        <is>
          <t>Todos os itens</t>
        </is>
      </c>
      <c r="F64" s="10" t="n">
        <v>0.12</v>
      </c>
      <c r="G64" s="11" t="n">
        <v>2.12</v>
      </c>
      <c r="H64" s="11" t="n">
        <v>1.92</v>
      </c>
      <c r="I64" s="12" t="n">
        <v>45701</v>
      </c>
      <c r="K64" s="3" t="inlineStr">
        <is>
          <t>-</t>
        </is>
      </c>
    </row>
    <row r="65">
      <c r="A65" s="15">
        <f>C65&amp;D65</f>
        <v/>
      </c>
      <c r="C65" s="8" t="inlineStr">
        <is>
          <t>TRON</t>
        </is>
      </c>
      <c r="D65" s="8" t="inlineStr">
        <is>
          <t>B</t>
        </is>
      </c>
      <c r="E65" s="9" t="n"/>
      <c r="F65" s="10" t="n"/>
      <c r="G65" s="11" t="n"/>
      <c r="H65" s="11" t="n"/>
      <c r="I65" s="12" t="n"/>
      <c r="K65" s="3" t="inlineStr">
        <is>
          <t>-</t>
        </is>
      </c>
    </row>
    <row r="66">
      <c r="A66" s="15">
        <f>C66&amp;D66</f>
        <v/>
      </c>
      <c r="C66" s="8" t="inlineStr">
        <is>
          <t>TRON</t>
        </is>
      </c>
      <c r="D66" s="8" t="inlineStr">
        <is>
          <t>C</t>
        </is>
      </c>
      <c r="E66" s="9" t="n"/>
      <c r="F66" s="10" t="n"/>
      <c r="G66" s="11" t="n"/>
      <c r="H66" s="11" t="n"/>
      <c r="I66" s="12" t="n"/>
      <c r="K66" s="3" t="inlineStr">
        <is>
          <t>-</t>
        </is>
      </c>
    </row>
    <row r="67">
      <c r="A67" s="15">
        <f>C67&amp;D67</f>
        <v/>
      </c>
      <c r="C67" s="8" t="inlineStr">
        <is>
          <t>TRON</t>
        </is>
      </c>
      <c r="D67" s="8" t="inlineStr">
        <is>
          <t>D</t>
        </is>
      </c>
      <c r="E67" s="9" t="n"/>
      <c r="F67" s="10" t="n"/>
      <c r="G67" s="11" t="n"/>
      <c r="H67" s="11" t="n"/>
      <c r="I67" s="12" t="n"/>
      <c r="K67" s="3" t="inlineStr">
        <is>
          <t>-</t>
        </is>
      </c>
    </row>
    <row r="68">
      <c r="A68" s="15">
        <f>C68&amp;D68</f>
        <v/>
      </c>
      <c r="C68" s="3" t="inlineStr">
        <is>
          <t>TROX</t>
        </is>
      </c>
      <c r="D68" s="3" t="inlineStr">
        <is>
          <t>A</t>
        </is>
      </c>
      <c r="E68" s="4" t="inlineStr">
        <is>
          <t>Grelhas (L &lt;= 325 mm)</t>
        </is>
      </c>
      <c r="F68" s="5" t="n">
        <v>0.08</v>
      </c>
      <c r="G68" s="6" t="n">
        <v>2.12</v>
      </c>
      <c r="H68" s="6" t="n">
        <v>1.92</v>
      </c>
      <c r="I68" s="7" t="n">
        <v>45701</v>
      </c>
      <c r="K68" s="3" t="inlineStr">
        <is>
          <t>-</t>
        </is>
      </c>
    </row>
    <row r="69" ht="28.8" customHeight="1">
      <c r="A69" s="15">
        <f>C69&amp;D69</f>
        <v/>
      </c>
      <c r="C69" s="3" t="inlineStr">
        <is>
          <t>TROX</t>
        </is>
      </c>
      <c r="D69" s="3" t="inlineStr">
        <is>
          <t>B</t>
        </is>
      </c>
      <c r="E69" s="4" t="inlineStr">
        <is>
          <t>Grelhas (325 &lt; L &lt;= 525 mm), Difusores (L &lt; Tam 6), Todos os filtos (exceto mantas)</t>
        </is>
      </c>
      <c r="F69" s="5" t="n">
        <v>0.08</v>
      </c>
      <c r="G69" s="6" t="n">
        <v>2.12</v>
      </c>
      <c r="H69" s="6" t="n">
        <v>1.92</v>
      </c>
      <c r="I69" s="7" t="n">
        <v>45701</v>
      </c>
      <c r="K69" s="3" t="inlineStr">
        <is>
          <t>-</t>
        </is>
      </c>
    </row>
    <row r="70">
      <c r="A70" s="15">
        <f>C70&amp;D70</f>
        <v/>
      </c>
      <c r="C70" s="3" t="inlineStr">
        <is>
          <t>TROX</t>
        </is>
      </c>
      <c r="D70" s="3" t="inlineStr">
        <is>
          <t>C</t>
        </is>
      </c>
      <c r="E70" s="4" t="inlineStr">
        <is>
          <t xml:space="preserve"> Filtros Metálicos (exceto mantas filtrantes)</t>
        </is>
      </c>
      <c r="F70" s="5" t="n">
        <v>0.15</v>
      </c>
      <c r="G70" s="6" t="n">
        <v>2.12</v>
      </c>
      <c r="H70" s="6" t="n">
        <v>1.92</v>
      </c>
      <c r="I70" s="7" t="n">
        <v>45701</v>
      </c>
      <c r="K70" s="3" t="inlineStr">
        <is>
          <t>-</t>
        </is>
      </c>
    </row>
    <row r="71">
      <c r="A71" s="15">
        <f>C71&amp;D71</f>
        <v/>
      </c>
      <c r="C71" s="3" t="inlineStr">
        <is>
          <t>TROX</t>
        </is>
      </c>
      <c r="D71" s="3" t="inlineStr">
        <is>
          <t>D</t>
        </is>
      </c>
      <c r="E71" s="4" t="inlineStr">
        <is>
          <t>Mantas Filtrantes</t>
        </is>
      </c>
      <c r="F71" s="5" t="n">
        <v>0.5</v>
      </c>
      <c r="G71" s="6" t="n">
        <v>2.12</v>
      </c>
      <c r="H71" s="6" t="n">
        <v>1.92</v>
      </c>
      <c r="I71" s="7" t="n">
        <v>45701</v>
      </c>
      <c r="K71" s="3" t="inlineStr">
        <is>
          <t>-</t>
        </is>
      </c>
    </row>
    <row r="72">
      <c r="A72" s="15">
        <f>C72&amp;D72</f>
        <v/>
      </c>
      <c r="C72" s="8" t="inlineStr">
        <is>
          <t>VENTISOL</t>
        </is>
      </c>
      <c r="D72" s="8" t="inlineStr">
        <is>
          <t>A</t>
        </is>
      </c>
      <c r="E72" s="9" t="inlineStr">
        <is>
          <t>Todos os itens</t>
        </is>
      </c>
      <c r="F72" s="10" t="n">
        <v>0.08</v>
      </c>
      <c r="G72" s="11" t="n">
        <v>2.12</v>
      </c>
      <c r="H72" s="11" t="n">
        <v>1.92</v>
      </c>
      <c r="I72" s="12" t="n">
        <v>45701</v>
      </c>
      <c r="K72" s="3" t="inlineStr">
        <is>
          <t>-</t>
        </is>
      </c>
    </row>
    <row r="73">
      <c r="A73" s="15">
        <f>C73&amp;D73</f>
        <v/>
      </c>
      <c r="C73" s="8" t="inlineStr">
        <is>
          <t>VENTISOL</t>
        </is>
      </c>
      <c r="D73" s="8" t="inlineStr">
        <is>
          <t>B</t>
        </is>
      </c>
      <c r="E73" s="9" t="n"/>
      <c r="F73" s="10" t="n"/>
      <c r="G73" s="11" t="n"/>
      <c r="H73" s="11" t="n"/>
      <c r="I73" s="12" t="n"/>
      <c r="K73" s="3" t="inlineStr">
        <is>
          <t>-</t>
        </is>
      </c>
    </row>
    <row r="74">
      <c r="A74" s="15">
        <f>C74&amp;D74</f>
        <v/>
      </c>
      <c r="C74" s="8" t="inlineStr">
        <is>
          <t>VENTISOL</t>
        </is>
      </c>
      <c r="D74" s="8" t="inlineStr">
        <is>
          <t>C</t>
        </is>
      </c>
      <c r="E74" s="9" t="n"/>
      <c r="F74" s="10" t="n"/>
      <c r="G74" s="11" t="n"/>
      <c r="H74" s="11" t="n"/>
      <c r="I74" s="12" t="n"/>
      <c r="K74" s="3" t="inlineStr">
        <is>
          <t>-</t>
        </is>
      </c>
    </row>
    <row r="75">
      <c r="A75" s="15">
        <f>C75&amp;D75</f>
        <v/>
      </c>
      <c r="C75" s="8" t="inlineStr">
        <is>
          <t>VENTISOL</t>
        </is>
      </c>
      <c r="D75" s="8" t="inlineStr">
        <is>
          <t>D</t>
        </is>
      </c>
      <c r="E75" s="9" t="n"/>
      <c r="F75" s="10" t="n"/>
      <c r="G75" s="11" t="n"/>
      <c r="H75" s="11" t="n"/>
      <c r="I75" s="12" t="n"/>
      <c r="K75" s="3" t="inlineStr">
        <is>
          <t>-</t>
        </is>
      </c>
    </row>
    <row r="76">
      <c r="A76" s="15">
        <f>C76&amp;D76</f>
        <v/>
      </c>
      <c r="C76" s="3" t="inlineStr">
        <is>
          <t>PENNSE</t>
        </is>
      </c>
      <c r="D76" s="3" t="inlineStr">
        <is>
          <t>A</t>
        </is>
      </c>
      <c r="E76" s="4" t="inlineStr">
        <is>
          <t>Todos os itens</t>
        </is>
      </c>
      <c r="F76" s="5" t="n">
        <v>0.05</v>
      </c>
      <c r="G76" s="6" t="n">
        <v>2.12</v>
      </c>
      <c r="H76" s="6" t="n">
        <v>1.92</v>
      </c>
      <c r="I76" s="7" t="n">
        <v>45701</v>
      </c>
      <c r="K76" s="3" t="inlineStr">
        <is>
          <t>-</t>
        </is>
      </c>
    </row>
    <row r="77">
      <c r="A77" s="15">
        <f>C77&amp;D77</f>
        <v/>
      </c>
      <c r="C77" s="3" t="inlineStr">
        <is>
          <t>-</t>
        </is>
      </c>
      <c r="D77" s="3" t="inlineStr">
        <is>
          <t>B</t>
        </is>
      </c>
      <c r="E77" s="4" t="n"/>
      <c r="F77" s="5" t="n"/>
      <c r="G77" s="6" t="n"/>
      <c r="H77" s="6" t="n"/>
      <c r="I77" s="7" t="n"/>
      <c r="K77" s="3" t="inlineStr">
        <is>
          <t>-</t>
        </is>
      </c>
    </row>
    <row r="78">
      <c r="A78" s="15">
        <f>C78&amp;D78</f>
        <v/>
      </c>
      <c r="C78" s="3" t="inlineStr">
        <is>
          <t>-</t>
        </is>
      </c>
      <c r="D78" s="3" t="inlineStr">
        <is>
          <t>C</t>
        </is>
      </c>
      <c r="E78" s="4" t="n"/>
      <c r="F78" s="5" t="n"/>
      <c r="G78" s="6" t="n"/>
      <c r="H78" s="6" t="n"/>
      <c r="I78" s="7" t="n"/>
      <c r="K78" s="3" t="inlineStr">
        <is>
          <t>-</t>
        </is>
      </c>
    </row>
    <row r="79">
      <c r="A79" s="15">
        <f>C79&amp;D79</f>
        <v/>
      </c>
      <c r="C79" s="3" t="inlineStr">
        <is>
          <t>-</t>
        </is>
      </c>
      <c r="D79" s="3" t="inlineStr">
        <is>
          <t>D</t>
        </is>
      </c>
      <c r="E79" s="4" t="n"/>
      <c r="F79" s="5" t="n"/>
      <c r="G79" s="6" t="n"/>
      <c r="H79" s="6" t="n"/>
      <c r="I79" s="7" t="n"/>
      <c r="K79" s="3" t="inlineStr">
        <is>
          <t>-</t>
        </is>
      </c>
    </row>
    <row r="80">
      <c r="A80" s="15">
        <f>C80&amp;D80</f>
        <v/>
      </c>
      <c r="C80" s="8" t="inlineStr">
        <is>
          <t>TRANE</t>
        </is>
      </c>
      <c r="D80" s="8" t="inlineStr">
        <is>
          <t>A</t>
        </is>
      </c>
      <c r="E80" s="9" t="inlineStr">
        <is>
          <t>Todos os itens (FRETE CIF)</t>
        </is>
      </c>
      <c r="F80" s="10" t="n">
        <v>0</v>
      </c>
      <c r="G80" s="11" t="n">
        <v>2.12</v>
      </c>
      <c r="H80" s="11" t="n">
        <v>1.92</v>
      </c>
      <c r="I80" s="12" t="n">
        <v>45701</v>
      </c>
      <c r="K80" s="3" t="inlineStr">
        <is>
          <t>-</t>
        </is>
      </c>
    </row>
    <row r="81">
      <c r="A81" s="15">
        <f>C81&amp;D81</f>
        <v/>
      </c>
      <c r="C81" s="8" t="inlineStr">
        <is>
          <t>-</t>
        </is>
      </c>
      <c r="D81" s="8" t="inlineStr">
        <is>
          <t>B</t>
        </is>
      </c>
      <c r="E81" s="9" t="inlineStr">
        <is>
          <t>Todos os itens (FRETE FOB)</t>
        </is>
      </c>
      <c r="F81" s="10" t="n">
        <v>0.1</v>
      </c>
      <c r="G81" s="11" t="n">
        <v>2.12</v>
      </c>
      <c r="H81" s="11" t="n">
        <v>1.92</v>
      </c>
      <c r="I81" s="12" t="n">
        <v>45701</v>
      </c>
      <c r="K81" s="3" t="inlineStr">
        <is>
          <t>-</t>
        </is>
      </c>
    </row>
    <row r="82">
      <c r="A82" s="15">
        <f>C82&amp;D82</f>
        <v/>
      </c>
      <c r="C82" s="8" t="inlineStr">
        <is>
          <t>-</t>
        </is>
      </c>
      <c r="D82" s="8" t="inlineStr">
        <is>
          <t>C</t>
        </is>
      </c>
      <c r="E82" s="9" t="n"/>
      <c r="F82" s="10" t="n"/>
      <c r="G82" s="11" t="n"/>
      <c r="H82" s="11" t="n"/>
      <c r="I82" s="12" t="n"/>
      <c r="K82" s="3" t="inlineStr">
        <is>
          <t>-</t>
        </is>
      </c>
    </row>
    <row r="83">
      <c r="A83" s="15">
        <f>C83&amp;D83</f>
        <v/>
      </c>
      <c r="C83" s="8" t="inlineStr">
        <is>
          <t>-</t>
        </is>
      </c>
      <c r="D83" s="8" t="inlineStr">
        <is>
          <t>D</t>
        </is>
      </c>
      <c r="E83" s="9" t="n"/>
      <c r="F83" s="10" t="n"/>
      <c r="G83" s="11" t="n"/>
      <c r="H83" s="11" t="n"/>
      <c r="I83" s="12" t="n"/>
      <c r="K83" s="3" t="inlineStr">
        <is>
          <t>-</t>
        </is>
      </c>
    </row>
    <row r="84">
      <c r="A84" s="15">
        <f>C84&amp;D84</f>
        <v/>
      </c>
      <c r="C84" s="3" t="inlineStr">
        <is>
          <t>ELECON/WALSYWA</t>
        </is>
      </c>
      <c r="D84" s="3" t="inlineStr">
        <is>
          <t>A</t>
        </is>
      </c>
      <c r="E84" s="4" t="inlineStr">
        <is>
          <t>Todos os itens</t>
        </is>
      </c>
      <c r="F84" s="5" t="n">
        <v>0.08</v>
      </c>
      <c r="G84" s="6" t="n">
        <v>2.12</v>
      </c>
      <c r="H84" s="6" t="n">
        <v>1.92</v>
      </c>
      <c r="I84" s="7" t="n">
        <v>45701</v>
      </c>
      <c r="K84" s="3" t="inlineStr">
        <is>
          <t>-</t>
        </is>
      </c>
    </row>
    <row r="85">
      <c r="A85" s="15">
        <f>C85&amp;D85</f>
        <v/>
      </c>
      <c r="C85" s="3" t="inlineStr">
        <is>
          <t>-</t>
        </is>
      </c>
      <c r="D85" s="3" t="inlineStr">
        <is>
          <t>B</t>
        </is>
      </c>
      <c r="E85" s="4" t="n"/>
      <c r="F85" s="5" t="n"/>
      <c r="G85" s="6" t="n"/>
      <c r="H85" s="6" t="n"/>
      <c r="I85" s="7" t="n"/>
      <c r="K85" s="3" t="inlineStr">
        <is>
          <t>-</t>
        </is>
      </c>
    </row>
    <row r="86">
      <c r="A86" s="15">
        <f>C86&amp;D86</f>
        <v/>
      </c>
      <c r="C86" s="3" t="inlineStr">
        <is>
          <t>-</t>
        </is>
      </c>
      <c r="D86" s="3" t="inlineStr">
        <is>
          <t>C</t>
        </is>
      </c>
      <c r="E86" s="4" t="n"/>
      <c r="F86" s="5" t="n"/>
      <c r="G86" s="6" t="n"/>
      <c r="H86" s="6" t="n"/>
      <c r="I86" s="7" t="n"/>
      <c r="K86" s="3" t="inlineStr">
        <is>
          <t>-</t>
        </is>
      </c>
    </row>
    <row r="87">
      <c r="A87" s="15">
        <f>C87&amp;D87</f>
        <v/>
      </c>
      <c r="C87" s="3" t="inlineStr">
        <is>
          <t>-</t>
        </is>
      </c>
      <c r="D87" s="3" t="inlineStr">
        <is>
          <t>D</t>
        </is>
      </c>
      <c r="E87" s="4" t="n"/>
      <c r="F87" s="5" t="n"/>
      <c r="G87" s="6" t="n"/>
      <c r="H87" s="6" t="n"/>
      <c r="I87" s="7" t="n"/>
      <c r="K87" s="3" t="inlineStr">
        <is>
          <t>-</t>
        </is>
      </c>
    </row>
    <row r="88">
      <c r="A88" s="15">
        <f>C88&amp;D88</f>
        <v/>
      </c>
      <c r="C88" s="8" t="inlineStr">
        <is>
          <t>FORNECEDOR PVC-U</t>
        </is>
      </c>
      <c r="D88" s="8" t="inlineStr">
        <is>
          <t>A</t>
        </is>
      </c>
      <c r="E88" s="9" t="inlineStr">
        <is>
          <t>FRETE FOB</t>
        </is>
      </c>
      <c r="F88" s="10" t="n">
        <v>0.15</v>
      </c>
      <c r="G88" s="11" t="n">
        <v>2.12</v>
      </c>
      <c r="H88" s="11" t="n">
        <v>1.92</v>
      </c>
      <c r="I88" s="12" t="n">
        <v>45701</v>
      </c>
      <c r="K88" s="3" t="inlineStr">
        <is>
          <t>-</t>
        </is>
      </c>
    </row>
    <row r="89">
      <c r="A89" s="15">
        <f>C89&amp;D89</f>
        <v/>
      </c>
      <c r="C89" s="8" t="inlineStr">
        <is>
          <t>-</t>
        </is>
      </c>
      <c r="D89" s="8" t="inlineStr">
        <is>
          <t>B</t>
        </is>
      </c>
      <c r="E89" s="9" t="inlineStr">
        <is>
          <t>FRETE CIF</t>
        </is>
      </c>
      <c r="F89" s="10" t="n">
        <v>0</v>
      </c>
      <c r="G89" s="11" t="n">
        <v>2.12</v>
      </c>
      <c r="H89" s="11" t="n">
        <v>1.92</v>
      </c>
      <c r="I89" s="12" t="n"/>
      <c r="K89" s="3" t="inlineStr">
        <is>
          <t>-</t>
        </is>
      </c>
    </row>
    <row r="90">
      <c r="A90" s="15">
        <f>C90&amp;D90</f>
        <v/>
      </c>
      <c r="C90" s="8" t="inlineStr">
        <is>
          <t>-</t>
        </is>
      </c>
      <c r="D90" s="8" t="inlineStr">
        <is>
          <t>C</t>
        </is>
      </c>
      <c r="E90" s="9" t="n"/>
      <c r="F90" s="10" t="n"/>
      <c r="G90" s="11" t="n"/>
      <c r="H90" s="11" t="n"/>
      <c r="I90" s="12" t="n"/>
      <c r="K90" s="3" t="inlineStr">
        <is>
          <t>-</t>
        </is>
      </c>
    </row>
    <row r="91">
      <c r="A91" s="15">
        <f>C91&amp;D91</f>
        <v/>
      </c>
      <c r="C91" s="8" t="inlineStr">
        <is>
          <t>-</t>
        </is>
      </c>
      <c r="D91" s="8" t="inlineStr">
        <is>
          <t>D</t>
        </is>
      </c>
      <c r="E91" s="9" t="n"/>
      <c r="F91" s="10" t="n"/>
      <c r="G91" s="11" t="n"/>
      <c r="H91" s="11" t="n"/>
      <c r="I91" s="12" t="n"/>
      <c r="K91" s="3" t="inlineStr">
        <is>
          <t>-</t>
        </is>
      </c>
    </row>
    <row r="92">
      <c r="A92" s="15">
        <f>C92&amp;D92</f>
        <v/>
      </c>
      <c r="C92" s="3" t="inlineStr">
        <is>
          <t>PROJELMEC</t>
        </is>
      </c>
      <c r="D92" s="3" t="inlineStr">
        <is>
          <t>A</t>
        </is>
      </c>
      <c r="E92" s="4" t="inlineStr">
        <is>
          <t>FRETE FOB</t>
        </is>
      </c>
      <c r="F92" s="5" t="n">
        <v>0.1</v>
      </c>
      <c r="G92" s="6" t="n">
        <v>2.12</v>
      </c>
      <c r="H92" s="6" t="n">
        <v>1.92</v>
      </c>
      <c r="I92" s="7" t="n">
        <v>45701</v>
      </c>
      <c r="K92" s="3" t="inlineStr">
        <is>
          <t>-</t>
        </is>
      </c>
    </row>
    <row r="93">
      <c r="A93" s="15">
        <f>C93&amp;D93</f>
        <v/>
      </c>
      <c r="C93" s="3" t="inlineStr">
        <is>
          <t>-</t>
        </is>
      </c>
      <c r="D93" s="3" t="inlineStr">
        <is>
          <t>B</t>
        </is>
      </c>
      <c r="E93" s="4" t="inlineStr">
        <is>
          <t>FRETE CIF</t>
        </is>
      </c>
      <c r="F93" s="5" t="n">
        <v>0</v>
      </c>
      <c r="G93" s="6" t="n">
        <v>2.12</v>
      </c>
      <c r="H93" s="6" t="n">
        <v>1.92</v>
      </c>
      <c r="I93" s="7" t="n"/>
      <c r="K93" s="3" t="inlineStr">
        <is>
          <t>-</t>
        </is>
      </c>
    </row>
    <row r="94">
      <c r="A94" s="15">
        <f>C94&amp;D94</f>
        <v/>
      </c>
      <c r="C94" s="3" t="inlineStr">
        <is>
          <t>-</t>
        </is>
      </c>
      <c r="D94" s="3" t="inlineStr">
        <is>
          <t>C</t>
        </is>
      </c>
      <c r="E94" s="4" t="n"/>
      <c r="F94" s="5" t="n"/>
      <c r="G94" s="6" t="n"/>
      <c r="H94" s="6" t="n"/>
      <c r="I94" s="7" t="n"/>
      <c r="K94" s="3" t="inlineStr">
        <is>
          <t>-</t>
        </is>
      </c>
    </row>
    <row r="95">
      <c r="A95" s="15">
        <f>C95&amp;D95</f>
        <v/>
      </c>
      <c r="C95" s="3" t="inlineStr">
        <is>
          <t>-</t>
        </is>
      </c>
      <c r="D95" s="3" t="inlineStr">
        <is>
          <t>D</t>
        </is>
      </c>
      <c r="E95" s="4" t="n"/>
      <c r="F95" s="5" t="n"/>
      <c r="G95" s="6" t="n"/>
      <c r="H95" s="6" t="n"/>
      <c r="I95" s="7" t="n"/>
      <c r="K95" s="3" t="inlineStr">
        <is>
          <t>-</t>
        </is>
      </c>
    </row>
    <row r="96">
      <c r="A96" s="15">
        <f>C96&amp;D96</f>
        <v/>
      </c>
      <c r="C96" s="8" t="inlineStr">
        <is>
          <t>DAIKIN</t>
        </is>
      </c>
      <c r="D96" s="8" t="inlineStr">
        <is>
          <t>A</t>
        </is>
      </c>
      <c r="E96" s="9" t="inlineStr">
        <is>
          <t>Todos os itens</t>
        </is>
      </c>
      <c r="F96" s="10" t="n">
        <v>0</v>
      </c>
      <c r="G96" s="11" t="n">
        <v>1.7</v>
      </c>
      <c r="H96" s="11" t="n">
        <v>1.7</v>
      </c>
      <c r="I96" s="12" t="n">
        <v>45701</v>
      </c>
      <c r="K96" s="3" t="inlineStr">
        <is>
          <t>-</t>
        </is>
      </c>
    </row>
    <row r="97">
      <c r="A97" s="15">
        <f>C97&amp;D97</f>
        <v/>
      </c>
      <c r="C97" s="8" t="n"/>
      <c r="D97" s="8" t="inlineStr">
        <is>
          <t>B</t>
        </is>
      </c>
      <c r="E97" s="9" t="n"/>
      <c r="F97" s="10" t="n"/>
      <c r="G97" s="11" t="n"/>
      <c r="H97" s="11" t="n"/>
      <c r="I97" s="12" t="n"/>
      <c r="K97" s="3" t="inlineStr">
        <is>
          <t>-</t>
        </is>
      </c>
    </row>
    <row r="98">
      <c r="A98" s="15">
        <f>C98&amp;D98</f>
        <v/>
      </c>
      <c r="C98" s="8" t="n"/>
      <c r="D98" s="8" t="inlineStr">
        <is>
          <t>C</t>
        </is>
      </c>
      <c r="E98" s="9" t="n"/>
      <c r="F98" s="10" t="n"/>
      <c r="G98" s="11" t="n"/>
      <c r="H98" s="11" t="n"/>
      <c r="I98" s="12" t="n"/>
      <c r="K98" s="3" t="inlineStr">
        <is>
          <t>-</t>
        </is>
      </c>
    </row>
    <row r="99">
      <c r="A99" s="15">
        <f>C99&amp;D99</f>
        <v/>
      </c>
      <c r="C99" s="8" t="n"/>
      <c r="D99" s="8" t="inlineStr">
        <is>
          <t>D</t>
        </is>
      </c>
      <c r="E99" s="9" t="n"/>
      <c r="F99" s="10" t="n"/>
      <c r="G99" s="11" t="n"/>
      <c r="H99" s="11" t="n"/>
      <c r="I99" s="12" t="n"/>
      <c r="K99" s="3" t="inlineStr">
        <is>
          <t>-</t>
        </is>
      </c>
    </row>
    <row r="100" ht="28.8" customHeight="1">
      <c r="A100" s="15">
        <f>C100&amp;D100</f>
        <v/>
      </c>
      <c r="C100" s="3" t="inlineStr">
        <is>
          <t>FORNECEDOR DE COBRE</t>
        </is>
      </c>
      <c r="D100" s="3" t="inlineStr">
        <is>
          <t>A</t>
        </is>
      </c>
      <c r="E100" s="4" t="inlineStr">
        <is>
          <t>Frete Cif (Fábrica até Retec)</t>
        </is>
      </c>
      <c r="F100" s="5" t="n">
        <v>0</v>
      </c>
      <c r="G100" s="6" t="n">
        <v>2.12</v>
      </c>
      <c r="H100" s="6" t="n">
        <v>1.92</v>
      </c>
      <c r="I100" s="7" t="n">
        <v>45701</v>
      </c>
      <c r="K100" s="3" t="inlineStr">
        <is>
          <t>-</t>
        </is>
      </c>
    </row>
    <row r="101">
      <c r="A101" s="15">
        <f>C101&amp;D101</f>
        <v/>
      </c>
      <c r="C101" s="3" t="n"/>
      <c r="D101" s="3" t="inlineStr">
        <is>
          <t>B</t>
        </is>
      </c>
      <c r="E101" s="4" t="inlineStr">
        <is>
          <t>Frete Fob (Fábrica até Retec)</t>
        </is>
      </c>
      <c r="F101" s="5" t="n">
        <v>0.08</v>
      </c>
      <c r="G101" s="6" t="n">
        <v>2.12</v>
      </c>
      <c r="H101" s="6" t="n">
        <v>1.92</v>
      </c>
      <c r="I101" s="7" t="n">
        <v>45701</v>
      </c>
      <c r="K101" s="3" t="inlineStr">
        <is>
          <t>-</t>
        </is>
      </c>
    </row>
    <row r="102">
      <c r="A102" s="15">
        <f>C102&amp;D102</f>
        <v/>
      </c>
      <c r="C102" s="3" t="n"/>
      <c r="D102" s="3" t="inlineStr">
        <is>
          <t>C</t>
        </is>
      </c>
      <c r="E102" s="4" t="n"/>
      <c r="F102" s="5" t="n"/>
      <c r="G102" s="6" t="n"/>
      <c r="H102" s="6" t="n"/>
      <c r="I102" s="7" t="n"/>
      <c r="K102" s="3" t="inlineStr">
        <is>
          <t>-</t>
        </is>
      </c>
    </row>
    <row r="103">
      <c r="A103" s="15">
        <f>C103&amp;D103</f>
        <v/>
      </c>
      <c r="C103" s="3" t="n"/>
      <c r="D103" s="3" t="inlineStr">
        <is>
          <t>D</t>
        </is>
      </c>
      <c r="E103" s="4" t="n"/>
      <c r="F103" s="5" t="n"/>
      <c r="G103" s="6" t="n"/>
      <c r="H103" s="6" t="n"/>
      <c r="I103" s="7" t="n"/>
      <c r="K103" s="3" t="inlineStr">
        <is>
          <t>-</t>
        </is>
      </c>
    </row>
    <row r="104">
      <c r="A104" s="15">
        <f>C104&amp;D104</f>
        <v/>
      </c>
      <c r="C104" s="8" t="inlineStr">
        <is>
          <t>ROCKTEC</t>
        </is>
      </c>
      <c r="D104" s="8" t="inlineStr">
        <is>
          <t>A</t>
        </is>
      </c>
      <c r="E104" s="9" t="inlineStr">
        <is>
          <t>Todos os Itens</t>
        </is>
      </c>
      <c r="F104" s="10" t="n">
        <v>0.1</v>
      </c>
      <c r="G104" s="11" t="n">
        <v>2.12</v>
      </c>
      <c r="H104" s="11" t="n">
        <v>1.92</v>
      </c>
      <c r="I104" s="12" t="n">
        <v>45701</v>
      </c>
      <c r="K104" s="3" t="inlineStr">
        <is>
          <t>-</t>
        </is>
      </c>
    </row>
    <row r="105">
      <c r="A105" s="15">
        <f>C105&amp;D105</f>
        <v/>
      </c>
      <c r="C105" s="8" t="n"/>
      <c r="D105" s="8" t="inlineStr">
        <is>
          <t>B</t>
        </is>
      </c>
      <c r="E105" s="9" t="n"/>
      <c r="F105" s="10" t="n"/>
      <c r="G105" s="11" t="n"/>
      <c r="H105" s="11" t="n"/>
      <c r="I105" s="12" t="n"/>
    </row>
    <row r="106">
      <c r="A106" s="15">
        <f>C106&amp;D106</f>
        <v/>
      </c>
      <c r="C106" s="8" t="n"/>
      <c r="D106" s="8" t="inlineStr">
        <is>
          <t>C</t>
        </is>
      </c>
      <c r="E106" s="9" t="n"/>
      <c r="F106" s="10" t="n"/>
      <c r="G106" s="11" t="n"/>
      <c r="H106" s="11" t="n"/>
      <c r="I106" s="12" t="n"/>
    </row>
    <row r="107">
      <c r="A107" s="15">
        <f>C107&amp;D107</f>
        <v/>
      </c>
      <c r="C107" s="8" t="n"/>
      <c r="D107" s="8" t="inlineStr">
        <is>
          <t>D</t>
        </is>
      </c>
      <c r="E107" s="9" t="n"/>
      <c r="F107" s="10" t="n"/>
      <c r="G107" s="11" t="n"/>
      <c r="H107" s="11" t="n"/>
      <c r="I107" s="12" t="n"/>
    </row>
    <row r="108">
      <c r="A108" s="15">
        <f>C108&amp;D108</f>
        <v/>
      </c>
      <c r="C108" s="3" t="n"/>
      <c r="D108" s="3" t="inlineStr">
        <is>
          <t>A</t>
        </is>
      </c>
      <c r="E108" s="4" t="n"/>
      <c r="F108" s="5" t="n"/>
      <c r="G108" s="6" t="n"/>
      <c r="H108" s="6" t="n"/>
      <c r="I108" s="7" t="n"/>
    </row>
    <row r="109">
      <c r="A109" s="15">
        <f>C109&amp;D109</f>
        <v/>
      </c>
      <c r="C109" s="3" t="n"/>
      <c r="D109" s="3" t="inlineStr">
        <is>
          <t>B</t>
        </is>
      </c>
      <c r="E109" s="4" t="n"/>
      <c r="F109" s="5" t="n"/>
      <c r="G109" s="6" t="n"/>
      <c r="H109" s="6" t="n"/>
      <c r="I109" s="7" t="n"/>
    </row>
    <row r="110">
      <c r="A110" s="15">
        <f>C110&amp;D110</f>
        <v/>
      </c>
      <c r="C110" s="3" t="n"/>
      <c r="D110" s="3" t="inlineStr">
        <is>
          <t>C</t>
        </is>
      </c>
      <c r="E110" s="4" t="n"/>
      <c r="F110" s="5" t="n"/>
      <c r="G110" s="6" t="n"/>
      <c r="H110" s="6" t="n"/>
      <c r="I110" s="7" t="n"/>
    </row>
    <row r="111">
      <c r="A111" s="15">
        <f>C111&amp;D111</f>
        <v/>
      </c>
      <c r="C111" s="3" t="n"/>
      <c r="D111" s="3" t="inlineStr">
        <is>
          <t>D</t>
        </is>
      </c>
      <c r="E111" s="4" t="n"/>
      <c r="F111" s="5" t="n"/>
      <c r="G111" s="6" t="n"/>
      <c r="H111" s="6" t="n"/>
      <c r="I111" s="7" t="n"/>
    </row>
    <row r="112">
      <c r="A112" s="15">
        <f>C112&amp;D112</f>
        <v/>
      </c>
      <c r="C112" s="8" t="n"/>
      <c r="D112" s="8" t="inlineStr">
        <is>
          <t>A</t>
        </is>
      </c>
      <c r="E112" s="9" t="n"/>
      <c r="F112" s="10" t="n"/>
      <c r="G112" s="11" t="n"/>
      <c r="H112" s="11" t="n"/>
      <c r="I112" s="12" t="n"/>
    </row>
    <row r="113">
      <c r="A113" s="15">
        <f>C113&amp;D113</f>
        <v/>
      </c>
      <c r="C113" s="8" t="n"/>
      <c r="D113" s="8" t="inlineStr">
        <is>
          <t>B</t>
        </is>
      </c>
      <c r="E113" s="9" t="n"/>
      <c r="F113" s="10" t="n"/>
      <c r="G113" s="11" t="n"/>
      <c r="H113" s="11" t="n"/>
      <c r="I113" s="12" t="n"/>
    </row>
    <row r="114">
      <c r="A114" s="15">
        <f>C114&amp;D114</f>
        <v/>
      </c>
      <c r="C114" s="8" t="n"/>
      <c r="D114" s="8" t="inlineStr">
        <is>
          <t>C</t>
        </is>
      </c>
      <c r="E114" s="9" t="n"/>
      <c r="F114" s="10" t="n"/>
      <c r="G114" s="11" t="n"/>
      <c r="H114" s="11" t="n"/>
      <c r="I114" s="12" t="n"/>
    </row>
    <row r="115">
      <c r="A115" s="15">
        <f>C115&amp;D115</f>
        <v/>
      </c>
      <c r="C115" s="8" t="n"/>
      <c r="D115" s="8" t="inlineStr">
        <is>
          <t>D</t>
        </is>
      </c>
      <c r="E115" s="9" t="n"/>
      <c r="F115" s="10" t="n"/>
      <c r="G115" s="11" t="n"/>
      <c r="H115" s="11" t="n"/>
      <c r="I115" s="12" t="n"/>
    </row>
    <row r="116">
      <c r="A116" s="15">
        <f>C116&amp;D116</f>
        <v/>
      </c>
      <c r="C116" s="3" t="n"/>
      <c r="D116" s="3" t="inlineStr">
        <is>
          <t>A</t>
        </is>
      </c>
      <c r="E116" s="4" t="n"/>
      <c r="F116" s="5" t="n"/>
      <c r="G116" s="6" t="n"/>
      <c r="H116" s="6" t="n"/>
      <c r="I116" s="7" t="n"/>
    </row>
    <row r="117">
      <c r="A117" s="15">
        <f>C117&amp;D117</f>
        <v/>
      </c>
      <c r="C117" s="3" t="n"/>
      <c r="D117" s="3" t="inlineStr">
        <is>
          <t>B</t>
        </is>
      </c>
      <c r="E117" s="4" t="n"/>
      <c r="F117" s="5" t="n"/>
      <c r="G117" s="6" t="n"/>
      <c r="H117" s="6" t="n"/>
      <c r="I117" s="7" t="n"/>
    </row>
    <row r="118">
      <c r="A118" s="15">
        <f>C118&amp;D118</f>
        <v/>
      </c>
      <c r="C118" s="3" t="n"/>
      <c r="D118" s="3" t="inlineStr">
        <is>
          <t>C</t>
        </is>
      </c>
      <c r="E118" s="4" t="n"/>
      <c r="F118" s="5" t="n"/>
      <c r="G118" s="6" t="n"/>
      <c r="H118" s="6" t="n"/>
      <c r="I118" s="7" t="n"/>
    </row>
    <row r="119">
      <c r="A119" s="15">
        <f>C119&amp;D119</f>
        <v/>
      </c>
      <c r="C119" s="3" t="n"/>
      <c r="D119" s="3" t="inlineStr">
        <is>
          <t>D</t>
        </is>
      </c>
      <c r="E119" s="4" t="n"/>
      <c r="F119" s="5" t="n"/>
      <c r="G119" s="6" t="n"/>
      <c r="H119" s="6" t="n"/>
      <c r="I119" s="7" t="n"/>
    </row>
    <row r="120">
      <c r="A120" s="15">
        <f>C120&amp;D120</f>
        <v/>
      </c>
      <c r="C120" s="8" t="n"/>
      <c r="D120" s="8" t="inlineStr">
        <is>
          <t>A</t>
        </is>
      </c>
      <c r="E120" s="9" t="n"/>
      <c r="F120" s="10" t="n"/>
      <c r="G120" s="11" t="n"/>
      <c r="H120" s="11" t="n"/>
      <c r="I120" s="12" t="n"/>
    </row>
    <row r="121">
      <c r="A121" s="15">
        <f>C121&amp;D121</f>
        <v/>
      </c>
      <c r="C121" s="8" t="n"/>
      <c r="D121" s="8" t="inlineStr">
        <is>
          <t>B</t>
        </is>
      </c>
      <c r="E121" s="9" t="n"/>
      <c r="F121" s="10" t="n"/>
      <c r="G121" s="11" t="n"/>
      <c r="H121" s="11" t="n"/>
      <c r="I121" s="12" t="n"/>
    </row>
    <row r="122">
      <c r="A122" s="15">
        <f>C122&amp;D122</f>
        <v/>
      </c>
      <c r="C122" s="8" t="n"/>
      <c r="D122" s="8" t="inlineStr">
        <is>
          <t>C</t>
        </is>
      </c>
      <c r="E122" s="9" t="n"/>
      <c r="F122" s="10" t="n"/>
      <c r="G122" s="11" t="n"/>
      <c r="H122" s="11" t="n"/>
      <c r="I122" s="12" t="n"/>
    </row>
    <row r="123">
      <c r="A123" s="15">
        <f>C123&amp;D123</f>
        <v/>
      </c>
      <c r="C123" s="8" t="n"/>
      <c r="D123" s="8" t="inlineStr">
        <is>
          <t>D</t>
        </is>
      </c>
      <c r="E123" s="9" t="n"/>
      <c r="F123" s="10" t="n"/>
      <c r="G123" s="11" t="n"/>
      <c r="H123" s="11" t="n"/>
      <c r="I123" s="12" t="n"/>
    </row>
    <row r="124">
      <c r="A124" s="15">
        <f>C124&amp;D124</f>
        <v/>
      </c>
      <c r="C124" s="3" t="n"/>
      <c r="D124" s="3" t="inlineStr">
        <is>
          <t>A</t>
        </is>
      </c>
      <c r="E124" s="4" t="n"/>
      <c r="F124" s="5" t="n"/>
      <c r="G124" s="6" t="n"/>
      <c r="H124" s="6" t="n"/>
      <c r="I124" s="7" t="n"/>
    </row>
    <row r="125">
      <c r="A125" s="15">
        <f>C125&amp;D125</f>
        <v/>
      </c>
      <c r="C125" s="3" t="n"/>
      <c r="D125" s="3" t="inlineStr">
        <is>
          <t>B</t>
        </is>
      </c>
      <c r="E125" s="4" t="n"/>
      <c r="F125" s="5" t="n"/>
      <c r="G125" s="6" t="n"/>
      <c r="H125" s="6" t="n"/>
      <c r="I125" s="7" t="n"/>
    </row>
    <row r="126">
      <c r="A126" s="15">
        <f>C126&amp;D126</f>
        <v/>
      </c>
      <c r="C126" s="3" t="n"/>
      <c r="D126" s="3" t="inlineStr">
        <is>
          <t>C</t>
        </is>
      </c>
      <c r="E126" s="4" t="n"/>
      <c r="F126" s="5" t="n"/>
      <c r="G126" s="6" t="n"/>
      <c r="H126" s="6" t="n"/>
      <c r="I126" s="7" t="n"/>
    </row>
    <row r="127">
      <c r="A127" s="15">
        <f>C127&amp;D127</f>
        <v/>
      </c>
      <c r="C127" s="3" t="n"/>
      <c r="D127" s="3" t="inlineStr">
        <is>
          <t>D</t>
        </is>
      </c>
      <c r="E127" s="4" t="n"/>
      <c r="F127" s="5" t="n"/>
      <c r="G127" s="6" t="n"/>
      <c r="H127" s="6" t="n"/>
      <c r="I127" s="7" t="n"/>
    </row>
    <row r="128">
      <c r="A128" s="15">
        <f>C128&amp;D128</f>
        <v/>
      </c>
      <c r="C128" s="8" t="n"/>
      <c r="D128" s="8" t="inlineStr">
        <is>
          <t>A</t>
        </is>
      </c>
      <c r="E128" s="9" t="n"/>
      <c r="F128" s="10" t="n"/>
      <c r="G128" s="11" t="n"/>
      <c r="H128" s="11" t="n"/>
      <c r="I128" s="12" t="n"/>
    </row>
    <row r="129">
      <c r="A129" s="15">
        <f>C129&amp;D129</f>
        <v/>
      </c>
      <c r="C129" s="8" t="n"/>
      <c r="D129" s="8" t="inlineStr">
        <is>
          <t>B</t>
        </is>
      </c>
      <c r="E129" s="9" t="n"/>
      <c r="F129" s="10" t="n"/>
      <c r="G129" s="11" t="n"/>
      <c r="H129" s="11" t="n"/>
      <c r="I129" s="12" t="n"/>
    </row>
    <row r="130">
      <c r="A130" s="15">
        <f>C130&amp;D130</f>
        <v/>
      </c>
      <c r="C130" s="8" t="n"/>
      <c r="D130" s="8" t="inlineStr">
        <is>
          <t>C</t>
        </is>
      </c>
      <c r="E130" s="9" t="n"/>
      <c r="F130" s="10" t="n"/>
      <c r="G130" s="11" t="n"/>
      <c r="H130" s="11" t="n"/>
      <c r="I130" s="12" t="n"/>
    </row>
    <row r="131">
      <c r="A131" s="15">
        <f>C131&amp;D131</f>
        <v/>
      </c>
      <c r="C131" s="8" t="n"/>
      <c r="D131" s="8" t="inlineStr">
        <is>
          <t>D</t>
        </is>
      </c>
      <c r="E131" s="9" t="n"/>
      <c r="F131" s="10" t="n"/>
      <c r="G131" s="11" t="n"/>
      <c r="H131" s="11" t="n"/>
      <c r="I131" s="12" t="n"/>
    </row>
    <row r="132">
      <c r="A132" s="15">
        <f>C132&amp;D132</f>
        <v/>
      </c>
      <c r="C132" s="3" t="n"/>
      <c r="D132" s="3" t="inlineStr">
        <is>
          <t>A</t>
        </is>
      </c>
      <c r="E132" s="4" t="n"/>
      <c r="F132" s="5" t="n"/>
      <c r="G132" s="6" t="n"/>
      <c r="H132" s="6" t="n"/>
      <c r="I132" s="7" t="n"/>
    </row>
    <row r="133">
      <c r="A133" s="15">
        <f>C133&amp;D133</f>
        <v/>
      </c>
      <c r="C133" s="3" t="n"/>
      <c r="D133" s="3" t="inlineStr">
        <is>
          <t>B</t>
        </is>
      </c>
      <c r="E133" s="4" t="n"/>
      <c r="F133" s="5" t="n"/>
      <c r="G133" s="6" t="n"/>
      <c r="H133" s="6" t="n"/>
      <c r="I133" s="7" t="n"/>
    </row>
    <row r="134">
      <c r="A134" s="15">
        <f>C134&amp;D134</f>
        <v/>
      </c>
      <c r="C134" s="3" t="n"/>
      <c r="D134" s="3" t="inlineStr">
        <is>
          <t>C</t>
        </is>
      </c>
      <c r="E134" s="4" t="n"/>
      <c r="F134" s="5" t="n"/>
      <c r="G134" s="6" t="n"/>
      <c r="H134" s="6" t="n"/>
      <c r="I134" s="7" t="n"/>
    </row>
    <row r="135">
      <c r="A135" s="15">
        <f>C135&amp;D135</f>
        <v/>
      </c>
      <c r="C135" s="3" t="n"/>
      <c r="D135" s="3" t="inlineStr">
        <is>
          <t>D</t>
        </is>
      </c>
      <c r="E135" s="4" t="n"/>
      <c r="F135" s="5" t="n"/>
      <c r="G135" s="6" t="n"/>
      <c r="H135" s="6" t="n"/>
      <c r="I135" s="7" t="n"/>
    </row>
    <row r="136">
      <c r="A136" s="15">
        <f>C136&amp;D136</f>
        <v/>
      </c>
      <c r="C136" s="8" t="n"/>
      <c r="D136" s="8" t="inlineStr">
        <is>
          <t>A</t>
        </is>
      </c>
      <c r="E136" s="9" t="n"/>
      <c r="F136" s="10" t="n"/>
      <c r="G136" s="11" t="n"/>
      <c r="H136" s="11" t="n"/>
      <c r="I136" s="12" t="n"/>
    </row>
    <row r="137">
      <c r="A137" s="15">
        <f>C137&amp;D137</f>
        <v/>
      </c>
      <c r="C137" s="8" t="n"/>
      <c r="D137" s="8" t="inlineStr">
        <is>
          <t>B</t>
        </is>
      </c>
      <c r="E137" s="9" t="n"/>
      <c r="F137" s="10" t="n"/>
      <c r="G137" s="11" t="n"/>
      <c r="H137" s="11" t="n"/>
      <c r="I137" s="12" t="n"/>
    </row>
    <row r="138">
      <c r="A138" s="15">
        <f>C138&amp;D138</f>
        <v/>
      </c>
      <c r="C138" s="8" t="n"/>
      <c r="D138" s="8" t="inlineStr">
        <is>
          <t>C</t>
        </is>
      </c>
      <c r="E138" s="9" t="n"/>
      <c r="F138" s="10" t="n"/>
      <c r="G138" s="11" t="n"/>
      <c r="H138" s="11" t="n"/>
      <c r="I138" s="12" t="n"/>
    </row>
    <row r="139">
      <c r="A139" s="15">
        <f>C139&amp;D139</f>
        <v/>
      </c>
      <c r="C139" s="8" t="n"/>
      <c r="D139" s="8" t="inlineStr">
        <is>
          <t>D</t>
        </is>
      </c>
      <c r="E139" s="9" t="n"/>
      <c r="F139" s="10" t="n"/>
      <c r="G139" s="11" t="n"/>
      <c r="H139" s="11" t="n"/>
      <c r="I139" s="12" t="n"/>
    </row>
    <row r="140">
      <c r="A140" s="15">
        <f>C140&amp;D140</f>
        <v/>
      </c>
      <c r="C140" s="3" t="n"/>
      <c r="D140" s="3" t="inlineStr">
        <is>
          <t>A</t>
        </is>
      </c>
      <c r="E140" s="4" t="n"/>
      <c r="F140" s="5" t="n"/>
      <c r="G140" s="6" t="n"/>
      <c r="H140" s="6" t="n"/>
      <c r="I140" s="7" t="n"/>
    </row>
    <row r="141">
      <c r="A141" s="15">
        <f>C141&amp;D141</f>
        <v/>
      </c>
      <c r="C141" s="3" t="n"/>
      <c r="D141" s="3" t="inlineStr">
        <is>
          <t>B</t>
        </is>
      </c>
      <c r="E141" s="4" t="n"/>
      <c r="F141" s="5" t="n"/>
      <c r="G141" s="6" t="n"/>
      <c r="H141" s="6" t="n"/>
      <c r="I141" s="7" t="n"/>
    </row>
    <row r="142">
      <c r="A142" s="15">
        <f>C142&amp;D142</f>
        <v/>
      </c>
      <c r="C142" s="3" t="n"/>
      <c r="D142" s="3" t="inlineStr">
        <is>
          <t>C</t>
        </is>
      </c>
      <c r="E142" s="4" t="n"/>
      <c r="F142" s="5" t="n"/>
      <c r="G142" s="6" t="n"/>
      <c r="H142" s="6" t="n"/>
      <c r="I142" s="7" t="n"/>
    </row>
    <row r="143">
      <c r="A143" s="15">
        <f>C143&amp;D143</f>
        <v/>
      </c>
      <c r="C143" s="3" t="n"/>
      <c r="D143" s="3" t="inlineStr">
        <is>
          <t>D</t>
        </is>
      </c>
      <c r="E143" s="4" t="n"/>
      <c r="F143" s="5" t="n"/>
      <c r="G143" s="6" t="n"/>
      <c r="H143" s="6" t="n"/>
      <c r="I143" s="7" t="n"/>
    </row>
    <row r="144">
      <c r="A144" s="15">
        <f>C144&amp;D144</f>
        <v/>
      </c>
      <c r="C144" s="8" t="n"/>
      <c r="D144" s="8" t="inlineStr">
        <is>
          <t>A</t>
        </is>
      </c>
      <c r="E144" s="9" t="n"/>
      <c r="F144" s="10" t="n"/>
      <c r="G144" s="11" t="n"/>
      <c r="H144" s="11" t="n"/>
      <c r="I144" s="12" t="n"/>
    </row>
    <row r="145">
      <c r="A145" s="15">
        <f>C145&amp;D145</f>
        <v/>
      </c>
      <c r="C145" s="8" t="n"/>
      <c r="D145" s="8" t="inlineStr">
        <is>
          <t>B</t>
        </is>
      </c>
      <c r="E145" s="9" t="n"/>
      <c r="F145" s="10" t="n"/>
      <c r="G145" s="11" t="n"/>
      <c r="H145" s="11" t="n"/>
      <c r="I145" s="12" t="n"/>
    </row>
    <row r="146">
      <c r="A146" s="15">
        <f>C146&amp;D146</f>
        <v/>
      </c>
      <c r="C146" s="8" t="n"/>
      <c r="D146" s="8" t="inlineStr">
        <is>
          <t>C</t>
        </is>
      </c>
      <c r="E146" s="9" t="n"/>
      <c r="F146" s="10" t="n"/>
      <c r="G146" s="11" t="n"/>
      <c r="H146" s="11" t="n"/>
      <c r="I146" s="12" t="n"/>
    </row>
    <row r="147">
      <c r="A147" s="15">
        <f>C147&amp;D147</f>
        <v/>
      </c>
      <c r="C147" s="8" t="n"/>
      <c r="D147" s="8" t="inlineStr">
        <is>
          <t>D</t>
        </is>
      </c>
      <c r="E147" s="9" t="n"/>
      <c r="F147" s="10" t="n"/>
      <c r="G147" s="11" t="n"/>
      <c r="H147" s="11" t="n"/>
      <c r="I147" s="12" t="n"/>
    </row>
    <row r="148">
      <c r="A148" s="15">
        <f>C148&amp;D148</f>
        <v/>
      </c>
      <c r="C148" s="3" t="n"/>
      <c r="D148" s="3" t="inlineStr">
        <is>
          <t>A</t>
        </is>
      </c>
      <c r="E148" s="4" t="n"/>
      <c r="F148" s="5" t="n"/>
      <c r="G148" s="6" t="n"/>
      <c r="H148" s="6" t="n"/>
      <c r="I148" s="7" t="n"/>
    </row>
    <row r="149">
      <c r="A149" s="15">
        <f>C149&amp;D149</f>
        <v/>
      </c>
      <c r="C149" s="3" t="n"/>
      <c r="D149" s="3" t="inlineStr">
        <is>
          <t>B</t>
        </is>
      </c>
      <c r="E149" s="4" t="n"/>
      <c r="F149" s="5" t="n"/>
      <c r="G149" s="6" t="n"/>
      <c r="H149" s="6" t="n"/>
      <c r="I149" s="7" t="n"/>
    </row>
    <row r="150">
      <c r="A150" s="15">
        <f>C150&amp;D150</f>
        <v/>
      </c>
      <c r="C150" s="3" t="n"/>
      <c r="D150" s="3" t="inlineStr">
        <is>
          <t>C</t>
        </is>
      </c>
      <c r="E150" s="4" t="n"/>
      <c r="F150" s="5" t="n"/>
      <c r="G150" s="6" t="n"/>
      <c r="H150" s="6" t="n"/>
      <c r="I150" s="7" t="n"/>
    </row>
    <row r="151">
      <c r="A151" s="15">
        <f>C151&amp;D151</f>
        <v/>
      </c>
      <c r="C151" s="3" t="n"/>
      <c r="D151" s="3" t="inlineStr">
        <is>
          <t>D</t>
        </is>
      </c>
      <c r="E151" s="4" t="n"/>
      <c r="F151" s="5" t="n"/>
      <c r="G151" s="6" t="n"/>
      <c r="H151" s="6" t="n"/>
      <c r="I151" s="7" t="n"/>
    </row>
    <row r="152">
      <c r="A152" s="15">
        <f>C152&amp;D152</f>
        <v/>
      </c>
      <c r="C152" s="8" t="n"/>
      <c r="D152" s="8" t="inlineStr">
        <is>
          <t>A</t>
        </is>
      </c>
      <c r="E152" s="9" t="n"/>
      <c r="F152" s="10" t="n"/>
      <c r="G152" s="11" t="n"/>
      <c r="H152" s="11" t="n"/>
      <c r="I152" s="12" t="n"/>
    </row>
    <row r="153">
      <c r="A153" s="15">
        <f>C153&amp;D153</f>
        <v/>
      </c>
      <c r="C153" s="8" t="n"/>
      <c r="D153" s="8" t="inlineStr">
        <is>
          <t>B</t>
        </is>
      </c>
      <c r="E153" s="9" t="n"/>
      <c r="F153" s="10" t="n"/>
      <c r="G153" s="11" t="n"/>
      <c r="H153" s="11" t="n"/>
      <c r="I153" s="12" t="n"/>
    </row>
    <row r="154">
      <c r="A154" s="15">
        <f>C154&amp;D154</f>
        <v/>
      </c>
      <c r="C154" s="8" t="n"/>
      <c r="D154" s="8" t="inlineStr">
        <is>
          <t>C</t>
        </is>
      </c>
      <c r="E154" s="9" t="n"/>
      <c r="F154" s="10" t="n"/>
      <c r="G154" s="11" t="n"/>
      <c r="H154" s="11" t="n"/>
      <c r="I154" s="12" t="n"/>
    </row>
    <row r="155">
      <c r="A155" s="15">
        <f>C155&amp;D155</f>
        <v/>
      </c>
      <c r="C155" s="8" t="n"/>
      <c r="D155" s="8" t="inlineStr">
        <is>
          <t>D</t>
        </is>
      </c>
      <c r="E155" s="9" t="n"/>
      <c r="F155" s="10" t="n"/>
      <c r="G155" s="11" t="n"/>
      <c r="H155" s="11" t="n"/>
      <c r="I155" s="12" t="n"/>
    </row>
    <row r="156">
      <c r="A156" s="15">
        <f>C156&amp;D156</f>
        <v/>
      </c>
      <c r="C156" s="3" t="n"/>
      <c r="D156" s="3" t="inlineStr">
        <is>
          <t>A</t>
        </is>
      </c>
      <c r="E156" s="4" t="n"/>
      <c r="F156" s="5" t="n"/>
      <c r="G156" s="6" t="n"/>
      <c r="H156" s="6" t="n"/>
      <c r="I156" s="7" t="n"/>
    </row>
    <row r="157">
      <c r="A157" s="15">
        <f>C157&amp;D157</f>
        <v/>
      </c>
      <c r="C157" s="3" t="n"/>
      <c r="D157" s="3" t="inlineStr">
        <is>
          <t>B</t>
        </is>
      </c>
      <c r="E157" s="4" t="n"/>
      <c r="F157" s="5" t="n"/>
      <c r="G157" s="6" t="n"/>
      <c r="H157" s="6" t="n"/>
      <c r="I157" s="7" t="n"/>
    </row>
    <row r="158">
      <c r="A158" s="15">
        <f>C158&amp;D158</f>
        <v/>
      </c>
      <c r="C158" s="3" t="n"/>
      <c r="D158" s="3" t="inlineStr">
        <is>
          <t>C</t>
        </is>
      </c>
      <c r="E158" s="4" t="n"/>
      <c r="F158" s="5" t="n"/>
      <c r="G158" s="6" t="n"/>
      <c r="H158" s="6" t="n"/>
      <c r="I158" s="7" t="n"/>
    </row>
    <row r="159">
      <c r="A159" s="15">
        <f>C159&amp;D159</f>
        <v/>
      </c>
      <c r="C159" s="3" t="n"/>
      <c r="D159" s="3" t="inlineStr">
        <is>
          <t>D</t>
        </is>
      </c>
      <c r="E159" s="4" t="n"/>
      <c r="F159" s="5" t="n"/>
      <c r="G159" s="6" t="n"/>
      <c r="H159" s="6" t="n"/>
      <c r="I159" s="7" t="n"/>
    </row>
    <row r="160">
      <c r="A160" s="15">
        <f>C160&amp;D160</f>
        <v/>
      </c>
      <c r="C160" s="8" t="n"/>
      <c r="D160" s="8" t="inlineStr">
        <is>
          <t>A</t>
        </is>
      </c>
      <c r="E160" s="9" t="n"/>
      <c r="F160" s="10" t="n"/>
      <c r="G160" s="11" t="n"/>
      <c r="H160" s="11" t="n"/>
      <c r="I160" s="12" t="n"/>
    </row>
    <row r="161">
      <c r="A161" s="15">
        <f>C161&amp;D161</f>
        <v/>
      </c>
      <c r="C161" s="8" t="n"/>
      <c r="D161" s="8" t="inlineStr">
        <is>
          <t>B</t>
        </is>
      </c>
      <c r="E161" s="9" t="n"/>
      <c r="F161" s="10" t="n"/>
      <c r="G161" s="11" t="n"/>
      <c r="H161" s="11" t="n"/>
      <c r="I161" s="12" t="n"/>
    </row>
    <row r="162">
      <c r="A162" s="15">
        <f>C162&amp;D162</f>
        <v/>
      </c>
      <c r="C162" s="8" t="n"/>
      <c r="D162" s="8" t="inlineStr">
        <is>
          <t>C</t>
        </is>
      </c>
      <c r="E162" s="9" t="n"/>
      <c r="F162" s="10" t="n"/>
      <c r="G162" s="11" t="n"/>
      <c r="H162" s="11" t="n"/>
      <c r="I162" s="12" t="n"/>
    </row>
    <row r="163">
      <c r="A163" s="15">
        <f>C163&amp;D163</f>
        <v/>
      </c>
      <c r="C163" s="8" t="n"/>
      <c r="D163" s="8" t="inlineStr">
        <is>
          <t>D</t>
        </is>
      </c>
      <c r="E163" s="9" t="n"/>
      <c r="F163" s="10" t="n"/>
      <c r="G163" s="11" t="n"/>
      <c r="H163" s="11" t="n"/>
      <c r="I163" s="12" t="n"/>
    </row>
    <row r="164">
      <c r="A164" s="15">
        <f>C164&amp;D164</f>
        <v/>
      </c>
      <c r="C164" s="3" t="n"/>
      <c r="D164" s="3" t="inlineStr">
        <is>
          <t>A</t>
        </is>
      </c>
      <c r="E164" s="4" t="n"/>
      <c r="F164" s="5" t="n"/>
      <c r="G164" s="6" t="n"/>
      <c r="H164" s="6" t="n"/>
      <c r="I164" s="7" t="n"/>
    </row>
    <row r="165">
      <c r="A165" s="15">
        <f>C165&amp;D165</f>
        <v/>
      </c>
      <c r="C165" s="3" t="n"/>
      <c r="D165" s="3" t="inlineStr">
        <is>
          <t>B</t>
        </is>
      </c>
      <c r="E165" s="4" t="n"/>
      <c r="F165" s="5" t="n"/>
      <c r="G165" s="6" t="n"/>
      <c r="H165" s="6" t="n"/>
      <c r="I165" s="7" t="n"/>
    </row>
    <row r="166">
      <c r="A166" s="15">
        <f>C166&amp;D166</f>
        <v/>
      </c>
      <c r="C166" s="3" t="n"/>
      <c r="D166" s="3" t="inlineStr">
        <is>
          <t>C</t>
        </is>
      </c>
      <c r="E166" s="4" t="n"/>
      <c r="F166" s="5" t="n"/>
      <c r="G166" s="6" t="n"/>
      <c r="H166" s="6" t="n"/>
      <c r="I166" s="7" t="n"/>
    </row>
    <row r="167">
      <c r="A167" s="15">
        <f>C167&amp;D167</f>
        <v/>
      </c>
      <c r="C167" s="3" t="n"/>
      <c r="D167" s="3" t="inlineStr">
        <is>
          <t>D</t>
        </is>
      </c>
      <c r="E167" s="4" t="n"/>
      <c r="F167" s="5" t="n"/>
      <c r="G167" s="6" t="n"/>
      <c r="H167" s="6" t="n"/>
      <c r="I167" s="7" t="n"/>
    </row>
    <row r="168">
      <c r="A168" s="15">
        <f>C168&amp;D168</f>
        <v/>
      </c>
      <c r="C168" s="8" t="n"/>
      <c r="D168" s="8" t="inlineStr">
        <is>
          <t>A</t>
        </is>
      </c>
      <c r="E168" s="9" t="n"/>
      <c r="F168" s="10" t="n"/>
      <c r="G168" s="11" t="n"/>
      <c r="H168" s="11" t="n"/>
      <c r="I168" s="12" t="n"/>
    </row>
    <row r="169">
      <c r="A169" s="15">
        <f>C169&amp;D169</f>
        <v/>
      </c>
      <c r="C169" s="8" t="n"/>
      <c r="D169" s="8" t="inlineStr">
        <is>
          <t>B</t>
        </is>
      </c>
      <c r="E169" s="9" t="n"/>
      <c r="F169" s="10" t="n"/>
      <c r="G169" s="11" t="n"/>
      <c r="H169" s="11" t="n"/>
      <c r="I169" s="12" t="n"/>
    </row>
    <row r="170">
      <c r="A170" s="15">
        <f>C170&amp;D170</f>
        <v/>
      </c>
      <c r="C170" s="8" t="n"/>
      <c r="D170" s="8" t="inlineStr">
        <is>
          <t>C</t>
        </is>
      </c>
      <c r="E170" s="9" t="n"/>
      <c r="F170" s="10" t="n"/>
      <c r="G170" s="11" t="n"/>
      <c r="H170" s="11" t="n"/>
      <c r="I170" s="12" t="n"/>
    </row>
    <row r="171">
      <c r="A171" s="15">
        <f>C171&amp;D171</f>
        <v/>
      </c>
      <c r="C171" s="8" t="n"/>
      <c r="D171" s="8" t="inlineStr">
        <is>
          <t>D</t>
        </is>
      </c>
      <c r="E171" s="9" t="n"/>
      <c r="F171" s="10" t="n"/>
      <c r="G171" s="11" t="n"/>
      <c r="H171" s="11" t="n"/>
      <c r="I171" s="12" t="n"/>
    </row>
    <row r="172">
      <c r="A172" s="15">
        <f>C172&amp;D172</f>
        <v/>
      </c>
      <c r="C172" s="3" t="n"/>
      <c r="D172" s="3" t="inlineStr">
        <is>
          <t>A</t>
        </is>
      </c>
      <c r="E172" s="4" t="n"/>
      <c r="F172" s="5" t="n"/>
      <c r="G172" s="6" t="n"/>
      <c r="H172" s="6" t="n"/>
      <c r="I172" s="7" t="n"/>
    </row>
    <row r="173">
      <c r="A173" s="15">
        <f>C173&amp;D173</f>
        <v/>
      </c>
      <c r="C173" s="3" t="n"/>
      <c r="D173" s="3" t="inlineStr">
        <is>
          <t>B</t>
        </is>
      </c>
      <c r="E173" s="4" t="n"/>
      <c r="F173" s="5" t="n"/>
      <c r="G173" s="6" t="n"/>
      <c r="H173" s="6" t="n"/>
      <c r="I173" s="7" t="n"/>
    </row>
    <row r="174">
      <c r="A174" s="15">
        <f>C174&amp;D174</f>
        <v/>
      </c>
      <c r="C174" s="3" t="n"/>
      <c r="D174" s="3" t="inlineStr">
        <is>
          <t>C</t>
        </is>
      </c>
      <c r="E174" s="4" t="n"/>
      <c r="F174" s="5" t="n"/>
      <c r="G174" s="6" t="n"/>
      <c r="H174" s="6" t="n"/>
      <c r="I174" s="7" t="n"/>
    </row>
    <row r="175">
      <c r="A175" s="15">
        <f>C175&amp;D175</f>
        <v/>
      </c>
      <c r="C175" s="3" t="n"/>
      <c r="D175" s="3" t="inlineStr">
        <is>
          <t>D</t>
        </is>
      </c>
      <c r="E175" s="4" t="n"/>
      <c r="F175" s="5" t="n"/>
      <c r="G175" s="6" t="n"/>
      <c r="H175" s="6" t="n"/>
      <c r="I175" s="7" t="n"/>
    </row>
    <row r="176">
      <c r="A176" s="15">
        <f>C176&amp;D176</f>
        <v/>
      </c>
      <c r="C176" s="8" t="n"/>
      <c r="D176" s="8" t="inlineStr">
        <is>
          <t>A</t>
        </is>
      </c>
      <c r="E176" s="9" t="n"/>
      <c r="F176" s="10" t="n"/>
      <c r="G176" s="11" t="n"/>
      <c r="H176" s="11" t="n"/>
      <c r="I176" s="12" t="n"/>
    </row>
    <row r="177">
      <c r="A177" s="15">
        <f>C177&amp;D177</f>
        <v/>
      </c>
      <c r="C177" s="8" t="n"/>
      <c r="D177" s="8" t="inlineStr">
        <is>
          <t>B</t>
        </is>
      </c>
      <c r="E177" s="9" t="n"/>
      <c r="F177" s="10" t="n"/>
      <c r="G177" s="11" t="n"/>
      <c r="H177" s="11" t="n"/>
      <c r="I177" s="12" t="n"/>
    </row>
    <row r="178">
      <c r="A178" s="15">
        <f>C178&amp;D178</f>
        <v/>
      </c>
      <c r="C178" s="8" t="n"/>
      <c r="D178" s="8" t="inlineStr">
        <is>
          <t>C</t>
        </is>
      </c>
      <c r="E178" s="9" t="n"/>
      <c r="F178" s="10" t="n"/>
      <c r="G178" s="11" t="n"/>
      <c r="H178" s="11" t="n"/>
      <c r="I178" s="12" t="n"/>
    </row>
    <row r="179">
      <c r="A179" s="15">
        <f>C179&amp;D179</f>
        <v/>
      </c>
      <c r="C179" s="8" t="n"/>
      <c r="D179" s="8" t="inlineStr">
        <is>
          <t>D</t>
        </is>
      </c>
      <c r="E179" s="9" t="n"/>
      <c r="F179" s="10" t="n"/>
      <c r="G179" s="11" t="n"/>
      <c r="H179" s="11" t="n"/>
      <c r="I179" s="12" t="n"/>
    </row>
    <row r="180">
      <c r="A180" s="15">
        <f>C180&amp;D180</f>
        <v/>
      </c>
      <c r="C180" s="3" t="n"/>
      <c r="D180" s="3" t="inlineStr">
        <is>
          <t>A</t>
        </is>
      </c>
      <c r="E180" s="4" t="n"/>
      <c r="F180" s="5" t="n"/>
      <c r="G180" s="6" t="n"/>
      <c r="H180" s="6" t="n"/>
      <c r="I180" s="7" t="n"/>
    </row>
    <row r="181">
      <c r="A181" s="15">
        <f>C181&amp;D181</f>
        <v/>
      </c>
      <c r="C181" s="3" t="n"/>
      <c r="D181" s="3" t="inlineStr">
        <is>
          <t>B</t>
        </is>
      </c>
      <c r="E181" s="4" t="n"/>
      <c r="F181" s="5" t="n"/>
      <c r="G181" s="6" t="n"/>
      <c r="H181" s="6" t="n"/>
      <c r="I181" s="7" t="n"/>
    </row>
    <row r="182">
      <c r="A182" s="15">
        <f>C182&amp;D182</f>
        <v/>
      </c>
      <c r="C182" s="3" t="n"/>
      <c r="D182" s="3" t="inlineStr">
        <is>
          <t>C</t>
        </is>
      </c>
      <c r="E182" s="4" t="n"/>
      <c r="F182" s="5" t="n"/>
      <c r="G182" s="6" t="n"/>
      <c r="H182" s="6" t="n"/>
      <c r="I182" s="7" t="n"/>
    </row>
    <row r="183">
      <c r="A183" s="15">
        <f>C183&amp;D183</f>
        <v/>
      </c>
      <c r="C183" s="3" t="n"/>
      <c r="D183" s="3" t="inlineStr">
        <is>
          <t>D</t>
        </is>
      </c>
      <c r="E183" s="4" t="n"/>
      <c r="F183" s="5" t="n"/>
      <c r="G183" s="6" t="n"/>
      <c r="H183" s="6" t="n"/>
      <c r="I183" s="7" t="n"/>
    </row>
    <row r="184">
      <c r="A184" s="15">
        <f>C184&amp;D184</f>
        <v/>
      </c>
      <c r="C184" s="8" t="n"/>
      <c r="D184" s="8" t="inlineStr">
        <is>
          <t>A</t>
        </is>
      </c>
      <c r="E184" s="9" t="n"/>
      <c r="F184" s="10" t="n"/>
      <c r="G184" s="11" t="n"/>
      <c r="H184" s="11" t="n"/>
      <c r="I184" s="12" t="n"/>
    </row>
    <row r="185">
      <c r="A185" s="15">
        <f>C185&amp;D185</f>
        <v/>
      </c>
      <c r="C185" s="8" t="n"/>
      <c r="D185" s="8" t="inlineStr">
        <is>
          <t>B</t>
        </is>
      </c>
      <c r="E185" s="9" t="n"/>
      <c r="F185" s="10" t="n"/>
      <c r="G185" s="11" t="n"/>
      <c r="H185" s="11" t="n"/>
      <c r="I185" s="12" t="n"/>
    </row>
    <row r="186">
      <c r="A186" s="15">
        <f>C186&amp;D186</f>
        <v/>
      </c>
      <c r="C186" s="8" t="n"/>
      <c r="D186" s="8" t="inlineStr">
        <is>
          <t>C</t>
        </is>
      </c>
      <c r="E186" s="9" t="n"/>
      <c r="F186" s="10" t="n"/>
      <c r="G186" s="11" t="n"/>
      <c r="H186" s="11" t="n"/>
      <c r="I186" s="12" t="n"/>
    </row>
    <row r="187">
      <c r="A187" s="15">
        <f>C187&amp;D187</f>
        <v/>
      </c>
      <c r="C187" s="8" t="n"/>
      <c r="D187" s="8" t="inlineStr">
        <is>
          <t>D</t>
        </is>
      </c>
      <c r="E187" s="9" t="n"/>
      <c r="F187" s="10" t="n"/>
      <c r="G187" s="11" t="n"/>
      <c r="H187" s="11" t="n"/>
      <c r="I187" s="12" t="n"/>
    </row>
    <row r="188">
      <c r="A188" s="15">
        <f>C188&amp;D188</f>
        <v/>
      </c>
      <c r="C188" s="3" t="n"/>
      <c r="D188" s="3" t="inlineStr">
        <is>
          <t>A</t>
        </is>
      </c>
      <c r="E188" s="4" t="n"/>
      <c r="F188" s="5" t="n"/>
      <c r="G188" s="6" t="n"/>
      <c r="H188" s="6" t="n"/>
      <c r="I188" s="7" t="n"/>
    </row>
    <row r="189">
      <c r="A189" s="15">
        <f>C189&amp;D189</f>
        <v/>
      </c>
      <c r="C189" s="3" t="n"/>
      <c r="D189" s="3" t="inlineStr">
        <is>
          <t>B</t>
        </is>
      </c>
      <c r="E189" s="4" t="n"/>
      <c r="F189" s="5" t="n"/>
      <c r="G189" s="6" t="n"/>
      <c r="H189" s="6" t="n"/>
      <c r="I189" s="7" t="n"/>
    </row>
    <row r="190">
      <c r="A190" s="15">
        <f>C190&amp;D190</f>
        <v/>
      </c>
      <c r="C190" s="3" t="n"/>
      <c r="D190" s="3" t="inlineStr">
        <is>
          <t>C</t>
        </is>
      </c>
      <c r="E190" s="4" t="n"/>
      <c r="F190" s="5" t="n"/>
      <c r="G190" s="6" t="n"/>
      <c r="H190" s="6" t="n"/>
      <c r="I190" s="7" t="n"/>
    </row>
    <row r="191">
      <c r="A191" s="15">
        <f>C191&amp;D191</f>
        <v/>
      </c>
      <c r="C191" s="3" t="n"/>
      <c r="D191" s="3" t="inlineStr">
        <is>
          <t>D</t>
        </is>
      </c>
      <c r="E191" s="4" t="n"/>
      <c r="F191" s="5" t="n"/>
      <c r="G191" s="6" t="n"/>
      <c r="H191" s="6" t="n"/>
      <c r="I191" s="7" t="n"/>
    </row>
    <row r="192">
      <c r="A192" s="15">
        <f>C192&amp;D192</f>
        <v/>
      </c>
      <c r="C192" s="8" t="n"/>
      <c r="D192" s="8" t="inlineStr">
        <is>
          <t>A</t>
        </is>
      </c>
      <c r="E192" s="9" t="n"/>
      <c r="F192" s="10" t="n"/>
      <c r="G192" s="11" t="n"/>
      <c r="H192" s="11" t="n"/>
      <c r="I192" s="12" t="n"/>
    </row>
    <row r="193">
      <c r="A193" s="15">
        <f>C193&amp;D193</f>
        <v/>
      </c>
      <c r="C193" s="8" t="n"/>
      <c r="D193" s="8" t="inlineStr">
        <is>
          <t>B</t>
        </is>
      </c>
      <c r="E193" s="9" t="n"/>
      <c r="F193" s="10" t="n"/>
      <c r="G193" s="11" t="n"/>
      <c r="H193" s="11" t="n"/>
      <c r="I193" s="12" t="n"/>
    </row>
    <row r="194">
      <c r="A194" s="15">
        <f>C194&amp;D194</f>
        <v/>
      </c>
      <c r="C194" s="8" t="n"/>
      <c r="D194" s="8" t="inlineStr">
        <is>
          <t>C</t>
        </is>
      </c>
      <c r="E194" s="9" t="n"/>
      <c r="F194" s="10" t="n"/>
      <c r="G194" s="11" t="n"/>
      <c r="H194" s="11" t="n"/>
      <c r="I194" s="12" t="n"/>
    </row>
    <row r="195">
      <c r="A195" s="15">
        <f>C195&amp;D195</f>
        <v/>
      </c>
      <c r="C195" s="8" t="n"/>
      <c r="D195" s="8" t="inlineStr">
        <is>
          <t>D</t>
        </is>
      </c>
      <c r="E195" s="9" t="n"/>
      <c r="F195" s="10" t="n"/>
      <c r="G195" s="11" t="n"/>
      <c r="H195" s="11" t="n"/>
      <c r="I195" s="12" t="n"/>
    </row>
    <row r="196">
      <c r="A196" s="15">
        <f>C196&amp;D196</f>
        <v/>
      </c>
      <c r="C196" s="3" t="n"/>
      <c r="D196" s="3" t="inlineStr">
        <is>
          <t>A</t>
        </is>
      </c>
      <c r="E196" s="4" t="n"/>
      <c r="F196" s="5" t="n"/>
      <c r="G196" s="6" t="n"/>
      <c r="H196" s="6" t="n"/>
      <c r="I196" s="7" t="n"/>
    </row>
    <row r="197">
      <c r="A197" s="15">
        <f>C197&amp;D197</f>
        <v/>
      </c>
      <c r="C197" s="3" t="n"/>
      <c r="D197" s="3" t="inlineStr">
        <is>
          <t>B</t>
        </is>
      </c>
      <c r="E197" s="4" t="n"/>
      <c r="F197" s="5" t="n"/>
      <c r="G197" s="6" t="n"/>
      <c r="H197" s="6" t="n"/>
      <c r="I197" s="7" t="n"/>
    </row>
    <row r="198">
      <c r="A198" s="15">
        <f>C198&amp;D198</f>
        <v/>
      </c>
      <c r="C198" s="3" t="n"/>
      <c r="D198" s="3" t="inlineStr">
        <is>
          <t>C</t>
        </is>
      </c>
      <c r="E198" s="4" t="n"/>
      <c r="F198" s="5" t="n"/>
      <c r="G198" s="6" t="n"/>
      <c r="H198" s="6" t="n"/>
      <c r="I198" s="7" t="n"/>
    </row>
    <row r="199">
      <c r="A199" s="15">
        <f>C199&amp;D199</f>
        <v/>
      </c>
      <c r="C199" s="3" t="n"/>
      <c r="D199" s="3" t="inlineStr">
        <is>
          <t>D</t>
        </is>
      </c>
      <c r="E199" s="4" t="n"/>
      <c r="F199" s="5" t="n"/>
      <c r="G199" s="6" t="n"/>
      <c r="H199" s="6" t="n"/>
      <c r="I199" s="7" t="n"/>
    </row>
    <row r="200">
      <c r="A200" s="15">
        <f>C200&amp;D200</f>
        <v/>
      </c>
      <c r="C200" s="8" t="n"/>
      <c r="D200" s="8" t="inlineStr">
        <is>
          <t>A</t>
        </is>
      </c>
      <c r="E200" s="9" t="n"/>
      <c r="F200" s="10" t="n"/>
      <c r="G200" s="11" t="n"/>
      <c r="H200" s="11" t="n"/>
      <c r="I200" s="12" t="n"/>
    </row>
    <row r="201">
      <c r="A201" s="15">
        <f>C201&amp;D201</f>
        <v/>
      </c>
      <c r="C201" s="8" t="n"/>
      <c r="D201" s="8" t="inlineStr">
        <is>
          <t>B</t>
        </is>
      </c>
      <c r="E201" s="9" t="n"/>
      <c r="F201" s="10" t="n"/>
      <c r="G201" s="11" t="n"/>
      <c r="H201" s="11" t="n"/>
      <c r="I201" s="12" t="n"/>
    </row>
    <row r="202">
      <c r="A202" s="15">
        <f>C202&amp;D202</f>
        <v/>
      </c>
      <c r="C202" s="8" t="n"/>
      <c r="D202" s="8" t="inlineStr">
        <is>
          <t>C</t>
        </is>
      </c>
      <c r="E202" s="9" t="n"/>
      <c r="F202" s="10" t="n"/>
      <c r="G202" s="11" t="n"/>
      <c r="H202" s="11" t="n"/>
      <c r="I202" s="12" t="n"/>
    </row>
    <row r="203">
      <c r="A203" s="15">
        <f>C203&amp;D203</f>
        <v/>
      </c>
      <c r="C203" s="8" t="n"/>
      <c r="D203" s="8" t="inlineStr">
        <is>
          <t>D</t>
        </is>
      </c>
      <c r="E203" s="9" t="n"/>
      <c r="F203" s="10" t="n"/>
      <c r="G203" s="11" t="n"/>
      <c r="H203" s="11" t="n"/>
      <c r="I203" s="12" t="n"/>
    </row>
    <row r="204">
      <c r="A204" s="15">
        <f>C204&amp;D204</f>
        <v/>
      </c>
      <c r="C204" s="3" t="n"/>
      <c r="D204" s="3" t="inlineStr">
        <is>
          <t>A</t>
        </is>
      </c>
      <c r="E204" s="4" t="n"/>
      <c r="F204" s="5" t="n"/>
      <c r="G204" s="6" t="n"/>
      <c r="H204" s="6" t="n"/>
      <c r="I204" s="7" t="n"/>
    </row>
    <row r="205">
      <c r="A205" s="15">
        <f>C205&amp;D205</f>
        <v/>
      </c>
      <c r="C205" s="3" t="n"/>
      <c r="D205" s="3" t="inlineStr">
        <is>
          <t>B</t>
        </is>
      </c>
      <c r="E205" s="4" t="n"/>
      <c r="F205" s="5" t="n"/>
      <c r="G205" s="6" t="n"/>
      <c r="H205" s="6" t="n"/>
      <c r="I205" s="7" t="n"/>
    </row>
    <row r="206">
      <c r="A206" s="15">
        <f>C206&amp;D206</f>
        <v/>
      </c>
      <c r="C206" s="3" t="n"/>
      <c r="D206" s="3" t="inlineStr">
        <is>
          <t>C</t>
        </is>
      </c>
      <c r="E206" s="4" t="n"/>
      <c r="F206" s="5" t="n"/>
      <c r="G206" s="6" t="n"/>
      <c r="H206" s="6" t="n"/>
      <c r="I206" s="7" t="n"/>
    </row>
    <row r="207">
      <c r="A207" s="15">
        <f>C207&amp;D207</f>
        <v/>
      </c>
      <c r="C207" s="3" t="n"/>
      <c r="D207" s="3" t="inlineStr">
        <is>
          <t>D</t>
        </is>
      </c>
      <c r="E207" s="4" t="n"/>
      <c r="F207" s="5" t="n"/>
      <c r="G207" s="6" t="n"/>
      <c r="H207" s="6" t="n"/>
      <c r="I207" s="7" t="n"/>
    </row>
    <row r="208">
      <c r="A208" s="15">
        <f>C208&amp;D208</f>
        <v/>
      </c>
      <c r="C208" s="8" t="n"/>
      <c r="D208" s="8" t="inlineStr">
        <is>
          <t>A</t>
        </is>
      </c>
      <c r="E208" s="9" t="n"/>
      <c r="F208" s="10" t="n"/>
      <c r="G208" s="11" t="n"/>
      <c r="H208" s="11" t="n"/>
      <c r="I208" s="12" t="n"/>
    </row>
    <row r="209">
      <c r="A209" s="15">
        <f>C209&amp;D209</f>
        <v/>
      </c>
      <c r="C209" s="8" t="n"/>
      <c r="D209" s="8" t="inlineStr">
        <is>
          <t>B</t>
        </is>
      </c>
      <c r="E209" s="9" t="n"/>
      <c r="F209" s="10" t="n"/>
      <c r="G209" s="11" t="n"/>
      <c r="H209" s="11" t="n"/>
      <c r="I209" s="12" t="n"/>
    </row>
    <row r="210">
      <c r="A210" s="15">
        <f>C210&amp;D210</f>
        <v/>
      </c>
      <c r="C210" s="8" t="n"/>
      <c r="D210" s="8" t="inlineStr">
        <is>
          <t>C</t>
        </is>
      </c>
      <c r="E210" s="9" t="n"/>
      <c r="F210" s="10" t="n"/>
      <c r="G210" s="11" t="n"/>
      <c r="H210" s="11" t="n"/>
      <c r="I210" s="12" t="n"/>
    </row>
    <row r="211">
      <c r="A211" s="15">
        <f>C211&amp;D211</f>
        <v/>
      </c>
      <c r="C211" s="8" t="n"/>
      <c r="D211" s="8" t="inlineStr">
        <is>
          <t>D</t>
        </is>
      </c>
      <c r="E211" s="9" t="n"/>
      <c r="F211" s="10" t="n"/>
      <c r="G211" s="11" t="n"/>
      <c r="H211" s="11" t="n"/>
      <c r="I211" s="12" t="n"/>
    </row>
    <row r="212">
      <c r="A212" s="15">
        <f>C212&amp;D212</f>
        <v/>
      </c>
      <c r="C212" s="3" t="n"/>
      <c r="D212" s="3" t="inlineStr">
        <is>
          <t>A</t>
        </is>
      </c>
      <c r="E212" s="4" t="n"/>
      <c r="F212" s="5" t="n"/>
      <c r="G212" s="6" t="n"/>
      <c r="H212" s="6" t="n"/>
      <c r="I212" s="7" t="n"/>
    </row>
    <row r="213">
      <c r="A213" s="15">
        <f>C213&amp;D213</f>
        <v/>
      </c>
      <c r="C213" s="3" t="n"/>
      <c r="D213" s="3" t="inlineStr">
        <is>
          <t>B</t>
        </is>
      </c>
      <c r="E213" s="4" t="n"/>
      <c r="F213" s="5" t="n"/>
      <c r="G213" s="6" t="n"/>
      <c r="H213" s="6" t="n"/>
      <c r="I213" s="7" t="n"/>
    </row>
    <row r="214">
      <c r="A214" s="15">
        <f>C214&amp;D214</f>
        <v/>
      </c>
      <c r="C214" s="3" t="n"/>
      <c r="D214" s="3" t="inlineStr">
        <is>
          <t>C</t>
        </is>
      </c>
      <c r="E214" s="4" t="n"/>
      <c r="F214" s="5" t="n"/>
      <c r="G214" s="6" t="n"/>
      <c r="H214" s="6" t="n"/>
      <c r="I214" s="7" t="n"/>
    </row>
    <row r="215">
      <c r="A215" s="15">
        <f>C215&amp;D215</f>
        <v/>
      </c>
      <c r="C215" s="3" t="n"/>
      <c r="D215" s="3" t="inlineStr">
        <is>
          <t>D</t>
        </is>
      </c>
      <c r="E215" s="4" t="n"/>
      <c r="F215" s="5" t="n"/>
      <c r="G215" s="6" t="n"/>
      <c r="H215" s="6" t="n"/>
      <c r="I215" s="7" t="n"/>
    </row>
    <row r="216">
      <c r="A216" s="15">
        <f>C216&amp;D216</f>
        <v/>
      </c>
      <c r="C216" s="8" t="n"/>
      <c r="D216" s="8" t="inlineStr">
        <is>
          <t>A</t>
        </is>
      </c>
      <c r="E216" s="9" t="n"/>
      <c r="F216" s="10" t="n"/>
      <c r="G216" s="11" t="n"/>
      <c r="H216" s="11" t="n"/>
      <c r="I216" s="12" t="n"/>
    </row>
    <row r="217">
      <c r="A217" s="15">
        <f>C217&amp;D217</f>
        <v/>
      </c>
      <c r="C217" s="8" t="n"/>
      <c r="D217" s="8" t="inlineStr">
        <is>
          <t>B</t>
        </is>
      </c>
      <c r="E217" s="9" t="n"/>
      <c r="F217" s="10" t="n"/>
      <c r="G217" s="11" t="n"/>
      <c r="H217" s="11" t="n"/>
      <c r="I217" s="12" t="n"/>
    </row>
    <row r="218">
      <c r="A218" s="15">
        <f>C218&amp;D218</f>
        <v/>
      </c>
      <c r="C218" s="8" t="n"/>
      <c r="D218" s="8" t="inlineStr">
        <is>
          <t>C</t>
        </is>
      </c>
      <c r="E218" s="9" t="n"/>
      <c r="F218" s="10" t="n"/>
      <c r="G218" s="11" t="n"/>
      <c r="H218" s="11" t="n"/>
      <c r="I218" s="12" t="n"/>
    </row>
    <row r="219">
      <c r="A219" s="15">
        <f>C219&amp;D219</f>
        <v/>
      </c>
      <c r="C219" s="8" t="n"/>
      <c r="D219" s="8" t="inlineStr">
        <is>
          <t>D</t>
        </is>
      </c>
      <c r="E219" s="9" t="n"/>
      <c r="F219" s="10" t="n"/>
      <c r="G219" s="11" t="n"/>
      <c r="H219" s="11" t="n"/>
      <c r="I219" s="12" t="n"/>
    </row>
    <row r="220">
      <c r="A220" s="15">
        <f>C220&amp;D220</f>
        <v/>
      </c>
      <c r="C220" s="3" t="n"/>
      <c r="D220" s="3" t="inlineStr">
        <is>
          <t>A</t>
        </is>
      </c>
      <c r="E220" s="4" t="n"/>
      <c r="F220" s="5" t="n"/>
      <c r="G220" s="6" t="n"/>
      <c r="H220" s="6" t="n"/>
      <c r="I220" s="7" t="n"/>
    </row>
    <row r="221">
      <c r="A221" s="15">
        <f>C221&amp;D221</f>
        <v/>
      </c>
      <c r="C221" s="3" t="n"/>
      <c r="D221" s="3" t="inlineStr">
        <is>
          <t>B</t>
        </is>
      </c>
      <c r="E221" s="4" t="n"/>
      <c r="F221" s="5" t="n"/>
      <c r="G221" s="6" t="n"/>
      <c r="H221" s="6" t="n"/>
      <c r="I221" s="7" t="n"/>
    </row>
    <row r="222">
      <c r="A222" s="15">
        <f>C222&amp;D222</f>
        <v/>
      </c>
      <c r="C222" s="3" t="n"/>
      <c r="D222" s="3" t="inlineStr">
        <is>
          <t>C</t>
        </is>
      </c>
      <c r="E222" s="4" t="n"/>
      <c r="F222" s="5" t="n"/>
      <c r="G222" s="6" t="n"/>
      <c r="H222" s="6" t="n"/>
      <c r="I222" s="7" t="n"/>
    </row>
    <row r="223">
      <c r="A223" s="15">
        <f>C223&amp;D223</f>
        <v/>
      </c>
      <c r="C223" s="3" t="n"/>
      <c r="D223" s="3" t="inlineStr">
        <is>
          <t>D</t>
        </is>
      </c>
      <c r="E223" s="4" t="n"/>
      <c r="F223" s="5" t="n"/>
      <c r="G223" s="6" t="n"/>
      <c r="H223" s="6" t="n"/>
      <c r="I223" s="7" t="n"/>
    </row>
    <row r="224">
      <c r="A224" s="15">
        <f>C224&amp;D224</f>
        <v/>
      </c>
      <c r="C224" s="8" t="n"/>
      <c r="D224" s="8" t="inlineStr">
        <is>
          <t>A</t>
        </is>
      </c>
      <c r="E224" s="9" t="n"/>
      <c r="F224" s="10" t="n"/>
      <c r="G224" s="11" t="n"/>
      <c r="H224" s="11" t="n"/>
      <c r="I224" s="12" t="n"/>
    </row>
    <row r="225">
      <c r="A225" s="15">
        <f>C225&amp;D225</f>
        <v/>
      </c>
      <c r="C225" s="8" t="n"/>
      <c r="D225" s="8" t="inlineStr">
        <is>
          <t>B</t>
        </is>
      </c>
      <c r="E225" s="9" t="n"/>
      <c r="F225" s="10" t="n"/>
      <c r="G225" s="11" t="n"/>
      <c r="H225" s="11" t="n"/>
      <c r="I225" s="12" t="n"/>
    </row>
    <row r="226">
      <c r="A226" s="15">
        <f>C226&amp;D226</f>
        <v/>
      </c>
      <c r="C226" s="8" t="n"/>
      <c r="D226" s="8" t="inlineStr">
        <is>
          <t>C</t>
        </is>
      </c>
      <c r="E226" s="9" t="n"/>
      <c r="F226" s="10" t="n"/>
      <c r="G226" s="11" t="n"/>
      <c r="H226" s="11" t="n"/>
      <c r="I226" s="12" t="n"/>
    </row>
    <row r="227">
      <c r="A227" s="15">
        <f>C227&amp;D227</f>
        <v/>
      </c>
      <c r="C227" s="8" t="n"/>
      <c r="D227" s="8" t="inlineStr">
        <is>
          <t>D</t>
        </is>
      </c>
      <c r="E227" s="9" t="n"/>
      <c r="F227" s="10" t="n"/>
      <c r="G227" s="11" t="n"/>
      <c r="H227" s="11" t="n"/>
      <c r="I227" s="12" t="n"/>
    </row>
    <row r="228">
      <c r="A228" s="15">
        <f>C228&amp;D228</f>
        <v/>
      </c>
      <c r="C228" s="3" t="n"/>
      <c r="D228" s="3" t="inlineStr">
        <is>
          <t>A</t>
        </is>
      </c>
      <c r="E228" s="4" t="n"/>
      <c r="F228" s="5" t="n"/>
      <c r="G228" s="6" t="n"/>
      <c r="H228" s="6" t="n"/>
      <c r="I228" s="7" t="n"/>
    </row>
    <row r="229">
      <c r="A229" s="15">
        <f>C229&amp;D229</f>
        <v/>
      </c>
      <c r="C229" s="3" t="n"/>
      <c r="D229" s="3" t="inlineStr">
        <is>
          <t>B</t>
        </is>
      </c>
      <c r="E229" s="4" t="n"/>
      <c r="F229" s="5" t="n"/>
      <c r="G229" s="6" t="n"/>
      <c r="H229" s="6" t="n"/>
      <c r="I229" s="7" t="n"/>
    </row>
    <row r="230">
      <c r="A230" s="15">
        <f>C230&amp;D230</f>
        <v/>
      </c>
      <c r="C230" s="3" t="n"/>
      <c r="D230" s="3" t="inlineStr">
        <is>
          <t>C</t>
        </is>
      </c>
      <c r="E230" s="4" t="n"/>
      <c r="F230" s="5" t="n"/>
      <c r="G230" s="6" t="n"/>
      <c r="H230" s="6" t="n"/>
      <c r="I230" s="7" t="n"/>
    </row>
    <row r="231">
      <c r="A231" s="15">
        <f>C231&amp;D231</f>
        <v/>
      </c>
      <c r="C231" s="3" t="n"/>
      <c r="D231" s="3" t="inlineStr">
        <is>
          <t>D</t>
        </is>
      </c>
      <c r="E231" s="4" t="n"/>
      <c r="F231" s="5" t="n"/>
      <c r="G231" s="6" t="n"/>
      <c r="H231" s="6" t="n"/>
      <c r="I231" s="7" t="n"/>
    </row>
    <row r="232">
      <c r="A232" s="15">
        <f>C232&amp;D232</f>
        <v/>
      </c>
      <c r="C232" s="8" t="n"/>
      <c r="D232" s="8" t="inlineStr">
        <is>
          <t>A</t>
        </is>
      </c>
      <c r="E232" s="9" t="n"/>
      <c r="F232" s="10" t="n"/>
      <c r="G232" s="11" t="n"/>
      <c r="H232" s="11" t="n"/>
      <c r="I232" s="12" t="n"/>
    </row>
    <row r="233">
      <c r="A233" s="15">
        <f>C233&amp;D233</f>
        <v/>
      </c>
      <c r="C233" s="8" t="n"/>
      <c r="D233" s="8" t="inlineStr">
        <is>
          <t>B</t>
        </is>
      </c>
      <c r="E233" s="9" t="n"/>
      <c r="F233" s="10" t="n"/>
      <c r="G233" s="11" t="n"/>
      <c r="H233" s="11" t="n"/>
      <c r="I233" s="12" t="n"/>
    </row>
    <row r="234">
      <c r="A234" s="15">
        <f>C234&amp;D234</f>
        <v/>
      </c>
      <c r="C234" s="8" t="n"/>
      <c r="D234" s="8" t="inlineStr">
        <is>
          <t>C</t>
        </is>
      </c>
      <c r="E234" s="9" t="n"/>
      <c r="F234" s="10" t="n"/>
      <c r="G234" s="11" t="n"/>
      <c r="H234" s="11" t="n"/>
      <c r="I234" s="12" t="n"/>
    </row>
    <row r="235">
      <c r="A235" s="15">
        <f>C235&amp;D235</f>
        <v/>
      </c>
      <c r="C235" s="8" t="n"/>
      <c r="D235" s="8" t="inlineStr">
        <is>
          <t>D</t>
        </is>
      </c>
      <c r="E235" s="9" t="n"/>
      <c r="F235" s="10" t="n"/>
      <c r="G235" s="11" t="n"/>
      <c r="H235" s="11" t="n"/>
      <c r="I235" s="12" t="n"/>
    </row>
    <row r="236">
      <c r="A236" s="15">
        <f>C236&amp;D236</f>
        <v/>
      </c>
      <c r="C236" s="3" t="n"/>
      <c r="D236" s="3" t="inlineStr">
        <is>
          <t>A</t>
        </is>
      </c>
      <c r="E236" s="4" t="n"/>
      <c r="F236" s="5" t="n"/>
      <c r="G236" s="6" t="n"/>
      <c r="H236" s="6" t="n"/>
      <c r="I236" s="7" t="n"/>
    </row>
    <row r="237">
      <c r="A237" s="15">
        <f>C237&amp;D237</f>
        <v/>
      </c>
      <c r="C237" s="3" t="n"/>
      <c r="D237" s="3" t="inlineStr">
        <is>
          <t>B</t>
        </is>
      </c>
      <c r="E237" s="4" t="n"/>
      <c r="F237" s="5" t="n"/>
      <c r="G237" s="6" t="n"/>
      <c r="H237" s="6" t="n"/>
      <c r="I237" s="7" t="n"/>
    </row>
    <row r="238">
      <c r="A238" s="15">
        <f>C238&amp;D238</f>
        <v/>
      </c>
      <c r="C238" s="3" t="n"/>
      <c r="D238" s="3" t="inlineStr">
        <is>
          <t>C</t>
        </is>
      </c>
      <c r="E238" s="4" t="n"/>
      <c r="F238" s="5" t="n"/>
      <c r="G238" s="6" t="n"/>
      <c r="H238" s="6" t="n"/>
      <c r="I238" s="7" t="n"/>
    </row>
    <row r="239">
      <c r="A239" s="15">
        <f>C239&amp;D239</f>
        <v/>
      </c>
      <c r="C239" s="3" t="n"/>
      <c r="D239" s="3" t="inlineStr">
        <is>
          <t>D</t>
        </is>
      </c>
      <c r="E239" s="4" t="n"/>
      <c r="F239" s="5" t="n"/>
      <c r="G239" s="6" t="n"/>
      <c r="H239" s="6" t="n"/>
      <c r="I239" s="7" t="n"/>
    </row>
    <row r="240">
      <c r="A240" s="15">
        <f>C240&amp;D240</f>
        <v/>
      </c>
      <c r="C240" s="8" t="n"/>
      <c r="D240" s="8" t="inlineStr">
        <is>
          <t>A</t>
        </is>
      </c>
      <c r="E240" s="9" t="n"/>
      <c r="F240" s="10" t="n"/>
      <c r="G240" s="11" t="n"/>
      <c r="H240" s="11" t="n"/>
      <c r="I240" s="12" t="n"/>
    </row>
    <row r="241">
      <c r="A241" s="15">
        <f>C241&amp;D241</f>
        <v/>
      </c>
      <c r="C241" s="8" t="n"/>
      <c r="D241" s="8" t="inlineStr">
        <is>
          <t>B</t>
        </is>
      </c>
      <c r="E241" s="9" t="n"/>
      <c r="F241" s="10" t="n"/>
      <c r="G241" s="11" t="n"/>
      <c r="H241" s="11" t="n"/>
      <c r="I241" s="12" t="n"/>
    </row>
    <row r="242">
      <c r="A242" s="15">
        <f>C242&amp;D242</f>
        <v/>
      </c>
      <c r="C242" s="8" t="n"/>
      <c r="D242" s="8" t="inlineStr">
        <is>
          <t>C</t>
        </is>
      </c>
      <c r="E242" s="9" t="n"/>
      <c r="F242" s="10" t="n"/>
      <c r="G242" s="11" t="n"/>
      <c r="H242" s="11" t="n"/>
      <c r="I242" s="12" t="n"/>
    </row>
    <row r="243">
      <c r="A243" s="15">
        <f>C243&amp;D243</f>
        <v/>
      </c>
      <c r="C243" s="8" t="n"/>
      <c r="D243" s="8" t="inlineStr">
        <is>
          <t>D</t>
        </is>
      </c>
      <c r="E243" s="9" t="n"/>
      <c r="F243" s="10" t="n"/>
      <c r="G243" s="11" t="n"/>
      <c r="H243" s="11" t="n"/>
      <c r="I243" s="12" t="n"/>
    </row>
    <row r="244">
      <c r="A244" s="15">
        <f>C244&amp;D244</f>
        <v/>
      </c>
      <c r="C244" s="3" t="n"/>
      <c r="D244" s="3" t="inlineStr">
        <is>
          <t>A</t>
        </is>
      </c>
      <c r="E244" s="4" t="n"/>
      <c r="F244" s="5" t="n"/>
      <c r="G244" s="6" t="n"/>
      <c r="H244" s="6" t="n"/>
      <c r="I244" s="7" t="n"/>
    </row>
    <row r="245">
      <c r="A245" s="15">
        <f>C245&amp;D245</f>
        <v/>
      </c>
      <c r="C245" s="3" t="n"/>
      <c r="D245" s="3" t="inlineStr">
        <is>
          <t>B</t>
        </is>
      </c>
      <c r="E245" s="4" t="n"/>
      <c r="F245" s="5" t="n"/>
      <c r="G245" s="6" t="n"/>
      <c r="H245" s="6" t="n"/>
      <c r="I245" s="7" t="n"/>
    </row>
    <row r="246">
      <c r="A246" s="15">
        <f>C246&amp;D246</f>
        <v/>
      </c>
      <c r="C246" s="3" t="n"/>
      <c r="D246" s="3" t="inlineStr">
        <is>
          <t>C</t>
        </is>
      </c>
      <c r="E246" s="4" t="n"/>
      <c r="F246" s="5" t="n"/>
      <c r="G246" s="6" t="n"/>
      <c r="H246" s="6" t="n"/>
      <c r="I246" s="7" t="n"/>
    </row>
    <row r="247">
      <c r="A247" s="15">
        <f>C247&amp;D247</f>
        <v/>
      </c>
      <c r="C247" s="3" t="n"/>
      <c r="D247" s="3" t="inlineStr">
        <is>
          <t>D</t>
        </is>
      </c>
      <c r="E247" s="4" t="n"/>
      <c r="F247" s="5" t="n"/>
      <c r="G247" s="6" t="n"/>
      <c r="H247" s="6" t="n"/>
      <c r="I247" s="7" t="n"/>
    </row>
    <row r="248">
      <c r="A248" s="15">
        <f>C248&amp;D248</f>
        <v/>
      </c>
      <c r="C248" s="8" t="n"/>
      <c r="D248" s="8" t="inlineStr">
        <is>
          <t>A</t>
        </is>
      </c>
      <c r="E248" s="9" t="n"/>
      <c r="F248" s="10" t="n"/>
      <c r="G248" s="11" t="n"/>
      <c r="H248" s="11" t="n"/>
      <c r="I248" s="12" t="n"/>
    </row>
    <row r="249">
      <c r="A249" s="15">
        <f>C249&amp;D249</f>
        <v/>
      </c>
      <c r="C249" s="8" t="n"/>
      <c r="D249" s="8" t="inlineStr">
        <is>
          <t>B</t>
        </is>
      </c>
      <c r="E249" s="9" t="n"/>
      <c r="F249" s="10" t="n"/>
      <c r="G249" s="11" t="n"/>
      <c r="H249" s="11" t="n"/>
      <c r="I249" s="12" t="n"/>
    </row>
    <row r="250">
      <c r="A250" s="15">
        <f>C250&amp;D250</f>
        <v/>
      </c>
      <c r="C250" s="8" t="n"/>
      <c r="D250" s="8" t="inlineStr">
        <is>
          <t>C</t>
        </is>
      </c>
      <c r="E250" s="9" t="n"/>
      <c r="F250" s="10" t="n"/>
      <c r="G250" s="11" t="n"/>
      <c r="H250" s="11" t="n"/>
      <c r="I250" s="12" t="n"/>
    </row>
    <row r="251">
      <c r="A251" s="15">
        <f>C251&amp;D251</f>
        <v/>
      </c>
      <c r="C251" s="8" t="n"/>
      <c r="D251" s="8" t="inlineStr">
        <is>
          <t>D</t>
        </is>
      </c>
      <c r="E251" s="9" t="n"/>
      <c r="F251" s="10" t="n"/>
      <c r="G251" s="11" t="n"/>
      <c r="H251" s="11" t="n"/>
      <c r="I251" s="12" t="n"/>
    </row>
    <row r="252">
      <c r="A252" s="15">
        <f>C252&amp;D252</f>
        <v/>
      </c>
      <c r="C252" s="3" t="n"/>
      <c r="D252" s="3" t="inlineStr">
        <is>
          <t>A</t>
        </is>
      </c>
      <c r="E252" s="4" t="n"/>
      <c r="F252" s="5" t="n"/>
      <c r="G252" s="6" t="n"/>
      <c r="H252" s="6" t="n"/>
      <c r="I252" s="7" t="n"/>
    </row>
    <row r="253">
      <c r="A253" s="15">
        <f>C253&amp;D253</f>
        <v/>
      </c>
      <c r="C253" s="3" t="n"/>
      <c r="D253" s="3" t="inlineStr">
        <is>
          <t>B</t>
        </is>
      </c>
      <c r="E253" s="4" t="n"/>
      <c r="F253" s="5" t="n"/>
      <c r="G253" s="6" t="n"/>
      <c r="H253" s="6" t="n"/>
      <c r="I253" s="7" t="n"/>
    </row>
    <row r="254">
      <c r="A254" s="15">
        <f>C254&amp;D254</f>
        <v/>
      </c>
      <c r="C254" s="3" t="n"/>
      <c r="D254" s="3" t="inlineStr">
        <is>
          <t>C</t>
        </is>
      </c>
      <c r="E254" s="4" t="n"/>
      <c r="F254" s="5" t="n"/>
      <c r="G254" s="6" t="n"/>
      <c r="H254" s="6" t="n"/>
      <c r="I254" s="7" t="n"/>
    </row>
    <row r="255">
      <c r="A255" s="15">
        <f>C255&amp;D255</f>
        <v/>
      </c>
      <c r="C255" s="3" t="n"/>
      <c r="D255" s="3" t="inlineStr">
        <is>
          <t>D</t>
        </is>
      </c>
      <c r="E255" s="4" t="n"/>
      <c r="F255" s="5" t="n"/>
      <c r="G255" s="6" t="n"/>
      <c r="H255" s="6" t="n"/>
      <c r="I255" s="7" t="n"/>
    </row>
    <row r="256">
      <c r="A256" s="15">
        <f>C256&amp;D256</f>
        <v/>
      </c>
      <c r="C256" s="8" t="n"/>
      <c r="D256" s="8" t="inlineStr">
        <is>
          <t>A</t>
        </is>
      </c>
      <c r="E256" s="9" t="n"/>
      <c r="F256" s="10" t="n"/>
      <c r="G256" s="11" t="n"/>
      <c r="H256" s="11" t="n"/>
      <c r="I256" s="12" t="n"/>
    </row>
    <row r="257">
      <c r="A257" s="15">
        <f>C257&amp;D257</f>
        <v/>
      </c>
      <c r="C257" s="8" t="n"/>
      <c r="D257" s="8" t="inlineStr">
        <is>
          <t>B</t>
        </is>
      </c>
      <c r="E257" s="9" t="n"/>
      <c r="F257" s="10" t="n"/>
      <c r="G257" s="11" t="n"/>
      <c r="H257" s="11" t="n"/>
      <c r="I257" s="12" t="n"/>
    </row>
    <row r="258">
      <c r="A258" s="15">
        <f>C258&amp;D258</f>
        <v/>
      </c>
      <c r="C258" s="8" t="n"/>
      <c r="D258" s="8" t="inlineStr">
        <is>
          <t>C</t>
        </is>
      </c>
      <c r="E258" s="9" t="n"/>
      <c r="F258" s="10" t="n"/>
      <c r="G258" s="11" t="n"/>
      <c r="H258" s="11" t="n"/>
      <c r="I258" s="12" t="n"/>
    </row>
    <row r="259">
      <c r="A259" s="15">
        <f>C259&amp;D259</f>
        <v/>
      </c>
      <c r="C259" s="8" t="n"/>
      <c r="D259" s="8" t="inlineStr">
        <is>
          <t>D</t>
        </is>
      </c>
      <c r="E259" s="9" t="n"/>
      <c r="F259" s="10" t="n"/>
      <c r="G259" s="11" t="n"/>
      <c r="H259" s="11" t="n"/>
      <c r="I259" s="12" t="n"/>
    </row>
    <row r="260">
      <c r="A260" s="15">
        <f>C260&amp;D260</f>
        <v/>
      </c>
      <c r="C260" s="3" t="n"/>
      <c r="D260" s="3" t="inlineStr">
        <is>
          <t>A</t>
        </is>
      </c>
      <c r="E260" s="4" t="n"/>
      <c r="F260" s="5" t="n"/>
      <c r="G260" s="6" t="n"/>
      <c r="H260" s="6" t="n"/>
      <c r="I260" s="7" t="n"/>
    </row>
    <row r="261">
      <c r="A261" s="15">
        <f>C261&amp;D261</f>
        <v/>
      </c>
      <c r="C261" s="3" t="n"/>
      <c r="D261" s="3" t="inlineStr">
        <is>
          <t>B</t>
        </is>
      </c>
      <c r="E261" s="4" t="n"/>
      <c r="F261" s="5" t="n"/>
      <c r="G261" s="6" t="n"/>
      <c r="H261" s="6" t="n"/>
      <c r="I261" s="7" t="n"/>
    </row>
    <row r="262">
      <c r="A262" s="15">
        <f>C262&amp;D262</f>
        <v/>
      </c>
      <c r="C262" s="3" t="n"/>
      <c r="D262" s="3" t="inlineStr">
        <is>
          <t>C</t>
        </is>
      </c>
      <c r="E262" s="4" t="n"/>
      <c r="F262" s="5" t="n"/>
      <c r="G262" s="6" t="n"/>
      <c r="H262" s="6" t="n"/>
      <c r="I262" s="7" t="n"/>
    </row>
    <row r="263">
      <c r="A263" s="15">
        <f>C263&amp;D263</f>
        <v/>
      </c>
      <c r="C263" s="3" t="n"/>
      <c r="D263" s="3" t="inlineStr">
        <is>
          <t>D</t>
        </is>
      </c>
      <c r="E263" s="4" t="n"/>
      <c r="F263" s="5" t="n"/>
      <c r="G263" s="6" t="n"/>
      <c r="H263" s="6" t="n"/>
      <c r="I263" s="7" t="n"/>
    </row>
    <row r="264">
      <c r="A264" s="15">
        <f>C264&amp;D264</f>
        <v/>
      </c>
      <c r="C264" s="8" t="n"/>
      <c r="D264" s="8" t="inlineStr">
        <is>
          <t>A</t>
        </is>
      </c>
      <c r="E264" s="9" t="n"/>
      <c r="F264" s="10" t="n"/>
      <c r="G264" s="11" t="n"/>
      <c r="H264" s="11" t="n"/>
      <c r="I264" s="12" t="n"/>
    </row>
    <row r="265">
      <c r="A265" s="15">
        <f>C265&amp;D265</f>
        <v/>
      </c>
      <c r="C265" s="8" t="n"/>
      <c r="D265" s="8" t="inlineStr">
        <is>
          <t>B</t>
        </is>
      </c>
      <c r="E265" s="9" t="n"/>
      <c r="F265" s="10" t="n"/>
      <c r="G265" s="11" t="n"/>
      <c r="H265" s="11" t="n"/>
      <c r="I265" s="12" t="n"/>
    </row>
    <row r="266">
      <c r="A266" s="15">
        <f>C266&amp;D266</f>
        <v/>
      </c>
      <c r="C266" s="8" t="n"/>
      <c r="D266" s="8" t="inlineStr">
        <is>
          <t>C</t>
        </is>
      </c>
      <c r="E266" s="9" t="n"/>
      <c r="F266" s="10" t="n"/>
      <c r="G266" s="11" t="n"/>
      <c r="H266" s="11" t="n"/>
      <c r="I266" s="12" t="n"/>
    </row>
    <row r="267">
      <c r="A267" s="15">
        <f>C267&amp;D267</f>
        <v/>
      </c>
      <c r="C267" s="8" t="n"/>
      <c r="D267" s="8" t="inlineStr">
        <is>
          <t>D</t>
        </is>
      </c>
      <c r="E267" s="9" t="n"/>
      <c r="F267" s="10" t="n"/>
      <c r="G267" s="11" t="n"/>
      <c r="H267" s="11" t="n"/>
      <c r="I267" s="12" t="n"/>
    </row>
    <row r="268">
      <c r="A268" s="15">
        <f>C268&amp;D268</f>
        <v/>
      </c>
      <c r="C268" s="3" t="n"/>
      <c r="D268" s="3" t="inlineStr">
        <is>
          <t>A</t>
        </is>
      </c>
      <c r="E268" s="4" t="n"/>
      <c r="F268" s="5" t="n"/>
      <c r="G268" s="6" t="n"/>
      <c r="H268" s="6" t="n"/>
      <c r="I268" s="7" t="n"/>
    </row>
    <row r="269">
      <c r="A269" s="15">
        <f>C269&amp;D269</f>
        <v/>
      </c>
      <c r="C269" s="3" t="n"/>
      <c r="D269" s="3" t="inlineStr">
        <is>
          <t>B</t>
        </is>
      </c>
      <c r="E269" s="4" t="n"/>
      <c r="F269" s="5" t="n"/>
      <c r="G269" s="6" t="n"/>
      <c r="H269" s="6" t="n"/>
      <c r="I269" s="7" t="n"/>
    </row>
    <row r="270">
      <c r="A270" s="15">
        <f>C270&amp;D270</f>
        <v/>
      </c>
      <c r="C270" s="3" t="n"/>
      <c r="D270" s="3" t="inlineStr">
        <is>
          <t>C</t>
        </is>
      </c>
      <c r="E270" s="4" t="n"/>
      <c r="F270" s="5" t="n"/>
      <c r="G270" s="6" t="n"/>
      <c r="H270" s="6" t="n"/>
      <c r="I270" s="7" t="n"/>
    </row>
    <row r="271">
      <c r="A271" s="15">
        <f>C271&amp;D271</f>
        <v/>
      </c>
      <c r="C271" s="3" t="n"/>
      <c r="D271" s="3" t="inlineStr">
        <is>
          <t>D</t>
        </is>
      </c>
      <c r="E271" s="4" t="n"/>
      <c r="F271" s="5" t="n"/>
      <c r="G271" s="6" t="n"/>
      <c r="H271" s="6" t="n"/>
      <c r="I271" s="7" t="n"/>
    </row>
    <row r="272">
      <c r="A272" s="15">
        <f>C272&amp;D272</f>
        <v/>
      </c>
      <c r="C272" s="8" t="n"/>
      <c r="D272" s="8" t="inlineStr">
        <is>
          <t>A</t>
        </is>
      </c>
      <c r="E272" s="9" t="n"/>
      <c r="F272" s="10" t="n"/>
      <c r="G272" s="11" t="n"/>
      <c r="H272" s="11" t="n"/>
      <c r="I272" s="12" t="n"/>
    </row>
    <row r="273">
      <c r="A273" s="15">
        <f>C273&amp;D273</f>
        <v/>
      </c>
      <c r="C273" s="8" t="n"/>
      <c r="D273" s="8" t="inlineStr">
        <is>
          <t>B</t>
        </is>
      </c>
      <c r="E273" s="9" t="n"/>
      <c r="F273" s="10" t="n"/>
      <c r="G273" s="11" t="n"/>
      <c r="H273" s="11" t="n"/>
      <c r="I273" s="12" t="n"/>
    </row>
    <row r="274">
      <c r="A274" s="15">
        <f>C274&amp;D274</f>
        <v/>
      </c>
      <c r="C274" s="8" t="n"/>
      <c r="D274" s="8" t="inlineStr">
        <is>
          <t>C</t>
        </is>
      </c>
      <c r="E274" s="9" t="n"/>
      <c r="F274" s="10" t="n"/>
      <c r="G274" s="11" t="n"/>
      <c r="H274" s="11" t="n"/>
      <c r="I274" s="12" t="n"/>
    </row>
    <row r="275">
      <c r="A275" s="15">
        <f>C275&amp;D275</f>
        <v/>
      </c>
      <c r="C275" s="8" t="n"/>
      <c r="D275" s="8" t="inlineStr">
        <is>
          <t>D</t>
        </is>
      </c>
      <c r="E275" s="9" t="n"/>
      <c r="F275" s="10" t="n"/>
      <c r="G275" s="11" t="n"/>
      <c r="H275" s="11" t="n"/>
      <c r="I275" s="12" t="n"/>
    </row>
    <row r="276">
      <c r="A276" s="15">
        <f>C276&amp;D276</f>
        <v/>
      </c>
      <c r="C276" s="3" t="n"/>
      <c r="D276" s="3" t="inlineStr">
        <is>
          <t>A</t>
        </is>
      </c>
      <c r="E276" s="4" t="n"/>
      <c r="F276" s="5" t="n"/>
      <c r="G276" s="6" t="n"/>
      <c r="H276" s="6" t="n"/>
      <c r="I276" s="7" t="n"/>
    </row>
    <row r="277">
      <c r="A277" s="15">
        <f>C277&amp;D277</f>
        <v/>
      </c>
      <c r="C277" s="3" t="n"/>
      <c r="D277" s="3" t="inlineStr">
        <is>
          <t>B</t>
        </is>
      </c>
      <c r="E277" s="4" t="n"/>
      <c r="F277" s="5" t="n"/>
      <c r="G277" s="6" t="n"/>
      <c r="H277" s="6" t="n"/>
      <c r="I277" s="7" t="n"/>
    </row>
    <row r="278">
      <c r="A278" s="15">
        <f>C278&amp;D278</f>
        <v/>
      </c>
      <c r="C278" s="3" t="n"/>
      <c r="D278" s="3" t="inlineStr">
        <is>
          <t>C</t>
        </is>
      </c>
      <c r="E278" s="4" t="n"/>
      <c r="F278" s="5" t="n"/>
      <c r="G278" s="6" t="n"/>
      <c r="H278" s="6" t="n"/>
      <c r="I278" s="7" t="n"/>
    </row>
    <row r="279">
      <c r="A279" s="15">
        <f>C279&amp;D279</f>
        <v/>
      </c>
      <c r="C279" s="3" t="n"/>
      <c r="D279" s="3" t="inlineStr">
        <is>
          <t>D</t>
        </is>
      </c>
      <c r="E279" s="4" t="n"/>
      <c r="F279" s="5" t="n"/>
      <c r="G279" s="6" t="n"/>
      <c r="H279" s="6" t="n"/>
      <c r="I279" s="7" t="n"/>
    </row>
    <row r="280">
      <c r="A280" s="15">
        <f>C280&amp;D280</f>
        <v/>
      </c>
      <c r="C280" s="8" t="n"/>
      <c r="D280" s="8" t="inlineStr">
        <is>
          <t>A</t>
        </is>
      </c>
      <c r="E280" s="9" t="n"/>
      <c r="F280" s="10" t="n"/>
      <c r="G280" s="11" t="n"/>
      <c r="H280" s="11" t="n"/>
      <c r="I280" s="12" t="n"/>
    </row>
    <row r="281">
      <c r="A281" s="15">
        <f>C281&amp;D281</f>
        <v/>
      </c>
      <c r="C281" s="8" t="n"/>
      <c r="D281" s="8" t="inlineStr">
        <is>
          <t>B</t>
        </is>
      </c>
      <c r="E281" s="9" t="n"/>
      <c r="F281" s="10" t="n"/>
      <c r="G281" s="11" t="n"/>
      <c r="H281" s="11" t="n"/>
      <c r="I281" s="12" t="n"/>
    </row>
    <row r="282">
      <c r="A282" s="15">
        <f>C282&amp;D282</f>
        <v/>
      </c>
      <c r="C282" s="8" t="n"/>
      <c r="D282" s="8" t="inlineStr">
        <is>
          <t>C</t>
        </is>
      </c>
      <c r="E282" s="9" t="n"/>
      <c r="F282" s="10" t="n"/>
      <c r="G282" s="11" t="n"/>
      <c r="H282" s="11" t="n"/>
      <c r="I282" s="12" t="n"/>
    </row>
    <row r="283">
      <c r="A283" s="15">
        <f>C283&amp;D283</f>
        <v/>
      </c>
      <c r="C283" s="8" t="n"/>
      <c r="D283" s="8" t="inlineStr">
        <is>
          <t>D</t>
        </is>
      </c>
      <c r="E283" s="9" t="n"/>
      <c r="F283" s="10" t="n"/>
      <c r="G283" s="11" t="n"/>
      <c r="H283" s="11" t="n"/>
      <c r="I283" s="12" t="n"/>
    </row>
    <row r="284">
      <c r="A284" s="15">
        <f>C284&amp;D284</f>
        <v/>
      </c>
      <c r="C284" s="3" t="n"/>
      <c r="D284" s="3" t="inlineStr">
        <is>
          <t>A</t>
        </is>
      </c>
      <c r="E284" s="4" t="n"/>
      <c r="F284" s="5" t="n"/>
      <c r="G284" s="6" t="n"/>
      <c r="H284" s="6" t="n"/>
      <c r="I284" s="7" t="n"/>
    </row>
    <row r="285">
      <c r="A285" s="15">
        <f>C285&amp;D285</f>
        <v/>
      </c>
      <c r="C285" s="3" t="n"/>
      <c r="D285" s="3" t="inlineStr">
        <is>
          <t>B</t>
        </is>
      </c>
      <c r="E285" s="4" t="n"/>
      <c r="F285" s="5" t="n"/>
      <c r="G285" s="6" t="n"/>
      <c r="H285" s="6" t="n"/>
      <c r="I285" s="7" t="n"/>
    </row>
    <row r="286">
      <c r="A286" s="15">
        <f>C286&amp;D286</f>
        <v/>
      </c>
      <c r="C286" s="3" t="n"/>
      <c r="D286" s="3" t="inlineStr">
        <is>
          <t>C</t>
        </is>
      </c>
      <c r="E286" s="4" t="n"/>
      <c r="F286" s="5" t="n"/>
      <c r="G286" s="6" t="n"/>
      <c r="H286" s="6" t="n"/>
      <c r="I286" s="7" t="n"/>
    </row>
    <row r="287">
      <c r="A287" s="15">
        <f>C287&amp;D287</f>
        <v/>
      </c>
      <c r="C287" s="3" t="n"/>
      <c r="D287" s="3" t="inlineStr">
        <is>
          <t>D</t>
        </is>
      </c>
      <c r="E287" s="4" t="n"/>
      <c r="F287" s="5" t="n"/>
      <c r="G287" s="6" t="n"/>
      <c r="H287" s="6" t="n"/>
      <c r="I287" s="7" t="n"/>
    </row>
    <row r="288">
      <c r="A288" s="15">
        <f>C288&amp;D288</f>
        <v/>
      </c>
      <c r="C288" s="8" t="n"/>
      <c r="D288" s="8" t="inlineStr">
        <is>
          <t>A</t>
        </is>
      </c>
      <c r="E288" s="9" t="n"/>
      <c r="F288" s="10" t="n"/>
      <c r="G288" s="11" t="n"/>
      <c r="H288" s="11" t="n"/>
      <c r="I288" s="12" t="n"/>
    </row>
    <row r="289">
      <c r="A289" s="15">
        <f>C289&amp;D289</f>
        <v/>
      </c>
      <c r="C289" s="8" t="n"/>
      <c r="D289" s="8" t="inlineStr">
        <is>
          <t>B</t>
        </is>
      </c>
      <c r="E289" s="9" t="n"/>
      <c r="F289" s="10" t="n"/>
      <c r="G289" s="11" t="n"/>
      <c r="H289" s="11" t="n"/>
      <c r="I289" s="12" t="n"/>
    </row>
    <row r="290">
      <c r="A290" s="15">
        <f>C290&amp;D290</f>
        <v/>
      </c>
      <c r="C290" s="8" t="n"/>
      <c r="D290" s="8" t="inlineStr">
        <is>
          <t>C</t>
        </is>
      </c>
      <c r="E290" s="9" t="n"/>
      <c r="F290" s="10" t="n"/>
      <c r="G290" s="11" t="n"/>
      <c r="H290" s="11" t="n"/>
      <c r="I290" s="12" t="n"/>
    </row>
    <row r="291">
      <c r="A291" s="15">
        <f>C291&amp;D291</f>
        <v/>
      </c>
      <c r="C291" s="8" t="n"/>
      <c r="D291" s="8" t="inlineStr">
        <is>
          <t>D</t>
        </is>
      </c>
      <c r="E291" s="9" t="n"/>
      <c r="F291" s="10" t="n"/>
      <c r="G291" s="11" t="n"/>
      <c r="H291" s="11" t="n"/>
      <c r="I291" s="12" t="n"/>
    </row>
    <row r="292">
      <c r="A292" s="15">
        <f>C292&amp;D292</f>
        <v/>
      </c>
      <c r="C292" s="3" t="n"/>
      <c r="D292" s="3" t="inlineStr">
        <is>
          <t>A</t>
        </is>
      </c>
      <c r="E292" s="4" t="n"/>
      <c r="F292" s="5" t="n"/>
      <c r="G292" s="6" t="n"/>
      <c r="H292" s="6" t="n"/>
      <c r="I292" s="7" t="n"/>
    </row>
    <row r="293">
      <c r="A293" s="15">
        <f>C293&amp;D293</f>
        <v/>
      </c>
      <c r="C293" s="3" t="n"/>
      <c r="D293" s="3" t="inlineStr">
        <is>
          <t>B</t>
        </is>
      </c>
      <c r="E293" s="4" t="n"/>
      <c r="F293" s="5" t="n"/>
      <c r="G293" s="6" t="n"/>
      <c r="H293" s="6" t="n"/>
      <c r="I293" s="7" t="n"/>
    </row>
    <row r="294">
      <c r="A294" s="15">
        <f>C294&amp;D294</f>
        <v/>
      </c>
      <c r="C294" s="3" t="n"/>
      <c r="D294" s="3" t="inlineStr">
        <is>
          <t>C</t>
        </is>
      </c>
      <c r="E294" s="4" t="n"/>
      <c r="F294" s="5" t="n"/>
      <c r="G294" s="6" t="n"/>
      <c r="H294" s="6" t="n"/>
      <c r="I294" s="7" t="n"/>
    </row>
    <row r="295">
      <c r="A295" s="15">
        <f>C295&amp;D295</f>
        <v/>
      </c>
      <c r="C295" s="3" t="n"/>
      <c r="D295" s="3" t="inlineStr">
        <is>
          <t>D</t>
        </is>
      </c>
      <c r="E295" s="4" t="n"/>
      <c r="F295" s="5" t="n"/>
      <c r="G295" s="6" t="n"/>
      <c r="H295" s="6" t="n"/>
      <c r="I295" s="7" t="n"/>
    </row>
    <row r="296">
      <c r="A296" s="15">
        <f>C296&amp;D296</f>
        <v/>
      </c>
      <c r="C296" s="8" t="n"/>
      <c r="D296" s="8" t="inlineStr">
        <is>
          <t>A</t>
        </is>
      </c>
      <c r="E296" s="9" t="n"/>
      <c r="F296" s="10" t="n"/>
      <c r="G296" s="11" t="n"/>
      <c r="H296" s="11" t="n"/>
      <c r="I296" s="12" t="n"/>
    </row>
    <row r="297">
      <c r="A297" s="15">
        <f>C297&amp;D297</f>
        <v/>
      </c>
      <c r="C297" s="8" t="n"/>
      <c r="D297" s="8" t="inlineStr">
        <is>
          <t>B</t>
        </is>
      </c>
      <c r="E297" s="9" t="n"/>
      <c r="F297" s="10" t="n"/>
      <c r="G297" s="11" t="n"/>
      <c r="H297" s="11" t="n"/>
      <c r="I297" s="12" t="n"/>
    </row>
    <row r="298">
      <c r="A298" s="15">
        <f>C298&amp;D298</f>
        <v/>
      </c>
      <c r="C298" s="8" t="n"/>
      <c r="D298" s="8" t="inlineStr">
        <is>
          <t>C</t>
        </is>
      </c>
      <c r="E298" s="9" t="n"/>
      <c r="F298" s="10" t="n"/>
      <c r="G298" s="11" t="n"/>
      <c r="H298" s="11" t="n"/>
      <c r="I298" s="12" t="n"/>
    </row>
    <row r="299">
      <c r="A299" s="15">
        <f>C299&amp;D299</f>
        <v/>
      </c>
      <c r="C299" s="8" t="n"/>
      <c r="D299" s="8" t="inlineStr">
        <is>
          <t>D</t>
        </is>
      </c>
      <c r="E299" s="9" t="n"/>
      <c r="F299" s="10" t="n"/>
      <c r="G299" s="11" t="n"/>
      <c r="H299" s="11" t="n"/>
      <c r="I299" s="12" t="n"/>
    </row>
    <row r="300">
      <c r="A300" s="15">
        <f>C300&amp;D300</f>
        <v/>
      </c>
      <c r="C300" s="3" t="n"/>
      <c r="D300" s="3" t="inlineStr">
        <is>
          <t>A</t>
        </is>
      </c>
      <c r="E300" s="4" t="n"/>
      <c r="F300" s="5" t="n"/>
      <c r="G300" s="6" t="n"/>
      <c r="H300" s="6" t="n"/>
      <c r="I300" s="7" t="n"/>
    </row>
    <row r="301">
      <c r="A301" s="15">
        <f>C301&amp;D301</f>
        <v/>
      </c>
      <c r="C301" s="3" t="n"/>
      <c r="D301" s="3" t="inlineStr">
        <is>
          <t>B</t>
        </is>
      </c>
      <c r="E301" s="4" t="n"/>
      <c r="F301" s="5" t="n"/>
      <c r="G301" s="6" t="n"/>
      <c r="H301" s="6" t="n"/>
      <c r="I301" s="7" t="n"/>
    </row>
    <row r="302">
      <c r="A302" s="15">
        <f>C302&amp;D302</f>
        <v/>
      </c>
      <c r="C302" s="3" t="n"/>
      <c r="D302" s="3" t="inlineStr">
        <is>
          <t>C</t>
        </is>
      </c>
      <c r="E302" s="4" t="n"/>
      <c r="F302" s="5" t="n"/>
      <c r="G302" s="6" t="n"/>
      <c r="H302" s="6" t="n"/>
      <c r="I302" s="7" t="n"/>
    </row>
    <row r="303">
      <c r="A303" s="15">
        <f>C303&amp;D303</f>
        <v/>
      </c>
      <c r="C303" s="3" t="n"/>
      <c r="D303" s="3" t="inlineStr">
        <is>
          <t>D</t>
        </is>
      </c>
      <c r="E303" s="4" t="n"/>
      <c r="F303" s="5" t="n"/>
      <c r="G303" s="6" t="n"/>
      <c r="H303" s="6" t="n"/>
      <c r="I303" s="7" t="n"/>
    </row>
    <row r="304">
      <c r="A304" s="15">
        <f>C304&amp;D304</f>
        <v/>
      </c>
      <c r="C304" s="8" t="n"/>
      <c r="D304" s="8" t="inlineStr">
        <is>
          <t>A</t>
        </is>
      </c>
      <c r="E304" s="9" t="n"/>
      <c r="F304" s="10" t="n"/>
      <c r="G304" s="11" t="n"/>
      <c r="H304" s="11" t="n"/>
      <c r="I304" s="12" t="n"/>
    </row>
    <row r="305">
      <c r="A305" s="15">
        <f>C305&amp;D305</f>
        <v/>
      </c>
      <c r="C305" s="8" t="n"/>
      <c r="D305" s="8" t="inlineStr">
        <is>
          <t>B</t>
        </is>
      </c>
      <c r="E305" s="9" t="n"/>
      <c r="F305" s="10" t="n"/>
      <c r="G305" s="11" t="n"/>
      <c r="H305" s="11" t="n"/>
      <c r="I305" s="12" t="n"/>
    </row>
    <row r="306">
      <c r="A306" s="15">
        <f>C306&amp;D306</f>
        <v/>
      </c>
      <c r="C306" s="8" t="n"/>
      <c r="D306" s="8" t="inlineStr">
        <is>
          <t>C</t>
        </is>
      </c>
      <c r="E306" s="9" t="n"/>
      <c r="F306" s="10" t="n"/>
      <c r="G306" s="11" t="n"/>
      <c r="H306" s="11" t="n"/>
      <c r="I306" s="12" t="n"/>
    </row>
    <row r="307">
      <c r="A307" s="15">
        <f>C307&amp;D307</f>
        <v/>
      </c>
      <c r="C307" s="8" t="n"/>
      <c r="D307" s="8" t="inlineStr">
        <is>
          <t>D</t>
        </is>
      </c>
      <c r="E307" s="9" t="n"/>
      <c r="F307" s="10" t="n"/>
      <c r="G307" s="11" t="n"/>
      <c r="H307" s="11" t="n"/>
      <c r="I307" s="12" t="n"/>
    </row>
    <row r="308">
      <c r="A308" s="15">
        <f>C308&amp;D308</f>
        <v/>
      </c>
      <c r="C308" s="3" t="n"/>
      <c r="D308" s="3" t="inlineStr">
        <is>
          <t>A</t>
        </is>
      </c>
      <c r="E308" s="4" t="n"/>
      <c r="F308" s="5" t="n"/>
      <c r="G308" s="6" t="n"/>
      <c r="H308" s="6" t="n"/>
      <c r="I308" s="7" t="n"/>
    </row>
    <row r="309">
      <c r="A309" s="15">
        <f>C309&amp;D309</f>
        <v/>
      </c>
      <c r="C309" s="3" t="n"/>
      <c r="D309" s="3" t="inlineStr">
        <is>
          <t>B</t>
        </is>
      </c>
      <c r="E309" s="4" t="n"/>
      <c r="F309" s="5" t="n"/>
      <c r="G309" s="6" t="n"/>
      <c r="H309" s="6" t="n"/>
      <c r="I309" s="7" t="n"/>
    </row>
    <row r="310">
      <c r="A310" s="15">
        <f>C310&amp;D310</f>
        <v/>
      </c>
      <c r="C310" s="3" t="n"/>
      <c r="D310" s="3" t="inlineStr">
        <is>
          <t>C</t>
        </is>
      </c>
      <c r="E310" s="4" t="n"/>
      <c r="F310" s="5" t="n"/>
      <c r="G310" s="6" t="n"/>
      <c r="H310" s="6" t="n"/>
      <c r="I310" s="7" t="n"/>
    </row>
    <row r="311">
      <c r="A311" s="15">
        <f>C311&amp;D311</f>
        <v/>
      </c>
      <c r="C311" s="3" t="n"/>
      <c r="D311" s="3" t="inlineStr">
        <is>
          <t>D</t>
        </is>
      </c>
      <c r="E311" s="4" t="n"/>
      <c r="F311" s="5" t="n"/>
      <c r="G311" s="6" t="n"/>
      <c r="H311" s="6" t="n"/>
      <c r="I311" s="7" t="n"/>
    </row>
    <row r="312">
      <c r="A312" s="15">
        <f>C312&amp;D312</f>
        <v/>
      </c>
      <c r="C312" s="8" t="n"/>
      <c r="D312" s="8" t="inlineStr">
        <is>
          <t>A</t>
        </is>
      </c>
      <c r="E312" s="9" t="n"/>
      <c r="F312" s="10" t="n"/>
      <c r="G312" s="11" t="n"/>
      <c r="H312" s="11" t="n"/>
      <c r="I312" s="12" t="n"/>
    </row>
    <row r="313">
      <c r="A313" s="15">
        <f>C313&amp;D313</f>
        <v/>
      </c>
      <c r="C313" s="8" t="n"/>
      <c r="D313" s="8" t="inlineStr">
        <is>
          <t>B</t>
        </is>
      </c>
      <c r="E313" s="9" t="n"/>
      <c r="F313" s="10" t="n"/>
      <c r="G313" s="11" t="n"/>
      <c r="H313" s="11" t="n"/>
      <c r="I313" s="12" t="n"/>
    </row>
    <row r="314">
      <c r="A314" s="15">
        <f>C314&amp;D314</f>
        <v/>
      </c>
      <c r="C314" s="8" t="n"/>
      <c r="D314" s="8" t="inlineStr">
        <is>
          <t>C</t>
        </is>
      </c>
      <c r="E314" s="9" t="n"/>
      <c r="F314" s="10" t="n"/>
      <c r="G314" s="11" t="n"/>
      <c r="H314" s="11" t="n"/>
      <c r="I314" s="12" t="n"/>
    </row>
    <row r="315">
      <c r="A315" s="15">
        <f>C315&amp;D315</f>
        <v/>
      </c>
      <c r="C315" s="8" t="n"/>
      <c r="D315" s="8" t="inlineStr">
        <is>
          <t>D</t>
        </is>
      </c>
      <c r="E315" s="9" t="n"/>
      <c r="F315" s="10" t="n"/>
      <c r="G315" s="11" t="n"/>
      <c r="H315" s="11" t="n"/>
      <c r="I315" s="12" t="n"/>
    </row>
    <row r="316">
      <c r="A316" s="15">
        <f>C316&amp;D316</f>
        <v/>
      </c>
      <c r="C316" s="3" t="n"/>
      <c r="D316" s="3" t="inlineStr">
        <is>
          <t>A</t>
        </is>
      </c>
      <c r="E316" s="4" t="n"/>
      <c r="F316" s="5" t="n"/>
      <c r="G316" s="6" t="n"/>
      <c r="H316" s="6" t="n"/>
      <c r="I316" s="7" t="n"/>
    </row>
    <row r="317">
      <c r="A317" s="15">
        <f>C317&amp;D317</f>
        <v/>
      </c>
      <c r="C317" s="3" t="n"/>
      <c r="D317" s="3" t="inlineStr">
        <is>
          <t>B</t>
        </is>
      </c>
      <c r="E317" s="4" t="n"/>
      <c r="F317" s="5" t="n"/>
      <c r="G317" s="6" t="n"/>
      <c r="H317" s="6" t="n"/>
      <c r="I317" s="7" t="n"/>
    </row>
    <row r="318">
      <c r="A318" s="15">
        <f>C318&amp;D318</f>
        <v/>
      </c>
      <c r="C318" s="3" t="n"/>
      <c r="D318" s="3" t="inlineStr">
        <is>
          <t>C</t>
        </is>
      </c>
      <c r="E318" s="4" t="n"/>
      <c r="F318" s="5" t="n"/>
      <c r="G318" s="6" t="n"/>
      <c r="H318" s="6" t="n"/>
      <c r="I318" s="7" t="n"/>
    </row>
    <row r="319">
      <c r="A319" s="15">
        <f>C319&amp;D319</f>
        <v/>
      </c>
      <c r="C319" s="3" t="n"/>
      <c r="D319" s="3" t="inlineStr">
        <is>
          <t>D</t>
        </is>
      </c>
      <c r="E319" s="4" t="n"/>
      <c r="F319" s="5" t="n"/>
      <c r="G319" s="6" t="n"/>
      <c r="H319" s="6" t="n"/>
      <c r="I319" s="7" t="n"/>
    </row>
    <row r="320">
      <c r="A320" s="15">
        <f>C320&amp;D320</f>
        <v/>
      </c>
      <c r="C320" s="8" t="n"/>
      <c r="D320" s="8" t="inlineStr">
        <is>
          <t>A</t>
        </is>
      </c>
      <c r="E320" s="9" t="n"/>
      <c r="F320" s="10" t="n"/>
      <c r="G320" s="11" t="n"/>
      <c r="H320" s="11" t="n"/>
      <c r="I320" s="12" t="n"/>
    </row>
    <row r="321">
      <c r="A321" s="15">
        <f>C321&amp;D321</f>
        <v/>
      </c>
      <c r="C321" s="8" t="n"/>
      <c r="D321" s="8" t="inlineStr">
        <is>
          <t>B</t>
        </is>
      </c>
      <c r="E321" s="9" t="n"/>
      <c r="F321" s="10" t="n"/>
      <c r="G321" s="11" t="n"/>
      <c r="H321" s="11" t="n"/>
      <c r="I321" s="12" t="n"/>
    </row>
    <row r="322">
      <c r="A322" s="15">
        <f>C322&amp;D322</f>
        <v/>
      </c>
      <c r="C322" s="8" t="n"/>
      <c r="D322" s="8" t="inlineStr">
        <is>
          <t>C</t>
        </is>
      </c>
      <c r="E322" s="9" t="n"/>
      <c r="F322" s="10" t="n"/>
      <c r="G322" s="11" t="n"/>
      <c r="H322" s="11" t="n"/>
      <c r="I322" s="12" t="n"/>
    </row>
    <row r="323">
      <c r="A323" s="15">
        <f>C323&amp;D323</f>
        <v/>
      </c>
      <c r="C323" s="8" t="n"/>
      <c r="D323" s="8" t="inlineStr">
        <is>
          <t>D</t>
        </is>
      </c>
      <c r="E323" s="9" t="n"/>
      <c r="F323" s="10" t="n"/>
      <c r="G323" s="11" t="n"/>
      <c r="H323" s="11" t="n"/>
      <c r="I323" s="12" t="n"/>
    </row>
    <row r="324">
      <c r="A324" s="15">
        <f>C324&amp;D324</f>
        <v/>
      </c>
      <c r="C324" s="3" t="n"/>
      <c r="D324" s="3" t="inlineStr">
        <is>
          <t>A</t>
        </is>
      </c>
      <c r="E324" s="4" t="n"/>
      <c r="F324" s="5" t="n"/>
      <c r="G324" s="6" t="n"/>
      <c r="H324" s="6" t="n"/>
      <c r="I324" s="7" t="n"/>
    </row>
    <row r="325">
      <c r="A325" s="15">
        <f>C325&amp;D325</f>
        <v/>
      </c>
      <c r="C325" s="3" t="n"/>
      <c r="D325" s="3" t="inlineStr">
        <is>
          <t>B</t>
        </is>
      </c>
      <c r="E325" s="4" t="n"/>
      <c r="F325" s="5" t="n"/>
      <c r="G325" s="6" t="n"/>
      <c r="H325" s="6" t="n"/>
      <c r="I325" s="7" t="n"/>
    </row>
    <row r="326">
      <c r="A326" s="15">
        <f>C326&amp;D326</f>
        <v/>
      </c>
      <c r="C326" s="3" t="n"/>
      <c r="D326" s="3" t="inlineStr">
        <is>
          <t>C</t>
        </is>
      </c>
      <c r="E326" s="4" t="n"/>
      <c r="F326" s="5" t="n"/>
      <c r="G326" s="6" t="n"/>
      <c r="H326" s="6" t="n"/>
      <c r="I326" s="7" t="n"/>
    </row>
    <row r="327">
      <c r="A327" s="15">
        <f>C327&amp;D327</f>
        <v/>
      </c>
      <c r="C327" s="3" t="n"/>
      <c r="D327" s="3" t="inlineStr">
        <is>
          <t>D</t>
        </is>
      </c>
      <c r="E327" s="4" t="n"/>
      <c r="F327" s="5" t="n"/>
      <c r="G327" s="6" t="n"/>
      <c r="H327" s="6" t="n"/>
      <c r="I327" s="7" t="n"/>
    </row>
    <row r="328">
      <c r="A328" s="15">
        <f>C328&amp;D328</f>
        <v/>
      </c>
      <c r="C328" s="8" t="n"/>
      <c r="D328" s="8" t="inlineStr">
        <is>
          <t>A</t>
        </is>
      </c>
      <c r="E328" s="9" t="n"/>
      <c r="F328" s="10" t="n"/>
      <c r="G328" s="11" t="n"/>
      <c r="H328" s="11" t="n"/>
      <c r="I328" s="12" t="n"/>
    </row>
    <row r="329">
      <c r="A329" s="15">
        <f>C329&amp;D329</f>
        <v/>
      </c>
      <c r="C329" s="8" t="n"/>
      <c r="D329" s="8" t="inlineStr">
        <is>
          <t>B</t>
        </is>
      </c>
      <c r="E329" s="9" t="n"/>
      <c r="F329" s="10" t="n"/>
      <c r="G329" s="11" t="n"/>
      <c r="H329" s="11" t="n"/>
      <c r="I329" s="12" t="n"/>
    </row>
    <row r="330">
      <c r="A330" s="15">
        <f>C330&amp;D330</f>
        <v/>
      </c>
      <c r="C330" s="8" t="n"/>
      <c r="D330" s="8" t="inlineStr">
        <is>
          <t>C</t>
        </is>
      </c>
      <c r="E330" s="9" t="n"/>
      <c r="F330" s="10" t="n"/>
      <c r="G330" s="11" t="n"/>
      <c r="H330" s="11" t="n"/>
      <c r="I330" s="12" t="n"/>
    </row>
    <row r="331">
      <c r="A331" s="15">
        <f>C331&amp;D331</f>
        <v/>
      </c>
      <c r="C331" s="8" t="n"/>
      <c r="D331" s="8" t="inlineStr">
        <is>
          <t>D</t>
        </is>
      </c>
      <c r="E331" s="9" t="n"/>
      <c r="F331" s="10" t="n"/>
      <c r="G331" s="11" t="n"/>
      <c r="H331" s="11" t="n"/>
      <c r="I331" s="12" t="n"/>
    </row>
    <row r="332">
      <c r="A332" s="15">
        <f>C332&amp;D332</f>
        <v/>
      </c>
      <c r="C332" s="3" t="n"/>
      <c r="D332" s="3" t="inlineStr">
        <is>
          <t>A</t>
        </is>
      </c>
      <c r="E332" s="4" t="n"/>
      <c r="F332" s="5" t="n"/>
      <c r="G332" s="6" t="n"/>
      <c r="H332" s="6" t="n"/>
      <c r="I332" s="7" t="n"/>
    </row>
    <row r="333">
      <c r="A333" s="15">
        <f>C333&amp;D333</f>
        <v/>
      </c>
      <c r="C333" s="3" t="n"/>
      <c r="D333" s="3" t="inlineStr">
        <is>
          <t>B</t>
        </is>
      </c>
      <c r="E333" s="4" t="n"/>
      <c r="F333" s="5" t="n"/>
      <c r="G333" s="6" t="n"/>
      <c r="H333" s="6" t="n"/>
      <c r="I333" s="7" t="n"/>
    </row>
    <row r="334">
      <c r="A334" s="15">
        <f>C334&amp;D334</f>
        <v/>
      </c>
      <c r="C334" s="3" t="n"/>
      <c r="D334" s="3" t="inlineStr">
        <is>
          <t>C</t>
        </is>
      </c>
      <c r="E334" s="4" t="n"/>
      <c r="F334" s="5" t="n"/>
      <c r="G334" s="6" t="n"/>
      <c r="H334" s="6" t="n"/>
      <c r="I334" s="7" t="n"/>
    </row>
    <row r="335">
      <c r="A335" s="15">
        <f>C335&amp;D335</f>
        <v/>
      </c>
      <c r="C335" s="3" t="n"/>
      <c r="D335" s="3" t="inlineStr">
        <is>
          <t>D</t>
        </is>
      </c>
      <c r="E335" s="4" t="n"/>
      <c r="F335" s="5" t="n"/>
      <c r="G335" s="6" t="n"/>
      <c r="H335" s="6" t="n"/>
      <c r="I335" s="7" t="n"/>
    </row>
    <row r="336">
      <c r="A336" s="15">
        <f>C336&amp;D336</f>
        <v/>
      </c>
      <c r="C336" s="8" t="n"/>
      <c r="D336" s="8" t="inlineStr">
        <is>
          <t>A</t>
        </is>
      </c>
      <c r="E336" s="9" t="n"/>
      <c r="F336" s="10" t="n"/>
      <c r="G336" s="11" t="n"/>
      <c r="H336" s="11" t="n"/>
      <c r="I336" s="12" t="n"/>
    </row>
    <row r="337">
      <c r="A337" s="15">
        <f>C337&amp;D337</f>
        <v/>
      </c>
      <c r="C337" s="8" t="n"/>
      <c r="D337" s="8" t="inlineStr">
        <is>
          <t>B</t>
        </is>
      </c>
      <c r="E337" s="9" t="n"/>
      <c r="F337" s="10" t="n"/>
      <c r="G337" s="11" t="n"/>
      <c r="H337" s="11" t="n"/>
      <c r="I337" s="12" t="n"/>
    </row>
    <row r="338">
      <c r="A338" s="15">
        <f>C338&amp;D338</f>
        <v/>
      </c>
      <c r="C338" s="8" t="n"/>
      <c r="D338" s="8" t="inlineStr">
        <is>
          <t>C</t>
        </is>
      </c>
      <c r="E338" s="9" t="n"/>
      <c r="F338" s="10" t="n"/>
      <c r="G338" s="11" t="n"/>
      <c r="H338" s="11" t="n"/>
      <c r="I338" s="12" t="n"/>
    </row>
    <row r="339">
      <c r="A339" s="15">
        <f>C339&amp;D339</f>
        <v/>
      </c>
      <c r="C339" s="8" t="n"/>
      <c r="D339" s="8" t="inlineStr">
        <is>
          <t>D</t>
        </is>
      </c>
      <c r="E339" s="9" t="n"/>
      <c r="F339" s="10" t="n"/>
      <c r="G339" s="11" t="n"/>
      <c r="H339" s="11" t="n"/>
      <c r="I339" s="12" t="n"/>
    </row>
    <row r="340">
      <c r="A340" s="15">
        <f>C340&amp;D340</f>
        <v/>
      </c>
      <c r="C340" s="3" t="n"/>
      <c r="D340" s="3" t="inlineStr">
        <is>
          <t>A</t>
        </is>
      </c>
      <c r="E340" s="4" t="n"/>
      <c r="F340" s="5" t="n"/>
      <c r="G340" s="6" t="n"/>
      <c r="H340" s="6" t="n"/>
      <c r="I340" s="7" t="n"/>
    </row>
    <row r="341">
      <c r="A341" s="15">
        <f>C341&amp;D341</f>
        <v/>
      </c>
      <c r="C341" s="3" t="n"/>
      <c r="D341" s="3" t="inlineStr">
        <is>
          <t>B</t>
        </is>
      </c>
      <c r="E341" s="4" t="n"/>
      <c r="F341" s="5" t="n"/>
      <c r="G341" s="6" t="n"/>
      <c r="H341" s="6" t="n"/>
      <c r="I341" s="7" t="n"/>
    </row>
    <row r="342">
      <c r="A342" s="15">
        <f>C342&amp;D342</f>
        <v/>
      </c>
      <c r="C342" s="3" t="n"/>
      <c r="D342" s="3" t="inlineStr">
        <is>
          <t>C</t>
        </is>
      </c>
      <c r="E342" s="4" t="n"/>
      <c r="F342" s="5" t="n"/>
      <c r="G342" s="6" t="n"/>
      <c r="H342" s="6" t="n"/>
      <c r="I342" s="7" t="n"/>
    </row>
    <row r="343">
      <c r="A343" s="15">
        <f>C343&amp;D343</f>
        <v/>
      </c>
      <c r="C343" s="3" t="n"/>
      <c r="D343" s="3" t="inlineStr">
        <is>
          <t>D</t>
        </is>
      </c>
      <c r="E343" s="4" t="n"/>
      <c r="F343" s="5" t="n"/>
      <c r="G343" s="6" t="n"/>
      <c r="H343" s="6" t="n"/>
      <c r="I343" s="7" t="n"/>
    </row>
    <row r="344">
      <c r="A344" s="15">
        <f>C344&amp;D344</f>
        <v/>
      </c>
      <c r="C344" s="8" t="n"/>
      <c r="D344" s="8" t="inlineStr">
        <is>
          <t>A</t>
        </is>
      </c>
      <c r="E344" s="9" t="n"/>
      <c r="F344" s="10" t="n"/>
      <c r="G344" s="11" t="n"/>
      <c r="H344" s="11" t="n"/>
      <c r="I344" s="12" t="n"/>
    </row>
    <row r="345">
      <c r="A345" s="15">
        <f>C345&amp;D345</f>
        <v/>
      </c>
      <c r="C345" s="8" t="n"/>
      <c r="D345" s="8" t="inlineStr">
        <is>
          <t>B</t>
        </is>
      </c>
      <c r="E345" s="9" t="n"/>
      <c r="F345" s="10" t="n"/>
      <c r="G345" s="11" t="n"/>
      <c r="H345" s="11" t="n"/>
      <c r="I345" s="12" t="n"/>
    </row>
    <row r="346">
      <c r="A346" s="15">
        <f>C346&amp;D346</f>
        <v/>
      </c>
      <c r="C346" s="8" t="n"/>
      <c r="D346" s="8" t="inlineStr">
        <is>
          <t>C</t>
        </is>
      </c>
      <c r="E346" s="9" t="n"/>
      <c r="F346" s="10" t="n"/>
      <c r="G346" s="11" t="n"/>
      <c r="H346" s="11" t="n"/>
      <c r="I346" s="12" t="n"/>
    </row>
    <row r="347">
      <c r="A347" s="15">
        <f>C347&amp;D347</f>
        <v/>
      </c>
      <c r="C347" s="8" t="n"/>
      <c r="D347" s="8" t="inlineStr">
        <is>
          <t>D</t>
        </is>
      </c>
      <c r="E347" s="9" t="n"/>
      <c r="F347" s="10" t="n"/>
      <c r="G347" s="11" t="n"/>
      <c r="H347" s="11" t="n"/>
      <c r="I347" s="12" t="n"/>
    </row>
    <row r="348">
      <c r="A348" s="15">
        <f>C348&amp;D348</f>
        <v/>
      </c>
      <c r="C348" s="3" t="n"/>
      <c r="D348" s="3" t="inlineStr">
        <is>
          <t>A</t>
        </is>
      </c>
      <c r="E348" s="4" t="n"/>
      <c r="F348" s="5" t="n"/>
      <c r="G348" s="6" t="n"/>
      <c r="H348" s="6" t="n"/>
      <c r="I348" s="7" t="n"/>
    </row>
    <row r="349">
      <c r="A349" s="15">
        <f>C349&amp;D349</f>
        <v/>
      </c>
      <c r="C349" s="3" t="n"/>
      <c r="D349" s="3" t="inlineStr">
        <is>
          <t>B</t>
        </is>
      </c>
      <c r="E349" s="4" t="n"/>
      <c r="F349" s="5" t="n"/>
      <c r="G349" s="6" t="n"/>
      <c r="H349" s="6" t="n"/>
      <c r="I349" s="7" t="n"/>
    </row>
    <row r="350">
      <c r="A350" s="15">
        <f>C350&amp;D350</f>
        <v/>
      </c>
      <c r="C350" s="3" t="n"/>
      <c r="D350" s="3" t="inlineStr">
        <is>
          <t>C</t>
        </is>
      </c>
      <c r="E350" s="4" t="n"/>
      <c r="F350" s="5" t="n"/>
      <c r="G350" s="6" t="n"/>
      <c r="H350" s="6" t="n"/>
      <c r="I350" s="7" t="n"/>
    </row>
    <row r="351">
      <c r="A351" s="15">
        <f>C351&amp;D351</f>
        <v/>
      </c>
      <c r="C351" s="3" t="n"/>
      <c r="D351" s="3" t="inlineStr">
        <is>
          <t>D</t>
        </is>
      </c>
      <c r="E351" s="4" t="n"/>
      <c r="F351" s="5" t="n"/>
      <c r="G351" s="6" t="n"/>
      <c r="H351" s="6" t="n"/>
      <c r="I351" s="7" t="n"/>
    </row>
    <row r="352">
      <c r="A352" s="15">
        <f>C352&amp;D352</f>
        <v/>
      </c>
      <c r="C352" s="8" t="n"/>
      <c r="D352" s="8" t="inlineStr">
        <is>
          <t>A</t>
        </is>
      </c>
      <c r="E352" s="9" t="n"/>
      <c r="F352" s="10" t="n"/>
      <c r="G352" s="11" t="n"/>
      <c r="H352" s="11" t="n"/>
      <c r="I352" s="12" t="n"/>
    </row>
    <row r="353">
      <c r="A353" s="15">
        <f>C353&amp;D353</f>
        <v/>
      </c>
      <c r="C353" s="8" t="n"/>
      <c r="D353" s="8" t="inlineStr">
        <is>
          <t>B</t>
        </is>
      </c>
      <c r="E353" s="9" t="n"/>
      <c r="F353" s="10" t="n"/>
      <c r="G353" s="11" t="n"/>
      <c r="H353" s="11" t="n"/>
      <c r="I353" s="12" t="n"/>
    </row>
    <row r="354">
      <c r="A354" s="15">
        <f>C354&amp;D354</f>
        <v/>
      </c>
      <c r="C354" s="8" t="n"/>
      <c r="D354" s="8" t="inlineStr">
        <is>
          <t>C</t>
        </is>
      </c>
      <c r="E354" s="9" t="n"/>
      <c r="F354" s="10" t="n"/>
      <c r="G354" s="11" t="n"/>
      <c r="H354" s="11" t="n"/>
      <c r="I354" s="12" t="n"/>
    </row>
    <row r="355">
      <c r="A355" s="15">
        <f>C355&amp;D355</f>
        <v/>
      </c>
      <c r="C355" s="8" t="n"/>
      <c r="D355" s="8" t="inlineStr">
        <is>
          <t>D</t>
        </is>
      </c>
      <c r="E355" s="9" t="n"/>
      <c r="F355" s="10" t="n"/>
      <c r="G355" s="11" t="n"/>
      <c r="H355" s="11" t="n"/>
      <c r="I355" s="12" t="n"/>
    </row>
    <row r="356">
      <c r="A356" s="15">
        <f>C356&amp;D356</f>
        <v/>
      </c>
      <c r="C356" s="3" t="n"/>
      <c r="D356" s="3" t="inlineStr">
        <is>
          <t>A</t>
        </is>
      </c>
      <c r="E356" s="4" t="n"/>
      <c r="F356" s="5" t="n"/>
      <c r="G356" s="6" t="n"/>
      <c r="H356" s="6" t="n"/>
      <c r="I356" s="7" t="n"/>
    </row>
    <row r="357">
      <c r="A357" s="15">
        <f>C357&amp;D357</f>
        <v/>
      </c>
      <c r="C357" s="3" t="n"/>
      <c r="D357" s="3" t="inlineStr">
        <is>
          <t>B</t>
        </is>
      </c>
      <c r="E357" s="4" t="n"/>
      <c r="F357" s="5" t="n"/>
      <c r="G357" s="6" t="n"/>
      <c r="H357" s="6" t="n"/>
      <c r="I357" s="7" t="n"/>
    </row>
    <row r="358">
      <c r="A358" s="15">
        <f>C358&amp;D358</f>
        <v/>
      </c>
      <c r="C358" s="3" t="n"/>
      <c r="D358" s="3" t="inlineStr">
        <is>
          <t>C</t>
        </is>
      </c>
      <c r="E358" s="4" t="n"/>
      <c r="F358" s="5" t="n"/>
      <c r="G358" s="6" t="n"/>
      <c r="H358" s="6" t="n"/>
      <c r="I358" s="7" t="n"/>
    </row>
    <row r="359">
      <c r="A359" s="15">
        <f>C359&amp;D359</f>
        <v/>
      </c>
      <c r="C359" s="3" t="n"/>
      <c r="D359" s="3" t="inlineStr">
        <is>
          <t>D</t>
        </is>
      </c>
      <c r="E359" s="4" t="n"/>
      <c r="F359" s="5" t="n"/>
      <c r="G359" s="6" t="n"/>
      <c r="H359" s="6" t="n"/>
      <c r="I359" s="7" t="n"/>
    </row>
    <row r="360">
      <c r="A360" s="15">
        <f>C360&amp;D360</f>
        <v/>
      </c>
      <c r="C360" s="8" t="n"/>
      <c r="D360" s="8" t="inlineStr">
        <is>
          <t>A</t>
        </is>
      </c>
      <c r="E360" s="9" t="n"/>
      <c r="F360" s="10" t="n"/>
      <c r="G360" s="11" t="n"/>
      <c r="H360" s="11" t="n"/>
      <c r="I360" s="12" t="n"/>
    </row>
    <row r="361">
      <c r="A361" s="15">
        <f>C361&amp;D361</f>
        <v/>
      </c>
      <c r="C361" s="8" t="n"/>
      <c r="D361" s="8" t="inlineStr">
        <is>
          <t>B</t>
        </is>
      </c>
      <c r="E361" s="9" t="n"/>
      <c r="F361" s="10" t="n"/>
      <c r="G361" s="11" t="n"/>
      <c r="H361" s="11" t="n"/>
      <c r="I361" s="12" t="n"/>
    </row>
    <row r="362">
      <c r="A362" s="15">
        <f>C362&amp;D362</f>
        <v/>
      </c>
      <c r="C362" s="8" t="n"/>
      <c r="D362" s="8" t="inlineStr">
        <is>
          <t>C</t>
        </is>
      </c>
      <c r="E362" s="9" t="n"/>
      <c r="F362" s="10" t="n"/>
      <c r="G362" s="11" t="n"/>
      <c r="H362" s="11" t="n"/>
      <c r="I362" s="12" t="n"/>
    </row>
    <row r="363">
      <c r="A363" s="15">
        <f>C363&amp;D363</f>
        <v/>
      </c>
      <c r="C363" s="8" t="n"/>
      <c r="D363" s="8" t="inlineStr">
        <is>
          <t>D</t>
        </is>
      </c>
      <c r="E363" s="9" t="n"/>
      <c r="F363" s="10" t="n"/>
      <c r="G363" s="11" t="n"/>
      <c r="H363" s="11" t="n"/>
      <c r="I363" s="12" t="n"/>
    </row>
    <row r="364">
      <c r="A364" s="15">
        <f>C364&amp;D364</f>
        <v/>
      </c>
      <c r="C364" s="3" t="n"/>
      <c r="D364" s="3" t="inlineStr">
        <is>
          <t>A</t>
        </is>
      </c>
      <c r="E364" s="4" t="n"/>
      <c r="F364" s="5" t="n"/>
      <c r="G364" s="6" t="n"/>
      <c r="H364" s="6" t="n"/>
      <c r="I364" s="7" t="n"/>
    </row>
    <row r="365">
      <c r="A365" s="15">
        <f>C365&amp;D365</f>
        <v/>
      </c>
      <c r="C365" s="3" t="n"/>
      <c r="D365" s="3" t="inlineStr">
        <is>
          <t>B</t>
        </is>
      </c>
      <c r="E365" s="4" t="n"/>
      <c r="F365" s="5" t="n"/>
      <c r="G365" s="6" t="n"/>
      <c r="H365" s="6" t="n"/>
      <c r="I365" s="7" t="n"/>
    </row>
    <row r="366">
      <c r="A366" s="15">
        <f>C366&amp;D366</f>
        <v/>
      </c>
      <c r="C366" s="3" t="n"/>
      <c r="D366" s="3" t="inlineStr">
        <is>
          <t>C</t>
        </is>
      </c>
      <c r="E366" s="4" t="n"/>
      <c r="F366" s="5" t="n"/>
      <c r="G366" s="6" t="n"/>
      <c r="H366" s="6" t="n"/>
      <c r="I366" s="7" t="n"/>
    </row>
    <row r="367">
      <c r="A367" s="15">
        <f>C367&amp;D367</f>
        <v/>
      </c>
      <c r="C367" s="3" t="n"/>
      <c r="D367" s="3" t="inlineStr">
        <is>
          <t>D</t>
        </is>
      </c>
      <c r="E367" s="4" t="n"/>
      <c r="F367" s="5" t="n"/>
      <c r="G367" s="6" t="n"/>
      <c r="H367" s="6" t="n"/>
      <c r="I367" s="7" t="n"/>
    </row>
    <row r="368">
      <c r="A368" s="15">
        <f>C368&amp;D368</f>
        <v/>
      </c>
      <c r="C368" s="8" t="n"/>
      <c r="D368" s="8" t="inlineStr">
        <is>
          <t>A</t>
        </is>
      </c>
      <c r="E368" s="9" t="n"/>
      <c r="F368" s="10" t="n"/>
      <c r="G368" s="11" t="n"/>
      <c r="H368" s="11" t="n"/>
      <c r="I368" s="12" t="n"/>
    </row>
    <row r="369">
      <c r="A369" s="15">
        <f>C369&amp;D369</f>
        <v/>
      </c>
      <c r="C369" s="8" t="n"/>
      <c r="D369" s="8" t="inlineStr">
        <is>
          <t>B</t>
        </is>
      </c>
      <c r="E369" s="9" t="n"/>
      <c r="F369" s="10" t="n"/>
      <c r="G369" s="11" t="n"/>
      <c r="H369" s="11" t="n"/>
      <c r="I369" s="12" t="n"/>
    </row>
    <row r="370">
      <c r="A370" s="15">
        <f>C370&amp;D370</f>
        <v/>
      </c>
      <c r="C370" s="8" t="n"/>
      <c r="D370" s="8" t="inlineStr">
        <is>
          <t>C</t>
        </is>
      </c>
      <c r="E370" s="9" t="n"/>
      <c r="F370" s="10" t="n"/>
      <c r="G370" s="11" t="n"/>
      <c r="H370" s="11" t="n"/>
      <c r="I370" s="12" t="n"/>
    </row>
    <row r="371">
      <c r="A371" s="15">
        <f>C371&amp;D371</f>
        <v/>
      </c>
      <c r="C371" s="8" t="n"/>
      <c r="D371" s="8" t="inlineStr">
        <is>
          <t>D</t>
        </is>
      </c>
      <c r="E371" s="9" t="n"/>
      <c r="F371" s="10" t="n"/>
      <c r="G371" s="11" t="n"/>
      <c r="H371" s="11" t="n"/>
      <c r="I371" s="12" t="n"/>
    </row>
    <row r="372">
      <c r="A372" s="15">
        <f>C372&amp;D372</f>
        <v/>
      </c>
      <c r="C372" s="3" t="n"/>
      <c r="D372" s="3" t="inlineStr">
        <is>
          <t>A</t>
        </is>
      </c>
      <c r="E372" s="4" t="n"/>
      <c r="F372" s="5" t="n"/>
      <c r="G372" s="6" t="n"/>
      <c r="H372" s="6" t="n"/>
      <c r="I372" s="7" t="n"/>
    </row>
    <row r="373">
      <c r="A373" s="15">
        <f>C373&amp;D373</f>
        <v/>
      </c>
      <c r="C373" s="3" t="n"/>
      <c r="D373" s="3" t="inlineStr">
        <is>
          <t>B</t>
        </is>
      </c>
      <c r="E373" s="4" t="n"/>
      <c r="F373" s="5" t="n"/>
      <c r="G373" s="6" t="n"/>
      <c r="H373" s="6" t="n"/>
      <c r="I373" s="7" t="n"/>
    </row>
    <row r="374">
      <c r="A374" s="15">
        <f>C374&amp;D374</f>
        <v/>
      </c>
      <c r="C374" s="3" t="n"/>
      <c r="D374" s="3" t="inlineStr">
        <is>
          <t>C</t>
        </is>
      </c>
      <c r="E374" s="4" t="n"/>
      <c r="F374" s="5" t="n"/>
      <c r="G374" s="6" t="n"/>
      <c r="H374" s="6" t="n"/>
      <c r="I374" s="7" t="n"/>
    </row>
    <row r="375">
      <c r="A375" s="15">
        <f>C375&amp;D375</f>
        <v/>
      </c>
      <c r="C375" s="3" t="n"/>
      <c r="D375" s="3" t="inlineStr">
        <is>
          <t>D</t>
        </is>
      </c>
      <c r="E375" s="4" t="n"/>
      <c r="F375" s="5" t="n"/>
      <c r="G375" s="6" t="n"/>
      <c r="H375" s="6" t="n"/>
      <c r="I375" s="7" t="n"/>
    </row>
    <row r="376">
      <c r="A376" s="15">
        <f>C376&amp;D376</f>
        <v/>
      </c>
      <c r="C376" s="8" t="n"/>
      <c r="D376" s="8" t="inlineStr">
        <is>
          <t>A</t>
        </is>
      </c>
      <c r="E376" s="9" t="n"/>
      <c r="F376" s="10" t="n"/>
      <c r="G376" s="11" t="n"/>
      <c r="H376" s="11" t="n"/>
      <c r="I376" s="12" t="n"/>
    </row>
    <row r="377">
      <c r="A377" s="15">
        <f>C377&amp;D377</f>
        <v/>
      </c>
      <c r="C377" s="8" t="n"/>
      <c r="D377" s="8" t="inlineStr">
        <is>
          <t>B</t>
        </is>
      </c>
      <c r="E377" s="9" t="n"/>
      <c r="F377" s="10" t="n"/>
      <c r="G377" s="11" t="n"/>
      <c r="H377" s="11" t="n"/>
      <c r="I377" s="12" t="n"/>
    </row>
    <row r="378">
      <c r="A378" s="15">
        <f>C378&amp;D378</f>
        <v/>
      </c>
      <c r="C378" s="8" t="n"/>
      <c r="D378" s="8" t="inlineStr">
        <is>
          <t>C</t>
        </is>
      </c>
      <c r="E378" s="9" t="n"/>
      <c r="F378" s="10" t="n"/>
      <c r="G378" s="11" t="n"/>
      <c r="H378" s="11" t="n"/>
      <c r="I378" s="12" t="n"/>
    </row>
    <row r="379">
      <c r="A379" s="15">
        <f>C379&amp;D379</f>
        <v/>
      </c>
      <c r="C379" s="8" t="n"/>
      <c r="D379" s="8" t="inlineStr">
        <is>
          <t>D</t>
        </is>
      </c>
      <c r="E379" s="9" t="n"/>
      <c r="F379" s="10" t="n"/>
      <c r="G379" s="11" t="n"/>
      <c r="H379" s="11" t="n"/>
      <c r="I379" s="12" t="n"/>
    </row>
    <row r="380">
      <c r="A380" s="15">
        <f>C380&amp;D380</f>
        <v/>
      </c>
      <c r="C380" s="3" t="n"/>
      <c r="D380" s="3" t="inlineStr">
        <is>
          <t>A</t>
        </is>
      </c>
      <c r="E380" s="4" t="n"/>
      <c r="F380" s="5" t="n"/>
      <c r="G380" s="6" t="n"/>
      <c r="H380" s="6" t="n"/>
      <c r="I380" s="7" t="n"/>
    </row>
    <row r="381">
      <c r="A381" s="15">
        <f>C381&amp;D381</f>
        <v/>
      </c>
      <c r="C381" s="3" t="n"/>
      <c r="D381" s="3" t="inlineStr">
        <is>
          <t>B</t>
        </is>
      </c>
      <c r="E381" s="4" t="n"/>
      <c r="F381" s="5" t="n"/>
      <c r="G381" s="6" t="n"/>
      <c r="H381" s="6" t="n"/>
      <c r="I381" s="7" t="n"/>
    </row>
    <row r="382">
      <c r="A382" s="15">
        <f>C382&amp;D382</f>
        <v/>
      </c>
      <c r="C382" s="3" t="n"/>
      <c r="D382" s="3" t="inlineStr">
        <is>
          <t>C</t>
        </is>
      </c>
      <c r="E382" s="4" t="n"/>
      <c r="F382" s="5" t="n"/>
      <c r="G382" s="6" t="n"/>
      <c r="H382" s="6" t="n"/>
      <c r="I382" s="7" t="n"/>
    </row>
    <row r="383">
      <c r="A383" s="15">
        <f>C383&amp;D383</f>
        <v/>
      </c>
      <c r="C383" s="3" t="n"/>
      <c r="D383" s="3" t="inlineStr">
        <is>
          <t>D</t>
        </is>
      </c>
      <c r="E383" s="4" t="n"/>
      <c r="F383" s="5" t="n"/>
      <c r="G383" s="6" t="n"/>
      <c r="H383" s="6" t="n"/>
      <c r="I383" s="7" t="n"/>
    </row>
    <row r="384">
      <c r="A384" s="15">
        <f>C384&amp;D384</f>
        <v/>
      </c>
      <c r="C384" s="8" t="n"/>
      <c r="D384" s="8" t="inlineStr">
        <is>
          <t>A</t>
        </is>
      </c>
      <c r="E384" s="9" t="n"/>
      <c r="F384" s="10" t="n"/>
      <c r="G384" s="11" t="n"/>
      <c r="H384" s="11" t="n"/>
      <c r="I384" s="12" t="n"/>
    </row>
    <row r="385">
      <c r="A385" s="15">
        <f>C385&amp;D385</f>
        <v/>
      </c>
      <c r="C385" s="8" t="n"/>
      <c r="D385" s="8" t="inlineStr">
        <is>
          <t>B</t>
        </is>
      </c>
      <c r="E385" s="9" t="n"/>
      <c r="F385" s="10" t="n"/>
      <c r="G385" s="11" t="n"/>
      <c r="H385" s="11" t="n"/>
      <c r="I385" s="12" t="n"/>
    </row>
    <row r="386">
      <c r="A386" s="15">
        <f>C386&amp;D386</f>
        <v/>
      </c>
      <c r="C386" s="8" t="n"/>
      <c r="D386" s="8" t="inlineStr">
        <is>
          <t>C</t>
        </is>
      </c>
      <c r="E386" s="9" t="n"/>
      <c r="F386" s="10" t="n"/>
      <c r="G386" s="11" t="n"/>
      <c r="H386" s="11" t="n"/>
      <c r="I386" s="12" t="n"/>
    </row>
    <row r="387">
      <c r="A387" s="15">
        <f>C387&amp;D387</f>
        <v/>
      </c>
      <c r="C387" s="8" t="n"/>
      <c r="D387" s="8" t="inlineStr">
        <is>
          <t>D</t>
        </is>
      </c>
      <c r="E387" s="9" t="n"/>
      <c r="F387" s="10" t="n"/>
      <c r="G387" s="11" t="n"/>
      <c r="H387" s="11" t="n"/>
      <c r="I387" s="12" t="n"/>
    </row>
    <row r="388">
      <c r="A388" s="15">
        <f>C388&amp;D388</f>
        <v/>
      </c>
      <c r="C388" s="3" t="n"/>
      <c r="D388" s="3" t="inlineStr">
        <is>
          <t>A</t>
        </is>
      </c>
      <c r="E388" s="4" t="n"/>
      <c r="F388" s="5" t="n"/>
      <c r="G388" s="6" t="n"/>
      <c r="H388" s="6" t="n"/>
      <c r="I388" s="7" t="n"/>
    </row>
    <row r="389">
      <c r="A389" s="15">
        <f>C389&amp;D389</f>
        <v/>
      </c>
      <c r="C389" s="3" t="n"/>
      <c r="D389" s="3" t="inlineStr">
        <is>
          <t>B</t>
        </is>
      </c>
      <c r="E389" s="4" t="n"/>
      <c r="F389" s="5" t="n"/>
      <c r="G389" s="6" t="n"/>
      <c r="H389" s="6" t="n"/>
      <c r="I389" s="7" t="n"/>
    </row>
    <row r="390">
      <c r="A390" s="15">
        <f>C390&amp;D390</f>
        <v/>
      </c>
      <c r="C390" s="3" t="n"/>
      <c r="D390" s="3" t="inlineStr">
        <is>
          <t>C</t>
        </is>
      </c>
      <c r="E390" s="4" t="n"/>
      <c r="F390" s="5" t="n"/>
      <c r="G390" s="6" t="n"/>
      <c r="H390" s="6" t="n"/>
      <c r="I390" s="7" t="n"/>
    </row>
    <row r="391">
      <c r="A391" s="15">
        <f>C391&amp;D391</f>
        <v/>
      </c>
      <c r="C391" s="3" t="n"/>
      <c r="D391" s="3" t="inlineStr">
        <is>
          <t>D</t>
        </is>
      </c>
      <c r="E391" s="4" t="n"/>
      <c r="F391" s="5" t="n"/>
      <c r="G391" s="6" t="n"/>
      <c r="H391" s="6" t="n"/>
      <c r="I391" s="7" t="n"/>
    </row>
    <row r="392">
      <c r="A392" s="15">
        <f>C392&amp;D392</f>
        <v/>
      </c>
      <c r="C392" s="8" t="n"/>
      <c r="D392" s="8" t="inlineStr">
        <is>
          <t>A</t>
        </is>
      </c>
      <c r="E392" s="9" t="n"/>
      <c r="F392" s="10" t="n"/>
      <c r="G392" s="11" t="n"/>
      <c r="H392" s="11" t="n"/>
      <c r="I392" s="12" t="n"/>
    </row>
    <row r="393">
      <c r="A393" s="15">
        <f>C393&amp;D393</f>
        <v/>
      </c>
      <c r="C393" s="8" t="n"/>
      <c r="D393" s="8" t="inlineStr">
        <is>
          <t>B</t>
        </is>
      </c>
      <c r="E393" s="9" t="n"/>
      <c r="F393" s="10" t="n"/>
      <c r="G393" s="11" t="n"/>
      <c r="H393" s="11" t="n"/>
      <c r="I393" s="12" t="n"/>
    </row>
    <row r="394">
      <c r="A394" s="15">
        <f>C394&amp;D394</f>
        <v/>
      </c>
      <c r="C394" s="8" t="n"/>
      <c r="D394" s="8" t="inlineStr">
        <is>
          <t>C</t>
        </is>
      </c>
      <c r="E394" s="9" t="n"/>
      <c r="F394" s="10" t="n"/>
      <c r="G394" s="11" t="n"/>
      <c r="H394" s="11" t="n"/>
      <c r="I394" s="12" t="n"/>
    </row>
    <row r="395">
      <c r="A395" s="15">
        <f>C395&amp;D395</f>
        <v/>
      </c>
      <c r="C395" s="8" t="n"/>
      <c r="D395" s="8" t="inlineStr">
        <is>
          <t>D</t>
        </is>
      </c>
      <c r="E395" s="9" t="n"/>
      <c r="F395" s="10" t="n"/>
      <c r="G395" s="11" t="n"/>
      <c r="H395" s="11" t="n"/>
      <c r="I395" s="12" t="n"/>
    </row>
    <row r="396">
      <c r="A396" s="15">
        <f>C396&amp;D396</f>
        <v/>
      </c>
      <c r="C396" s="3" t="n"/>
      <c r="D396" s="3" t="inlineStr">
        <is>
          <t>A</t>
        </is>
      </c>
      <c r="E396" s="4" t="n"/>
      <c r="F396" s="5" t="n"/>
      <c r="G396" s="6" t="n"/>
      <c r="H396" s="6" t="n"/>
      <c r="I396" s="7" t="n"/>
    </row>
    <row r="397">
      <c r="A397" s="15">
        <f>C397&amp;D397</f>
        <v/>
      </c>
      <c r="C397" s="3" t="n"/>
      <c r="D397" s="3" t="inlineStr">
        <is>
          <t>B</t>
        </is>
      </c>
      <c r="E397" s="4" t="n"/>
      <c r="F397" s="5" t="n"/>
      <c r="G397" s="6" t="n"/>
      <c r="H397" s="6" t="n"/>
      <c r="I397" s="7" t="n"/>
    </row>
    <row r="398">
      <c r="A398" s="15">
        <f>C398&amp;D398</f>
        <v/>
      </c>
      <c r="C398" s="3" t="n"/>
      <c r="D398" s="3" t="inlineStr">
        <is>
          <t>C</t>
        </is>
      </c>
      <c r="E398" s="4" t="n"/>
      <c r="F398" s="5" t="n"/>
      <c r="G398" s="6" t="n"/>
      <c r="H398" s="6" t="n"/>
      <c r="I398" s="7" t="n"/>
    </row>
    <row r="399">
      <c r="A399" s="15">
        <f>C399&amp;D399</f>
        <v/>
      </c>
      <c r="C399" s="3" t="n"/>
      <c r="D399" s="3" t="inlineStr">
        <is>
          <t>D</t>
        </is>
      </c>
      <c r="E399" s="4" t="n"/>
      <c r="F399" s="5" t="n"/>
      <c r="G399" s="6" t="n"/>
      <c r="H399" s="6" t="n"/>
      <c r="I399" s="7" t="n"/>
    </row>
    <row r="400">
      <c r="A400" s="15">
        <f>C400&amp;D400</f>
        <v/>
      </c>
      <c r="C400" s="8" t="n"/>
      <c r="D400" s="8" t="inlineStr">
        <is>
          <t>A</t>
        </is>
      </c>
      <c r="E400" s="9" t="n"/>
      <c r="F400" s="10" t="n"/>
      <c r="G400" s="11" t="n"/>
      <c r="H400" s="11" t="n"/>
      <c r="I400" s="12" t="n"/>
    </row>
    <row r="401">
      <c r="A401" s="15">
        <f>C401&amp;D401</f>
        <v/>
      </c>
      <c r="C401" s="8" t="n"/>
      <c r="D401" s="8" t="inlineStr">
        <is>
          <t>B</t>
        </is>
      </c>
      <c r="E401" s="9" t="n"/>
      <c r="F401" s="10" t="n"/>
      <c r="G401" s="11" t="n"/>
      <c r="H401" s="11" t="n"/>
      <c r="I401" s="12" t="n"/>
    </row>
    <row r="402">
      <c r="A402" s="15">
        <f>C402&amp;D402</f>
        <v/>
      </c>
      <c r="C402" s="8" t="n"/>
      <c r="D402" s="8" t="inlineStr">
        <is>
          <t>C</t>
        </is>
      </c>
      <c r="E402" s="9" t="n"/>
      <c r="F402" s="10" t="n"/>
      <c r="G402" s="11" t="n"/>
      <c r="H402" s="11" t="n"/>
      <c r="I402" s="12" t="n"/>
    </row>
    <row r="403">
      <c r="A403" s="15">
        <f>C403&amp;D403</f>
        <v/>
      </c>
      <c r="C403" s="8" t="n"/>
      <c r="D403" s="8" t="inlineStr">
        <is>
          <t>D</t>
        </is>
      </c>
      <c r="E403" s="9" t="n"/>
      <c r="F403" s="10" t="n"/>
      <c r="G403" s="11" t="n"/>
      <c r="H403" s="11" t="n"/>
      <c r="I403" s="12" t="n"/>
    </row>
  </sheetData>
  <sheetProtection selectLockedCells="0" selectUnlockedCells="0" algorithmName="SHA-512" sheet="1" objects="0" insertRows="0" insertHyperlinks="1" autoFilter="0" scenarios="0" formatColumns="1" deleteColumns="1" insertColumns="1" pivotTables="1" deleteRows="1" formatCells="1" saltValue="XVKuxNS5YvFFZ1aaIN1jwQ==" formatRows="0" sort="0" spinCount="100000" hashValue="SW7D2zlYCXJV+qH30SR2seiU7IHG9aNXUQhA3DF0uXhNqtmjojZosZYEZbVgbuS0e6ngByJ69BK0zmk4yk0c0A=="/>
  <autoFilter ref="C3:I403"/>
  <mergeCells count="1">
    <mergeCell ref="D1:O1"/>
  </mergeCells>
  <pageMargins left="0.7086614173228347" right="0.7086614173228347" top="0.7480314960629921" bottom="0.7480314960629921" header="0.3149606299212598" footer="0.3149606299212598"/>
  <pageSetup orientation="landscape" paperSize="9" scale="86" fitToHeight="0"/>
  <headerFooter>
    <oddHeader>&amp;L&amp;Z&amp;F&amp;R&amp;D</oddHeader>
    <oddFooter>&amp;CPágina &amp;P de &amp;N&amp;RDpto. de Compras - RETEC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2">
    <tabColor theme="8" tint="-0.499984740745262"/>
    <outlinePr summaryBelow="1" summaryRight="1"/>
    <pageSetUpPr fitToPage="1"/>
  </sheetPr>
  <dimension ref="A1:AX510"/>
  <sheetViews>
    <sheetView showGridLines="0" tabSelected="1" zoomScale="85" zoomScaleNormal="85" zoomScaleSheetLayoutView="25" workbookViewId="0">
      <pane ySplit="10" topLeftCell="A11" activePane="bottomLeft" state="frozen"/>
      <selection pane="bottomLeft" activeCell="F4" sqref="F4"/>
    </sheetView>
  </sheetViews>
  <sheetFormatPr baseColWidth="8" defaultColWidth="9.109375" defaultRowHeight="14.4"/>
  <cols>
    <col width="10.109375" customWidth="1" style="20" min="1" max="1"/>
    <col width="17.33203125" customWidth="1" style="20" min="2" max="3"/>
    <col width="56" customWidth="1" style="19" min="4" max="4"/>
    <col width="14.5546875" customWidth="1" style="19" min="5" max="5"/>
    <col width="66.33203125" customWidth="1" style="19" min="6" max="6"/>
    <col width="34.33203125" customWidth="1" style="19" min="7" max="7"/>
    <col width="22.6640625" customWidth="1" style="19" min="8" max="8"/>
    <col width="21.109375" customWidth="1" style="19" min="9" max="9"/>
    <col width="17.33203125" customWidth="1" style="19" min="10" max="11"/>
    <col width="21.33203125" customWidth="1" style="19" min="12" max="12"/>
    <col width="69.5546875" customWidth="1" style="19" min="13" max="13"/>
    <col width="1.5546875" customWidth="1" style="19" min="14" max="14"/>
    <col width="19.33203125" customWidth="1" style="19" min="15" max="15"/>
    <col width="9.109375" customWidth="1" style="19" min="16" max="28"/>
    <col width="9.109375" customWidth="1" style="19" min="29" max="29"/>
    <col width="19.44140625" customWidth="1" style="19" min="30" max="30"/>
    <col width="9.109375" customWidth="1" style="19" min="31" max="31"/>
    <col width="19.44140625" customWidth="1" style="19" min="32" max="32"/>
    <col width="111.5546875" customWidth="1" style="19" min="33" max="33"/>
    <col width="20.33203125" customWidth="1" style="19" min="34" max="36"/>
    <col width="16.44140625" customWidth="1" style="19" min="37" max="37"/>
    <col width="9.109375" customWidth="1" style="19" min="38" max="40"/>
    <col width="18.88671875" customWidth="1" style="19" min="41" max="41"/>
    <col width="17.5546875" customWidth="1" style="19" min="42" max="42"/>
    <col width="17.6640625" customWidth="1" style="19" min="43" max="43"/>
    <col width="21.109375" customWidth="1" style="19" min="44" max="44"/>
    <col width="2.6640625" customWidth="1" style="19" min="45" max="45"/>
    <col width="16.44140625" customWidth="1" style="19" min="46" max="47"/>
    <col width="2.6640625" customWidth="1" style="19" min="48" max="48"/>
    <col width="14.5546875" customWidth="1" style="19" min="49" max="50"/>
    <col width="9.109375" customWidth="1" style="19" min="51" max="51"/>
    <col width="9.109375" customWidth="1" style="19" min="52" max="52"/>
    <col width="9.109375" customWidth="1" style="19" min="53" max="16384"/>
  </cols>
  <sheetData>
    <row r="1" ht="62.25" customHeight="1">
      <c r="A1" s="18" t="n"/>
      <c r="B1" s="52" t="n"/>
      <c r="C1" s="56" t="n"/>
      <c r="D1" s="97">
        <f>CONCATENATE("CTD ",C5," - Rev.: ",C6," - Composição de Valores - ",C8," - ",C4)</f>
        <v/>
      </c>
      <c r="E1" s="109" t="n"/>
      <c r="F1" s="109" t="n"/>
      <c r="G1" s="109" t="n"/>
      <c r="H1" s="109" t="n"/>
      <c r="I1" s="109" t="n"/>
      <c r="J1" s="109" t="n"/>
      <c r="K1" s="109" t="n"/>
      <c r="L1" s="109" t="n"/>
      <c r="M1" s="110" t="n"/>
    </row>
    <row r="2" ht="6" customHeight="1"/>
    <row r="3" ht="18" customHeight="1">
      <c r="A3" s="111" t="inlineStr">
        <is>
          <t>Orçamentista:</t>
        </is>
      </c>
      <c r="B3" s="112" t="n"/>
      <c r="C3" s="113" t="inlineStr">
        <is>
          <t>Luiz Henrique</t>
        </is>
      </c>
      <c r="D3" s="114" t="n"/>
      <c r="E3" s="21" t="n"/>
      <c r="F3" s="21" t="n"/>
      <c r="G3" s="22" t="n"/>
      <c r="H3" s="115" t="inlineStr">
        <is>
          <t>Categoria</t>
        </is>
      </c>
      <c r="I3" s="112" t="n"/>
      <c r="J3" s="60" t="n"/>
      <c r="K3" s="94" t="inlineStr">
        <is>
          <t>Data da última atualização de valores:</t>
        </is>
      </c>
      <c r="L3" s="109" t="n"/>
    </row>
    <row r="4" ht="18" customHeight="1">
      <c r="A4" s="111" t="inlineStr">
        <is>
          <t>Vendedor(a):</t>
        </is>
      </c>
      <c r="B4" s="112" t="n"/>
      <c r="C4" s="113" t="inlineStr">
        <is>
          <t>Iago Rangel</t>
        </is>
      </c>
      <c r="D4" s="114" t="n"/>
      <c r="E4" s="21" t="n"/>
      <c r="F4" s="21" t="n"/>
      <c r="G4" s="22" t="n"/>
      <c r="H4" s="116" t="inlineStr">
        <is>
          <t>ATACADO</t>
        </is>
      </c>
      <c r="I4" s="114" t="n"/>
      <c r="J4" s="60" t="n"/>
      <c r="K4" s="109" t="n"/>
      <c r="L4" s="109" t="n"/>
    </row>
    <row r="5" ht="18" customHeight="1">
      <c r="A5" s="111" t="inlineStr">
        <is>
          <t>Nº CTD:</t>
        </is>
      </c>
      <c r="B5" s="112" t="n"/>
      <c r="C5" s="59" t="inlineStr">
        <is>
          <t>1113</t>
        </is>
      </c>
      <c r="E5" s="21" t="n"/>
      <c r="F5" s="21" t="n"/>
      <c r="G5" s="22" t="n"/>
      <c r="H5" s="26" t="n"/>
      <c r="I5" s="23" t="n"/>
      <c r="J5" s="24" t="n"/>
      <c r="K5" s="95">
        <f>AK11</f>
        <v/>
      </c>
      <c r="L5" s="109" t="n"/>
      <c r="M5" s="25" t="n"/>
    </row>
    <row r="6" ht="18" customHeight="1">
      <c r="A6" s="111" t="inlineStr">
        <is>
          <t>Revisão:</t>
        </is>
      </c>
      <c r="B6" s="112" t="n"/>
      <c r="C6" s="58" t="inlineStr"/>
      <c r="E6" s="50" t="n"/>
      <c r="F6" s="21" t="n"/>
      <c r="G6" s="22" t="n"/>
      <c r="H6" s="26" t="n"/>
      <c r="I6" s="23" t="n"/>
      <c r="J6" s="24" t="n"/>
      <c r="K6" s="61" t="n"/>
      <c r="L6" s="61" t="n"/>
      <c r="M6" s="25" t="n"/>
    </row>
    <row r="7" ht="4.5" customHeight="1">
      <c r="A7" s="111" t="n"/>
      <c r="B7" s="112" t="n"/>
      <c r="C7" s="57" t="n"/>
      <c r="D7" s="51" t="n"/>
      <c r="E7" s="21" t="n"/>
      <c r="F7" s="21" t="n"/>
      <c r="G7" s="22" t="n"/>
      <c r="H7" s="27" t="n"/>
      <c r="I7" s="23" t="n"/>
      <c r="J7" s="24" t="n"/>
      <c r="K7" s="24" t="n"/>
      <c r="L7" s="25" t="n"/>
      <c r="M7" s="25" t="n"/>
    </row>
    <row r="8" ht="18" customHeight="1">
      <c r="A8" s="111" t="inlineStr">
        <is>
          <t>Fabricante:</t>
        </is>
      </c>
      <c r="B8" s="112" t="n"/>
      <c r="C8" s="116" t="inlineStr">
        <is>
          <t>TROX</t>
        </is>
      </c>
      <c r="D8" s="114" t="n"/>
      <c r="E8" s="21" t="n"/>
      <c r="F8" s="21" t="n"/>
      <c r="G8" s="22" t="n"/>
      <c r="H8" s="27" t="n"/>
      <c r="I8" s="23" t="n"/>
      <c r="J8" s="24" t="n"/>
      <c r="K8" s="24" t="n"/>
      <c r="L8" s="25" t="n"/>
      <c r="M8" s="25" t="n"/>
    </row>
    <row r="9" ht="4.5" customHeight="1">
      <c r="D9" s="28" t="n"/>
    </row>
    <row r="10" ht="34.5" customFormat="1" customHeight="1" s="27">
      <c r="A10" s="32" t="inlineStr">
        <is>
          <t>ITEM</t>
        </is>
      </c>
      <c r="B10" s="32" t="inlineStr">
        <is>
          <t>QTDE</t>
        </is>
      </c>
      <c r="C10" s="32" t="inlineStr">
        <is>
          <t>Unidade</t>
        </is>
      </c>
      <c r="D10" s="48" t="inlineStr">
        <is>
          <t>Descrição</t>
        </is>
      </c>
      <c r="E10" s="48" t="inlineStr">
        <is>
          <t>Grupo</t>
        </is>
      </c>
      <c r="F10" s="48" t="inlineStr">
        <is>
          <t>Descrição do Grupo</t>
        </is>
      </c>
      <c r="G10" s="49" t="inlineStr">
        <is>
          <t>Código (SKU)</t>
        </is>
      </c>
      <c r="H10" s="49" t="inlineStr">
        <is>
          <t>NCM</t>
        </is>
      </c>
      <c r="I10" s="49" t="inlineStr">
        <is>
          <t>Preço de Compra</t>
        </is>
      </c>
      <c r="J10" s="49" t="inlineStr">
        <is>
          <t>ST</t>
        </is>
      </c>
      <c r="K10" s="49" t="inlineStr">
        <is>
          <t>IPI</t>
        </is>
      </c>
      <c r="L10" s="49">
        <f>_xlfn.CONCAT("Preço de Venda: ",H4)</f>
        <v/>
      </c>
      <c r="M10" s="53" t="inlineStr">
        <is>
          <t>Observações</t>
        </is>
      </c>
      <c r="AD10" s="29" t="inlineStr">
        <is>
          <t>MARCA</t>
        </is>
      </c>
      <c r="AE10" s="29" t="inlineStr">
        <is>
          <t>GRUPOS</t>
        </is>
      </c>
      <c r="AF10" s="29" t="inlineStr">
        <is>
          <t>COD.</t>
        </is>
      </c>
      <c r="AG10" s="29" t="inlineStr">
        <is>
          <t>DESCRIÇÃO DO GRUPO</t>
        </is>
      </c>
      <c r="AH10" s="29" t="inlineStr">
        <is>
          <t>PERCENTUAL DE FRETE</t>
        </is>
      </c>
      <c r="AI10" s="29" t="inlineStr">
        <is>
          <t>MULTIPLICADOR VAREJO</t>
        </is>
      </c>
      <c r="AJ10" s="29" t="inlineStr">
        <is>
          <t>MULTIPLICADOR ATACADO</t>
        </is>
      </c>
      <c r="AK10" s="29" t="inlineStr">
        <is>
          <t>DATA DE ATUALIZAÇÃO</t>
        </is>
      </c>
      <c r="AN10" s="30" t="inlineStr">
        <is>
          <t>ITEM</t>
        </is>
      </c>
      <c r="AO10" s="31" t="inlineStr">
        <is>
          <t>PREÇO DE COMPRA + ST + IPI</t>
        </is>
      </c>
      <c r="AP10" s="31" t="inlineStr">
        <is>
          <t>FRETE</t>
        </is>
      </c>
      <c r="AQ10" s="31" t="inlineStr">
        <is>
          <t>VALOR FRETE</t>
        </is>
      </c>
      <c r="AR10" s="31" t="inlineStr">
        <is>
          <t>PREÇO DE COMPRA + ST + IPI + FRETE</t>
        </is>
      </c>
      <c r="AT10" s="31" t="inlineStr">
        <is>
          <t>MULTIPLICADOR VAREJO</t>
        </is>
      </c>
      <c r="AU10" s="31" t="inlineStr">
        <is>
          <t>MULTIPLICADOR ATACADO</t>
        </is>
      </c>
      <c r="AW10" s="31" t="inlineStr">
        <is>
          <t>FT 1,0 (VAREJO)</t>
        </is>
      </c>
      <c r="AX10" s="31" t="inlineStr">
        <is>
          <t>FT 1,0 (ATACADO)</t>
        </is>
      </c>
    </row>
    <row r="11" ht="31.5" customHeight="1">
      <c r="A11" s="32" t="n">
        <v>1</v>
      </c>
      <c r="B11" s="33" t="n">
        <v>8</v>
      </c>
      <c r="C11" s="33" t="inlineStr">
        <is>
          <t>PÇ</t>
        </is>
      </c>
      <c r="D11" s="33" t="inlineStr">
        <is>
          <t>010 DAMPER RG-B 480x405 TROX</t>
        </is>
      </c>
      <c r="E11" s="33" t="inlineStr">
        <is>
          <t>C</t>
        </is>
      </c>
      <c r="F11" s="54">
        <f>IFERROR((VLOOKUP(E11,$AE$11:$AG$14,3,0)),"-")</f>
        <v/>
      </c>
      <c r="G11" s="33" t="inlineStr">
        <is>
          <t>RG-B-480x405/D/0/00/000</t>
        </is>
      </c>
      <c r="H11" s="33" t="n">
        <v>90261029</v>
      </c>
      <c r="I11" s="34" t="n">
        <v>176.23</v>
      </c>
      <c r="J11" s="35" t="n">
        <v>0</v>
      </c>
      <c r="K11" s="35" t="n">
        <v>0</v>
      </c>
      <c r="L11" s="36">
        <f>IF($H$4="-",0,IF($H$4="VAREJO",AW11,IF($H$4="ATACADO",AX11,0)))</f>
        <v/>
      </c>
      <c r="M11" s="33" t="n"/>
      <c r="AD11" s="37">
        <f>$C$8</f>
        <v/>
      </c>
      <c r="AE11" s="37" t="inlineStr">
        <is>
          <t>A</t>
        </is>
      </c>
      <c r="AF11" s="37">
        <f>AD11&amp;AE11</f>
        <v/>
      </c>
      <c r="AG11" s="55">
        <f>IFERROR((VLOOKUP(AF11,PARÂMETROS!$A$4:$I$403,5,0)),0)</f>
        <v/>
      </c>
      <c r="AH11" s="38">
        <f>IFERROR((VLOOKUP(AF11,PARÂMETROS!$A$4:$I$403,6,0)),0)</f>
        <v/>
      </c>
      <c r="AI11" s="39">
        <f>IFERROR((VLOOKUP(AF11,PARÂMETROS!$A$4:$I$403,7,0)),0)</f>
        <v/>
      </c>
      <c r="AJ11" s="39">
        <f>IFERROR((VLOOKUP(AF11,PARÂMETROS!$A$4:$I$403,8,0)),0)</f>
        <v/>
      </c>
      <c r="AK11" s="40">
        <f>IFERROR((VLOOKUP(AF11,PARÂMETROS!$A$4:$I$403,9,0)),0)</f>
        <v/>
      </c>
      <c r="AN11" s="41" t="n">
        <v>1</v>
      </c>
      <c r="AO11" s="117">
        <f>I11+(I11*J11)+(I11*K11)</f>
        <v/>
      </c>
      <c r="AP11" s="43">
        <f>IFERROR(VLOOKUP(E11,$AE$11:$AK$14,4,0),0)</f>
        <v/>
      </c>
      <c r="AQ11" s="117">
        <f>(I11+(I11*J11)+(I11*K11))*AP11</f>
        <v/>
      </c>
      <c r="AR11" s="118">
        <f>AO11+AQ11</f>
        <v/>
      </c>
      <c r="AT11" s="39">
        <f>IFERROR((VLOOKUP(E11,$AE$11:$AJ$14,5,0)),0)</f>
        <v/>
      </c>
      <c r="AU11" s="39">
        <f>IFERROR((VLOOKUP(E11,$AE$11:$AJ$14,6,0)),0)</f>
        <v/>
      </c>
      <c r="AW11" s="119">
        <f>AR11*AT11</f>
        <v/>
      </c>
      <c r="AX11" s="119">
        <f>AR11*AU11</f>
        <v/>
      </c>
    </row>
    <row r="12">
      <c r="A12" s="32" t="n">
        <v>2</v>
      </c>
      <c r="B12" s="33" t="n">
        <v>8</v>
      </c>
      <c r="C12" s="33" t="inlineStr">
        <is>
          <t>PÇ</t>
        </is>
      </c>
      <c r="D12" s="33" t="inlineStr">
        <is>
          <t>010 DAMPER JN-B 0 800x800 00 000 TROX</t>
        </is>
      </c>
      <c r="E12" s="33" t="inlineStr">
        <is>
          <t>C</t>
        </is>
      </c>
      <c r="F12" s="54">
        <f>IFERROR((VLOOKUP(E12,$AE$11:$AG$14,3,0)),"-")</f>
        <v/>
      </c>
      <c r="G12" s="33" t="inlineStr">
        <is>
          <t>JN-B-0-D-N0/800x800/N/00/000</t>
        </is>
      </c>
      <c r="H12" s="33" t="n">
        <v>90261029</v>
      </c>
      <c r="I12" s="46" t="n">
        <v>770.28</v>
      </c>
      <c r="J12" s="35" t="n">
        <v>0</v>
      </c>
      <c r="K12" s="35" t="n">
        <v>0</v>
      </c>
      <c r="L12" s="36">
        <f>IF($H$4="-",0,IF($H$4="VAREJO",AW12,IF($H$4="ATACADO",AX12,0)))</f>
        <v/>
      </c>
      <c r="M12" s="33" t="n"/>
      <c r="AD12" s="37">
        <f>$C$8</f>
        <v/>
      </c>
      <c r="AE12" s="37" t="inlineStr">
        <is>
          <t>B</t>
        </is>
      </c>
      <c r="AF12" s="37">
        <f>AD12&amp;AE12</f>
        <v/>
      </c>
      <c r="AG12" s="55">
        <f>IFERROR((VLOOKUP(AF12,PARÂMETROS!$A$4:$I$403,5,0)),0)</f>
        <v/>
      </c>
      <c r="AH12" s="38">
        <f>IFERROR((VLOOKUP(AF12,PARÂMETROS!$A$4:$I$403,6,0)),0)</f>
        <v/>
      </c>
      <c r="AI12" s="39">
        <f>VLOOKUP(AF12,PARÂMETROS!$A$4:$I$403,7,0)</f>
        <v/>
      </c>
      <c r="AJ12" s="39">
        <f>IFERROR((VLOOKUP(AF12,PARÂMETROS!$A$4:$I$403,8,0)),0)</f>
        <v/>
      </c>
      <c r="AK12" s="40">
        <f>IFERROR((VLOOKUP(AF12,PARÂMETROS!$A$4:$I$403,9,0)),0)</f>
        <v/>
      </c>
      <c r="AN12" s="47" t="n">
        <v>2</v>
      </c>
      <c r="AO12" s="117">
        <f>I12+(I12*J12)+(I12*K12)</f>
        <v/>
      </c>
      <c r="AP12" s="43">
        <f>IFERROR(VLOOKUP(E12,$AE$11:$AK$14,4,0),0)</f>
        <v/>
      </c>
      <c r="AQ12" s="117">
        <f>(I12+(I12*J12)+(I12*K12))*AP12</f>
        <v/>
      </c>
      <c r="AR12" s="118">
        <f>AO12+AQ12</f>
        <v/>
      </c>
      <c r="AT12" s="39">
        <f>IFERROR((VLOOKUP(E12,$AE$11:$AJ$14,5,0)),0)</f>
        <v/>
      </c>
      <c r="AU12" s="39">
        <f>IFERROR((VLOOKUP(E12,$AE$11:$AJ$14,6,0)),0)</f>
        <v/>
      </c>
      <c r="AW12" s="119">
        <f>AR12*AT12</f>
        <v/>
      </c>
      <c r="AX12" s="119">
        <f>AR12*AU12</f>
        <v/>
      </c>
    </row>
    <row r="13">
      <c r="A13" s="32" t="n">
        <v>3</v>
      </c>
      <c r="B13" s="33" t="n">
        <v>1</v>
      </c>
      <c r="C13" s="33" t="inlineStr">
        <is>
          <t>PÇ</t>
        </is>
      </c>
      <c r="D13" s="33" t="inlineStr">
        <is>
          <t>010 DAMPER JN-B 0 850x500 00 000 TROX</t>
        </is>
      </c>
      <c r="E13" s="33" t="inlineStr">
        <is>
          <t>C</t>
        </is>
      </c>
      <c r="F13" s="54">
        <f>IFERROR((VLOOKUP(E13,$AE$11:$AG$14,3,0)),"-")</f>
        <v/>
      </c>
      <c r="G13" s="33" t="inlineStr">
        <is>
          <t>JN-B-0-D-N0/850x500/N/00/000</t>
        </is>
      </c>
      <c r="H13" s="33" t="n">
        <v>90261029</v>
      </c>
      <c r="I13" s="46" t="n">
        <v>552.9</v>
      </c>
      <c r="J13" s="35" t="n">
        <v>0</v>
      </c>
      <c r="K13" s="35" t="n">
        <v>0</v>
      </c>
      <c r="L13" s="36">
        <f>IF($H$4="-",0,IF($H$4="VAREJO",AW13,IF($H$4="ATACADO",AX13,0)))</f>
        <v/>
      </c>
      <c r="M13" s="33" t="n"/>
      <c r="AD13" s="37">
        <f>$C$8</f>
        <v/>
      </c>
      <c r="AE13" s="37" t="inlineStr">
        <is>
          <t>C</t>
        </is>
      </c>
      <c r="AF13" s="37">
        <f>AD13&amp;AE13</f>
        <v/>
      </c>
      <c r="AG13" s="55">
        <f>IFERROR((VLOOKUP(AF13,PARÂMETROS!$A$4:$I$403,5,0)),0)</f>
        <v/>
      </c>
      <c r="AH13" s="38">
        <f>IFERROR((VLOOKUP(AF13,PARÂMETROS!$A$4:$I$403,6,0)),0)</f>
        <v/>
      </c>
      <c r="AI13" s="39">
        <f>VLOOKUP(AF13,PARÂMETROS!$A$4:$I$403,7,0)</f>
        <v/>
      </c>
      <c r="AJ13" s="39">
        <f>IFERROR((VLOOKUP(AF13,PARÂMETROS!$A$4:$I$403,8,0)),0)</f>
        <v/>
      </c>
      <c r="AK13" s="40">
        <f>IFERROR((VLOOKUP(AF13,PARÂMETROS!$A$4:$I$403,9,0)),0)</f>
        <v/>
      </c>
      <c r="AN13" s="47" t="n">
        <v>3</v>
      </c>
      <c r="AO13" s="117">
        <f>I13+(I13*J13)+(I13*K13)</f>
        <v/>
      </c>
      <c r="AP13" s="43">
        <f>IFERROR(VLOOKUP(E13,$AE$11:$AK$14,4,0),0)</f>
        <v/>
      </c>
      <c r="AQ13" s="117">
        <f>(I13+(I13*J13)+(I13*K13))*AP13</f>
        <v/>
      </c>
      <c r="AR13" s="118">
        <f>AO13+AQ13</f>
        <v/>
      </c>
      <c r="AT13" s="39">
        <f>IFERROR((VLOOKUP(E13,$AE$11:$AJ$14,5,0)),0)</f>
        <v/>
      </c>
      <c r="AU13" s="39">
        <f>IFERROR((VLOOKUP(E13,$AE$11:$AJ$14,6,0)),0)</f>
        <v/>
      </c>
      <c r="AW13" s="119">
        <f>AR13*AT13</f>
        <v/>
      </c>
      <c r="AX13" s="119">
        <f>AR13*AU13</f>
        <v/>
      </c>
    </row>
    <row r="14" ht="40.5" customHeight="1">
      <c r="A14" s="32" t="n">
        <v>4</v>
      </c>
      <c r="B14" s="33" t="n">
        <v>2</v>
      </c>
      <c r="C14" s="33" t="inlineStr">
        <is>
          <t>PÇ</t>
        </is>
      </c>
      <c r="D14" s="33" t="inlineStr">
        <is>
          <t>010 DAMPER JN-B 0 1200x600 00 000 TROX</t>
        </is>
      </c>
      <c r="E14" s="33" t="inlineStr">
        <is>
          <t>C</t>
        </is>
      </c>
      <c r="F14" s="54">
        <f>IFERROR((VLOOKUP(E14,$AE$11:$AG$14,3,0)),"-")</f>
        <v/>
      </c>
      <c r="G14" s="33" t="inlineStr">
        <is>
          <t>JN-B-0-D-N0/1200x600/N/00/000</t>
        </is>
      </c>
      <c r="H14" s="33" t="n">
        <v>90261029</v>
      </c>
      <c r="I14" s="46" t="n">
        <v>758.47</v>
      </c>
      <c r="J14" s="35" t="n">
        <v>0</v>
      </c>
      <c r="K14" s="35" t="n">
        <v>0</v>
      </c>
      <c r="L14" s="36">
        <f>IF($H$4="-",0,IF($H$4="VAREJO",AW14,IF($H$4="ATACADO",AX14,0)))</f>
        <v/>
      </c>
      <c r="M14" s="33" t="n"/>
      <c r="AD14" s="37">
        <f>$C$8</f>
        <v/>
      </c>
      <c r="AE14" s="37" t="inlineStr">
        <is>
          <t>D</t>
        </is>
      </c>
      <c r="AF14" s="37">
        <f>AD14&amp;AE14</f>
        <v/>
      </c>
      <c r="AG14" s="55">
        <f>IFERROR((VLOOKUP(AF14,PARÂMETROS!$A$4:$I$403,5,0)),0)</f>
        <v/>
      </c>
      <c r="AH14" s="38">
        <f>IFERROR((VLOOKUP(AF14,PARÂMETROS!$A$4:$I$403,6,0)),0)</f>
        <v/>
      </c>
      <c r="AI14" s="39">
        <f>VLOOKUP(AF14,PARÂMETROS!$A$4:$I$403,7,0)</f>
        <v/>
      </c>
      <c r="AJ14" s="39">
        <f>IFERROR((VLOOKUP(AF14,PARÂMETROS!$A$4:$I$403,8,0)),0)</f>
        <v/>
      </c>
      <c r="AK14" s="40">
        <f>IFERROR((VLOOKUP(AF14,PARÂMETROS!$A$4:$I$403,9,0)),0)</f>
        <v/>
      </c>
      <c r="AN14" s="47" t="n">
        <v>4</v>
      </c>
      <c r="AO14" s="117">
        <f>I14+(I14*J14)+(I14*K14)</f>
        <v/>
      </c>
      <c r="AP14" s="43">
        <f>IFERROR(VLOOKUP(E14,$AE$11:$AK$14,4,0),0)</f>
        <v/>
      </c>
      <c r="AQ14" s="117">
        <f>(I14+(I14*J14)+(I14*K14))*AP14</f>
        <v/>
      </c>
      <c r="AR14" s="118">
        <f>AO14+AQ14</f>
        <v/>
      </c>
      <c r="AT14" s="39">
        <f>IFERROR((VLOOKUP(E14,$AE$11:$AJ$14,5,0)),0)</f>
        <v/>
      </c>
      <c r="AU14" s="39">
        <f>IFERROR((VLOOKUP(E14,$AE$11:$AJ$14,6,0)),0)</f>
        <v/>
      </c>
      <c r="AW14" s="119">
        <f>AR14*AT14</f>
        <v/>
      </c>
      <c r="AX14" s="119">
        <f>AR14*AU14</f>
        <v/>
      </c>
    </row>
    <row r="15">
      <c r="A15" s="32" t="n">
        <v>5</v>
      </c>
      <c r="B15" s="33" t="n">
        <v>1</v>
      </c>
      <c r="C15" s="33" t="inlineStr">
        <is>
          <t>PÇ</t>
        </is>
      </c>
      <c r="D15" s="33" t="inlineStr">
        <is>
          <t>010 DAMPER JN-B 0 1800x400 00 000 TROX</t>
        </is>
      </c>
      <c r="E15" s="33" t="inlineStr">
        <is>
          <t>C</t>
        </is>
      </c>
      <c r="F15" s="54">
        <f>IFERROR((VLOOKUP(E15,$AE$11:$AG$14,3,0)),"-")</f>
        <v/>
      </c>
      <c r="G15" s="33" t="inlineStr">
        <is>
          <t>JN-B-0-D-N0/1800x400/N/00/000</t>
        </is>
      </c>
      <c r="H15" s="33" t="n">
        <v>90261029</v>
      </c>
      <c r="I15" s="46" t="n">
        <v>742.95</v>
      </c>
      <c r="J15" s="35" t="n">
        <v>0</v>
      </c>
      <c r="K15" s="35" t="n">
        <v>0</v>
      </c>
      <c r="L15" s="36">
        <f>IF($H$4="-",0,IF($H$4="VAREJO",AW15,IF($H$4="ATACADO",AX15,0)))</f>
        <v/>
      </c>
      <c r="M15" s="33" t="n"/>
      <c r="AN15" s="47" t="n">
        <v>5</v>
      </c>
      <c r="AO15" s="117">
        <f>I15+(I15*J15)+(I15*K15)</f>
        <v/>
      </c>
      <c r="AP15" s="43">
        <f>IFERROR(VLOOKUP(E15,$AE$11:$AK$14,4,0),0)</f>
        <v/>
      </c>
      <c r="AQ15" s="117">
        <f>(I15+(I15*J15)+(I15*K15))*AP15</f>
        <v/>
      </c>
      <c r="AR15" s="118">
        <f>AO15+AQ15</f>
        <v/>
      </c>
      <c r="AT15" s="39">
        <f>IFERROR((VLOOKUP(E15,$AE$11:$AJ$14,5,0)),0)</f>
        <v/>
      </c>
      <c r="AU15" s="39">
        <f>IFERROR((VLOOKUP(E15,$AE$11:$AJ$14,6,0)),0)</f>
        <v/>
      </c>
      <c r="AW15" s="119">
        <f>AR15*AT15</f>
        <v/>
      </c>
      <c r="AX15" s="119">
        <f>AR15*AU15</f>
        <v/>
      </c>
    </row>
    <row r="16">
      <c r="A16" s="32" t="n">
        <v>6</v>
      </c>
      <c r="B16" s="33" t="n">
        <v>418</v>
      </c>
      <c r="C16" s="33" t="inlineStr">
        <is>
          <t>PÇ</t>
        </is>
      </c>
      <c r="D16" s="33" t="inlineStr">
        <is>
          <t>010 DIFUSOR ADLR T1 A PP5 TROX</t>
        </is>
      </c>
      <c r="E16" s="33" t="inlineStr">
        <is>
          <t>C</t>
        </is>
      </c>
      <c r="F16" s="54">
        <f>IFERROR((VLOOKUP(E16,$AE$11:$AG$14,3,0)),"-")</f>
        <v/>
      </c>
      <c r="G16" s="33" t="inlineStr">
        <is>
          <t>ADLR-A-000-0/T1/0/PP5</t>
        </is>
      </c>
      <c r="H16" s="33" t="n">
        <v>76169900</v>
      </c>
      <c r="I16" s="46" t="n">
        <v>105.04</v>
      </c>
      <c r="J16" s="35" t="n">
        <v>0</v>
      </c>
      <c r="K16" s="35" t="n">
        <v>0.0325</v>
      </c>
      <c r="L16" s="36">
        <f>IF($H$4="-",0,IF($H$4="VAREJO",AW16,IF($H$4="ATACADO",AX16,0)))</f>
        <v/>
      </c>
      <c r="M16" s="33" t="n"/>
      <c r="AN16" s="47" t="n">
        <v>6</v>
      </c>
      <c r="AO16" s="117">
        <f>I16+(I16*J16)+(I16*K16)</f>
        <v/>
      </c>
      <c r="AP16" s="43">
        <f>IFERROR(VLOOKUP(E16,$AE$11:$AK$14,4,0),0)</f>
        <v/>
      </c>
      <c r="AQ16" s="117">
        <f>(I16+(I16*J16)+(I16*K16))*AP16</f>
        <v/>
      </c>
      <c r="AR16" s="118">
        <f>AO16+AQ16</f>
        <v/>
      </c>
      <c r="AT16" s="39">
        <f>IFERROR((VLOOKUP(E16,$AE$11:$AJ$14,5,0)),0)</f>
        <v/>
      </c>
      <c r="AU16" s="39">
        <f>IFERROR((VLOOKUP(E16,$AE$11:$AJ$14,6,0)),0)</f>
        <v/>
      </c>
      <c r="AW16" s="119">
        <f>AR16*AT16</f>
        <v/>
      </c>
      <c r="AX16" s="119">
        <f>AR16*AU16</f>
        <v/>
      </c>
    </row>
    <row r="17">
      <c r="A17" s="32" t="n">
        <v>7</v>
      </c>
      <c r="B17" s="33" t="n"/>
      <c r="C17" s="33" t="n"/>
      <c r="D17" s="33" t="n"/>
      <c r="E17" s="33" t="inlineStr">
        <is>
          <t>-</t>
        </is>
      </c>
      <c r="F17" s="54">
        <f>IFERROR((VLOOKUP(E17,$AE$11:$AG$14,3,0)),"-")</f>
        <v/>
      </c>
      <c r="G17" s="33" t="n"/>
      <c r="H17" s="33" t="n"/>
      <c r="I17" s="46" t="n"/>
      <c r="J17" s="35" t="n"/>
      <c r="K17" s="35" t="n"/>
      <c r="L17" s="36">
        <f>IF($H$4="-",0,IF($H$4="VAREJO",AW17,IF($H$4="ATACADO",AX17,0)))</f>
        <v/>
      </c>
      <c r="M17" s="33" t="n"/>
      <c r="AN17" s="47" t="n">
        <v>7</v>
      </c>
      <c r="AO17" s="117">
        <f>I17+(I17*J17)+(I17*K17)</f>
        <v/>
      </c>
      <c r="AP17" s="43">
        <f>IFERROR(VLOOKUP(E17,$AE$11:$AK$14,4,0),0)</f>
        <v/>
      </c>
      <c r="AQ17" s="117">
        <f>(I17+(I17*J17)+(I17*K17))*AP17</f>
        <v/>
      </c>
      <c r="AR17" s="118">
        <f>AO17+AQ17</f>
        <v/>
      </c>
      <c r="AT17" s="39">
        <f>IFERROR((VLOOKUP(E17,$AE$11:$AJ$14,5,0)),0)</f>
        <v/>
      </c>
      <c r="AU17" s="39">
        <f>IFERROR((VLOOKUP(E17,$AE$11:$AJ$14,6,0)),0)</f>
        <v/>
      </c>
      <c r="AW17" s="119">
        <f>AR17*AT17</f>
        <v/>
      </c>
      <c r="AX17" s="119">
        <f>AR17*AU17</f>
        <v/>
      </c>
    </row>
    <row r="18">
      <c r="A18" s="32" t="n">
        <v>8</v>
      </c>
      <c r="B18" s="33" t="n"/>
      <c r="C18" s="33" t="n"/>
      <c r="D18" s="33" t="n"/>
      <c r="E18" s="33" t="inlineStr">
        <is>
          <t>-</t>
        </is>
      </c>
      <c r="F18" s="54">
        <f>IFERROR((VLOOKUP(E18,$AE$11:$AG$14,3,0)),"-")</f>
        <v/>
      </c>
      <c r="G18" s="33" t="n"/>
      <c r="H18" s="33" t="n"/>
      <c r="I18" s="46" t="n"/>
      <c r="J18" s="35" t="n"/>
      <c r="K18" s="35" t="n"/>
      <c r="L18" s="36">
        <f>IF($H$4="-",0,IF($H$4="VAREJO",AW18,IF($H$4="ATACADO",AX18,0)))</f>
        <v/>
      </c>
      <c r="M18" s="33" t="n"/>
      <c r="AN18" s="47" t="n">
        <v>8</v>
      </c>
      <c r="AO18" s="117">
        <f>I18+(I18*J18)+(I18*K18)</f>
        <v/>
      </c>
      <c r="AP18" s="43">
        <f>IFERROR(VLOOKUP(E18,$AE$11:$AK$14,4,0),0)</f>
        <v/>
      </c>
      <c r="AQ18" s="117">
        <f>(I18+(I18*J18)+(I18*K18))*AP18</f>
        <v/>
      </c>
      <c r="AR18" s="118">
        <f>AO18+AQ18</f>
        <v/>
      </c>
      <c r="AT18" s="39">
        <f>IFERROR((VLOOKUP(E18,$AE$11:$AJ$14,5,0)),0)</f>
        <v/>
      </c>
      <c r="AU18" s="39">
        <f>IFERROR((VLOOKUP(E18,$AE$11:$AJ$14,6,0)),0)</f>
        <v/>
      </c>
      <c r="AW18" s="119">
        <f>AR18*AT18</f>
        <v/>
      </c>
      <c r="AX18" s="119">
        <f>AR18*AU18</f>
        <v/>
      </c>
    </row>
    <row r="19">
      <c r="A19" s="32" t="n">
        <v>9</v>
      </c>
      <c r="B19" s="33" t="n"/>
      <c r="C19" s="33" t="n"/>
      <c r="D19" s="33" t="n"/>
      <c r="E19" s="33" t="inlineStr">
        <is>
          <t>-</t>
        </is>
      </c>
      <c r="F19" s="54">
        <f>IFERROR((VLOOKUP(E19,$AE$11:$AG$14,3,0)),"-")</f>
        <v/>
      </c>
      <c r="G19" s="33" t="n"/>
      <c r="H19" s="33" t="n"/>
      <c r="I19" s="46" t="n"/>
      <c r="J19" s="35" t="n"/>
      <c r="K19" s="35" t="n"/>
      <c r="L19" s="36">
        <f>IF($H$4="-",0,IF($H$4="VAREJO",AW19,IF($H$4="ATACADO",AX19,0)))</f>
        <v/>
      </c>
      <c r="M19" s="33" t="n"/>
      <c r="AN19" s="47" t="n">
        <v>9</v>
      </c>
      <c r="AO19" s="117">
        <f>I19+(I19*J19)+(I19*K19)</f>
        <v/>
      </c>
      <c r="AP19" s="43">
        <f>IFERROR(VLOOKUP(E19,$AE$11:$AK$14,4,0),0)</f>
        <v/>
      </c>
      <c r="AQ19" s="117">
        <f>(I19+(I19*J19)+(I19*K19))*AP19</f>
        <v/>
      </c>
      <c r="AR19" s="118">
        <f>AO19+AQ19</f>
        <v/>
      </c>
      <c r="AT19" s="39">
        <f>IFERROR((VLOOKUP(E19,$AE$11:$AJ$14,5,0)),0)</f>
        <v/>
      </c>
      <c r="AU19" s="39">
        <f>IFERROR((VLOOKUP(E19,$AE$11:$AJ$14,6,0)),0)</f>
        <v/>
      </c>
      <c r="AW19" s="119">
        <f>AR19*AT19</f>
        <v/>
      </c>
      <c r="AX19" s="119">
        <f>AR19*AU19</f>
        <v/>
      </c>
    </row>
    <row r="20">
      <c r="A20" s="32" t="n">
        <v>10</v>
      </c>
      <c r="B20" s="33" t="n"/>
      <c r="C20" s="33" t="n"/>
      <c r="D20" s="33" t="n"/>
      <c r="E20" s="33" t="inlineStr">
        <is>
          <t>-</t>
        </is>
      </c>
      <c r="F20" s="54">
        <f>IFERROR((VLOOKUP(E20,$AE$11:$AG$14,3,0)),"-")</f>
        <v/>
      </c>
      <c r="G20" s="33" t="n"/>
      <c r="H20" s="33" t="n"/>
      <c r="I20" s="46" t="n"/>
      <c r="J20" s="35" t="n"/>
      <c r="K20" s="35" t="n"/>
      <c r="L20" s="36">
        <f>IF($H$4="-",0,IF($H$4="VAREJO",AW20,IF($H$4="ATACADO",AX20,0)))</f>
        <v/>
      </c>
      <c r="M20" s="33" t="n"/>
      <c r="AN20" s="47" t="n">
        <v>10</v>
      </c>
      <c r="AO20" s="117">
        <f>I20+(I20*J20)+(I20*K20)</f>
        <v/>
      </c>
      <c r="AP20" s="43">
        <f>IFERROR(VLOOKUP(E20,$AE$11:$AK$14,4,0),0)</f>
        <v/>
      </c>
      <c r="AQ20" s="117">
        <f>(I20+(I20*J20)+(I20*K20))*AP20</f>
        <v/>
      </c>
      <c r="AR20" s="118">
        <f>AO20+AQ20</f>
        <v/>
      </c>
      <c r="AT20" s="39">
        <f>IFERROR((VLOOKUP(E20,$AE$11:$AJ$14,5,0)),0)</f>
        <v/>
      </c>
      <c r="AU20" s="39">
        <f>IFERROR((VLOOKUP(E20,$AE$11:$AJ$14,6,0)),0)</f>
        <v/>
      </c>
      <c r="AW20" s="119">
        <f>AR20*AT20</f>
        <v/>
      </c>
      <c r="AX20" s="119">
        <f>AR20*AU20</f>
        <v/>
      </c>
    </row>
    <row r="21">
      <c r="A21" s="32" t="n">
        <v>11</v>
      </c>
      <c r="B21" s="33" t="n"/>
      <c r="C21" s="33" t="n"/>
      <c r="D21" s="33" t="n"/>
      <c r="E21" s="33" t="inlineStr">
        <is>
          <t>-</t>
        </is>
      </c>
      <c r="F21" s="54">
        <f>IFERROR((VLOOKUP(E21,$AE$11:$AG$14,3,0)),"-")</f>
        <v/>
      </c>
      <c r="G21" s="33" t="n"/>
      <c r="H21" s="33" t="n"/>
      <c r="I21" s="46" t="n"/>
      <c r="J21" s="35" t="n"/>
      <c r="K21" s="35" t="n"/>
      <c r="L21" s="36">
        <f>IF($H$4="-",0,IF($H$4="VAREJO",AW21,IF($H$4="ATACADO",AX21,0)))</f>
        <v/>
      </c>
      <c r="M21" s="33" t="n"/>
      <c r="AN21" s="47" t="n">
        <v>11</v>
      </c>
      <c r="AO21" s="117">
        <f>I21+(I21*J21)+(I21*K21)</f>
        <v/>
      </c>
      <c r="AP21" s="43">
        <f>IFERROR(VLOOKUP(E21,$AE$11:$AK$14,4,0),0)</f>
        <v/>
      </c>
      <c r="AQ21" s="117">
        <f>(I21+(I21*J21)+(I21*K21))*AP21</f>
        <v/>
      </c>
      <c r="AR21" s="118">
        <f>AO21+AQ21</f>
        <v/>
      </c>
      <c r="AT21" s="39">
        <f>IFERROR((VLOOKUP(E21,$AE$11:$AJ$14,5,0)),0)</f>
        <v/>
      </c>
      <c r="AU21" s="39">
        <f>IFERROR((VLOOKUP(E21,$AE$11:$AJ$14,6,0)),0)</f>
        <v/>
      </c>
      <c r="AW21" s="119">
        <f>AR21*AT21</f>
        <v/>
      </c>
      <c r="AX21" s="119">
        <f>AR21*AU21</f>
        <v/>
      </c>
    </row>
    <row r="22">
      <c r="A22" s="32" t="n">
        <v>12</v>
      </c>
      <c r="B22" s="33" t="n"/>
      <c r="C22" s="33" t="n"/>
      <c r="D22" s="33" t="n"/>
      <c r="E22" s="33" t="inlineStr">
        <is>
          <t>-</t>
        </is>
      </c>
      <c r="F22" s="54">
        <f>IFERROR((VLOOKUP(E22,$AE$11:$AG$14,3,0)),"-")</f>
        <v/>
      </c>
      <c r="G22" s="33" t="n"/>
      <c r="H22" s="33" t="n"/>
      <c r="I22" s="46" t="n"/>
      <c r="J22" s="35" t="n"/>
      <c r="K22" s="35" t="n"/>
      <c r="L22" s="36">
        <f>IF($H$4="-",0,IF($H$4="VAREJO",AW22,IF($H$4="ATACADO",AX22,0)))</f>
        <v/>
      </c>
      <c r="M22" s="33" t="n"/>
      <c r="AN22" s="47" t="n">
        <v>12</v>
      </c>
      <c r="AO22" s="117">
        <f>I22+(I22*J22)+(I22*K22)</f>
        <v/>
      </c>
      <c r="AP22" s="43">
        <f>IFERROR(VLOOKUP(E22,$AE$11:$AK$14,4,0),0)</f>
        <v/>
      </c>
      <c r="AQ22" s="117">
        <f>(I22+(I22*J22)+(I22*K22))*AP22</f>
        <v/>
      </c>
      <c r="AR22" s="118">
        <f>AO22+AQ22</f>
        <v/>
      </c>
      <c r="AT22" s="39">
        <f>IFERROR((VLOOKUP(E22,$AE$11:$AJ$14,5,0)),0)</f>
        <v/>
      </c>
      <c r="AU22" s="39">
        <f>IFERROR((VLOOKUP(E22,$AE$11:$AJ$14,6,0)),0)</f>
        <v/>
      </c>
      <c r="AW22" s="119">
        <f>AR22*AT22</f>
        <v/>
      </c>
      <c r="AX22" s="119">
        <f>AR22*AU22</f>
        <v/>
      </c>
    </row>
    <row r="23" ht="30" customHeight="1">
      <c r="A23" s="32" t="n">
        <v>13</v>
      </c>
      <c r="B23" s="33" t="n"/>
      <c r="C23" s="33" t="n"/>
      <c r="D23" s="33" t="n"/>
      <c r="E23" s="33" t="inlineStr">
        <is>
          <t>-</t>
        </is>
      </c>
      <c r="F23" s="54">
        <f>IFERROR((VLOOKUP(E23,$AE$11:$AG$14,3,0)),"-")</f>
        <v/>
      </c>
      <c r="G23" s="33" t="n"/>
      <c r="H23" s="33" t="n"/>
      <c r="I23" s="46" t="n"/>
      <c r="J23" s="35" t="n"/>
      <c r="K23" s="35" t="n"/>
      <c r="L23" s="36">
        <f>IF($H$4="-",0,IF($H$4="VAREJO",AW23,IF($H$4="ATACADO",AX23,0)))</f>
        <v/>
      </c>
      <c r="M23" s="33" t="n"/>
      <c r="AN23" s="47" t="n">
        <v>13</v>
      </c>
      <c r="AO23" s="117">
        <f>I23+(I23*J23)+(I23*K23)</f>
        <v/>
      </c>
      <c r="AP23" s="43">
        <f>IFERROR(VLOOKUP(E23,$AE$11:$AK$14,4,0),0)</f>
        <v/>
      </c>
      <c r="AQ23" s="117">
        <f>(I23+(I23*J23)+(I23*K23))*AP23</f>
        <v/>
      </c>
      <c r="AR23" s="118">
        <f>AO23+AQ23</f>
        <v/>
      </c>
      <c r="AT23" s="39">
        <f>IFERROR((VLOOKUP(E23,$AE$11:$AJ$14,5,0)),0)</f>
        <v/>
      </c>
      <c r="AU23" s="39">
        <f>IFERROR((VLOOKUP(E23,$AE$11:$AJ$14,6,0)),0)</f>
        <v/>
      </c>
      <c r="AW23" s="119">
        <f>AR23*AT23</f>
        <v/>
      </c>
      <c r="AX23" s="119">
        <f>AR23*AU23</f>
        <v/>
      </c>
    </row>
    <row r="24">
      <c r="A24" s="32" t="n">
        <v>14</v>
      </c>
      <c r="B24" s="33" t="n"/>
      <c r="C24" s="33" t="n"/>
      <c r="D24" s="33" t="n"/>
      <c r="E24" s="33" t="inlineStr">
        <is>
          <t>-</t>
        </is>
      </c>
      <c r="F24" s="54">
        <f>IFERROR((VLOOKUP(E24,$AE$11:$AG$14,3,0)),"-")</f>
        <v/>
      </c>
      <c r="G24" s="33" t="n"/>
      <c r="H24" s="33" t="n"/>
      <c r="I24" s="46" t="n"/>
      <c r="J24" s="35" t="n"/>
      <c r="K24" s="35" t="n"/>
      <c r="L24" s="36">
        <f>IF($H$4="-",0,IF($H$4="VAREJO",AW24,IF($H$4="ATACADO",AX24,0)))</f>
        <v/>
      </c>
      <c r="M24" s="33" t="n"/>
      <c r="AN24" s="47" t="n">
        <v>14</v>
      </c>
      <c r="AO24" s="117">
        <f>I24+(I24*J24)+(I24*K24)</f>
        <v/>
      </c>
      <c r="AP24" s="43">
        <f>IFERROR(VLOOKUP(E24,$AE$11:$AK$14,4,0),0)</f>
        <v/>
      </c>
      <c r="AQ24" s="117">
        <f>(I24+(I24*J24)+(I24*K24))*AP24</f>
        <v/>
      </c>
      <c r="AR24" s="118">
        <f>AO24+AQ24</f>
        <v/>
      </c>
      <c r="AT24" s="39">
        <f>IFERROR((VLOOKUP(E24,$AE$11:$AJ$14,5,0)),0)</f>
        <v/>
      </c>
      <c r="AU24" s="39">
        <f>IFERROR((VLOOKUP(E24,$AE$11:$AJ$14,6,0)),0)</f>
        <v/>
      </c>
      <c r="AW24" s="119">
        <f>AR24*AT24</f>
        <v/>
      </c>
      <c r="AX24" s="119">
        <f>AR24*AU24</f>
        <v/>
      </c>
    </row>
    <row r="25">
      <c r="A25" s="32" t="n">
        <v>15</v>
      </c>
      <c r="B25" s="33" t="n"/>
      <c r="C25" s="33" t="n"/>
      <c r="D25" s="33" t="n"/>
      <c r="E25" s="33" t="inlineStr">
        <is>
          <t>-</t>
        </is>
      </c>
      <c r="F25" s="54">
        <f>IFERROR((VLOOKUP(E25,$AE$11:$AG$14,3,0)),"-")</f>
        <v/>
      </c>
      <c r="G25" s="33" t="n"/>
      <c r="H25" s="33" t="n"/>
      <c r="I25" s="46" t="n"/>
      <c r="J25" s="35" t="n"/>
      <c r="K25" s="35" t="n"/>
      <c r="L25" s="36">
        <f>IF($H$4="-",0,IF($H$4="VAREJO",AW25,IF($H$4="ATACADO",AX25,0)))</f>
        <v/>
      </c>
      <c r="M25" s="33" t="n"/>
      <c r="AN25" s="47" t="n">
        <v>15</v>
      </c>
      <c r="AO25" s="117">
        <f>I25+(I25*J25)+(I25*K25)</f>
        <v/>
      </c>
      <c r="AP25" s="43">
        <f>IFERROR(VLOOKUP(E25,$AE$11:$AK$14,4,0),0)</f>
        <v/>
      </c>
      <c r="AQ25" s="117">
        <f>(I25+(I25*J25)+(I25*K25))*AP25</f>
        <v/>
      </c>
      <c r="AR25" s="118">
        <f>AO25+AQ25</f>
        <v/>
      </c>
      <c r="AT25" s="39">
        <f>IFERROR((VLOOKUP(E25,$AE$11:$AJ$14,5,0)),0)</f>
        <v/>
      </c>
      <c r="AU25" s="39">
        <f>IFERROR((VLOOKUP(E25,$AE$11:$AJ$14,6,0)),0)</f>
        <v/>
      </c>
      <c r="AW25" s="119">
        <f>AR25*AT25</f>
        <v/>
      </c>
      <c r="AX25" s="119">
        <f>AR25*AU25</f>
        <v/>
      </c>
    </row>
    <row r="26">
      <c r="A26" s="32" t="n">
        <v>16</v>
      </c>
      <c r="B26" s="33" t="n"/>
      <c r="C26" s="33" t="n"/>
      <c r="D26" s="33" t="n"/>
      <c r="E26" s="33" t="inlineStr">
        <is>
          <t>-</t>
        </is>
      </c>
      <c r="F26" s="54">
        <f>IFERROR((VLOOKUP(E26,$AE$11:$AG$14,3,0)),"-")</f>
        <v/>
      </c>
      <c r="G26" s="33" t="n"/>
      <c r="H26" s="33" t="n"/>
      <c r="I26" s="46" t="n"/>
      <c r="J26" s="35" t="n"/>
      <c r="K26" s="35" t="n"/>
      <c r="L26" s="36">
        <f>IF($H$4="-",0,IF($H$4="VAREJO",AW26,IF($H$4="ATACADO",AX26,0)))</f>
        <v/>
      </c>
      <c r="M26" s="33" t="n"/>
      <c r="AN26" s="47" t="n">
        <v>16</v>
      </c>
      <c r="AO26" s="117">
        <f>I26+(I26*J26)+(I26*K26)</f>
        <v/>
      </c>
      <c r="AP26" s="43">
        <f>IFERROR(VLOOKUP(E26,$AE$11:$AK$14,4,0),0)</f>
        <v/>
      </c>
      <c r="AQ26" s="117">
        <f>(I26+(I26*J26)+(I26*K26))*AP26</f>
        <v/>
      </c>
      <c r="AR26" s="118">
        <f>AO26+AQ26</f>
        <v/>
      </c>
      <c r="AT26" s="39">
        <f>IFERROR((VLOOKUP(E26,$AE$11:$AJ$14,5,0)),0)</f>
        <v/>
      </c>
      <c r="AU26" s="39">
        <f>IFERROR((VLOOKUP(E26,$AE$11:$AJ$14,6,0)),0)</f>
        <v/>
      </c>
      <c r="AW26" s="119">
        <f>AR26*AT26</f>
        <v/>
      </c>
      <c r="AX26" s="119">
        <f>AR26*AU26</f>
        <v/>
      </c>
    </row>
    <row r="27">
      <c r="A27" s="32" t="n">
        <v>17</v>
      </c>
      <c r="B27" s="33" t="n"/>
      <c r="C27" s="33" t="n"/>
      <c r="D27" s="33" t="n"/>
      <c r="E27" s="33" t="inlineStr">
        <is>
          <t>-</t>
        </is>
      </c>
      <c r="F27" s="54">
        <f>IFERROR((VLOOKUP(E27,$AE$11:$AG$14,3,0)),"-")</f>
        <v/>
      </c>
      <c r="G27" s="33" t="n"/>
      <c r="H27" s="33" t="n"/>
      <c r="I27" s="46" t="n"/>
      <c r="J27" s="35" t="n"/>
      <c r="K27" s="35" t="n"/>
      <c r="L27" s="36">
        <f>IF($H$4="-",0,IF($H$4="VAREJO",AW27,IF($H$4="ATACADO",AX27,0)))</f>
        <v/>
      </c>
      <c r="M27" s="33" t="n"/>
      <c r="AN27" s="47" t="n">
        <v>17</v>
      </c>
      <c r="AO27" s="117">
        <f>I27+(I27*J27)+(I27*K27)</f>
        <v/>
      </c>
      <c r="AP27" s="43">
        <f>IFERROR(VLOOKUP(E27,$AE$11:$AK$14,4,0),0)</f>
        <v/>
      </c>
      <c r="AQ27" s="117">
        <f>(I27+(I27*J27)+(I27*K27))*AP27</f>
        <v/>
      </c>
      <c r="AR27" s="118">
        <f>AO27+AQ27</f>
        <v/>
      </c>
      <c r="AT27" s="39">
        <f>IFERROR((VLOOKUP(E27,$AE$11:$AJ$14,5,0)),0)</f>
        <v/>
      </c>
      <c r="AU27" s="39">
        <f>IFERROR((VLOOKUP(E27,$AE$11:$AJ$14,6,0)),0)</f>
        <v/>
      </c>
      <c r="AW27" s="119">
        <f>AR27*AT27</f>
        <v/>
      </c>
      <c r="AX27" s="119">
        <f>AR27*AU27</f>
        <v/>
      </c>
    </row>
    <row r="28">
      <c r="A28" s="32" t="n">
        <v>18</v>
      </c>
      <c r="B28" s="33" t="n"/>
      <c r="C28" s="33" t="n"/>
      <c r="D28" s="33" t="n"/>
      <c r="E28" s="33" t="inlineStr">
        <is>
          <t>-</t>
        </is>
      </c>
      <c r="F28" s="54">
        <f>IFERROR((VLOOKUP(E28,$AE$11:$AG$14,3,0)),"-")</f>
        <v/>
      </c>
      <c r="G28" s="33" t="n"/>
      <c r="H28" s="33" t="n"/>
      <c r="I28" s="46" t="n"/>
      <c r="J28" s="35" t="n"/>
      <c r="K28" s="35" t="n"/>
      <c r="L28" s="36">
        <f>IF($H$4="-",0,IF($H$4="VAREJO",AW28,IF($H$4="ATACADO",AX28,0)))</f>
        <v/>
      </c>
      <c r="M28" s="33" t="n"/>
      <c r="AN28" s="47" t="n">
        <v>18</v>
      </c>
      <c r="AO28" s="117">
        <f>I28+(I28*J28)+(I28*K28)</f>
        <v/>
      </c>
      <c r="AP28" s="43">
        <f>IFERROR(VLOOKUP(E28,$AE$11:$AK$14,4,0),0)</f>
        <v/>
      </c>
      <c r="AQ28" s="117">
        <f>(I28+(I28*J28)+(I28*K28))*AP28</f>
        <v/>
      </c>
      <c r="AR28" s="118">
        <f>AO28+AQ28</f>
        <v/>
      </c>
      <c r="AT28" s="39">
        <f>IFERROR((VLOOKUP(E28,$AE$11:$AJ$14,5,0)),0)</f>
        <v/>
      </c>
      <c r="AU28" s="39">
        <f>IFERROR((VLOOKUP(E28,$AE$11:$AJ$14,6,0)),0)</f>
        <v/>
      </c>
      <c r="AW28" s="119">
        <f>AR28*AT28</f>
        <v/>
      </c>
      <c r="AX28" s="119">
        <f>AR28*AU28</f>
        <v/>
      </c>
    </row>
    <row r="29">
      <c r="A29" s="32" t="n">
        <v>19</v>
      </c>
      <c r="B29" s="33" t="n"/>
      <c r="C29" s="33" t="n"/>
      <c r="D29" s="33" t="n"/>
      <c r="E29" s="33" t="inlineStr">
        <is>
          <t>-</t>
        </is>
      </c>
      <c r="F29" s="54">
        <f>IFERROR((VLOOKUP(E29,$AE$11:$AG$14,3,0)),"-")</f>
        <v/>
      </c>
      <c r="G29" s="33" t="n"/>
      <c r="H29" s="33" t="n"/>
      <c r="I29" s="46" t="n"/>
      <c r="J29" s="35" t="n"/>
      <c r="K29" s="35" t="n"/>
      <c r="L29" s="36">
        <f>IF($H$4="-",0,IF($H$4="VAREJO",AW29,IF($H$4="ATACADO",AX29,0)))</f>
        <v/>
      </c>
      <c r="M29" s="33" t="n"/>
      <c r="AN29" s="47" t="n">
        <v>19</v>
      </c>
      <c r="AO29" s="117">
        <f>I29+(I29*J29)+(I29*K29)</f>
        <v/>
      </c>
      <c r="AP29" s="43">
        <f>IFERROR(VLOOKUP(E29,$AE$11:$AK$14,4,0),0)</f>
        <v/>
      </c>
      <c r="AQ29" s="117">
        <f>(I29+(I29*J29)+(I29*K29))*AP29</f>
        <v/>
      </c>
      <c r="AR29" s="118">
        <f>AO29+AQ29</f>
        <v/>
      </c>
      <c r="AT29" s="39">
        <f>IFERROR((VLOOKUP(E29,$AE$11:$AJ$14,5,0)),0)</f>
        <v/>
      </c>
      <c r="AU29" s="39">
        <f>IFERROR((VLOOKUP(E29,$AE$11:$AJ$14,6,0)),0)</f>
        <v/>
      </c>
      <c r="AW29" s="119">
        <f>AR29*AT29</f>
        <v/>
      </c>
      <c r="AX29" s="119">
        <f>AR29*AU29</f>
        <v/>
      </c>
    </row>
    <row r="30">
      <c r="A30" s="32" t="n">
        <v>20</v>
      </c>
      <c r="B30" s="33" t="n"/>
      <c r="C30" s="33" t="n"/>
      <c r="D30" s="33" t="n"/>
      <c r="E30" s="33" t="inlineStr">
        <is>
          <t>-</t>
        </is>
      </c>
      <c r="F30" s="54">
        <f>IFERROR((VLOOKUP(E30,$AE$11:$AG$14,3,0)),"-")</f>
        <v/>
      </c>
      <c r="G30" s="33" t="n"/>
      <c r="H30" s="33" t="n"/>
      <c r="I30" s="46" t="n"/>
      <c r="J30" s="35" t="n"/>
      <c r="K30" s="35" t="n"/>
      <c r="L30" s="36">
        <f>IF($H$4="-",0,IF($H$4="VAREJO",AW30,IF($H$4="ATACADO",AX30,0)))</f>
        <v/>
      </c>
      <c r="M30" s="33" t="n"/>
      <c r="AN30" s="47" t="n">
        <v>20</v>
      </c>
      <c r="AO30" s="117">
        <f>I30+(I30*J30)+(I30*K30)</f>
        <v/>
      </c>
      <c r="AP30" s="43">
        <f>IFERROR(VLOOKUP(E30,$AE$11:$AK$14,4,0),0)</f>
        <v/>
      </c>
      <c r="AQ30" s="117">
        <f>(I30+(I30*J30)+(I30*K30))*AP30</f>
        <v/>
      </c>
      <c r="AR30" s="118">
        <f>AO30+AQ30</f>
        <v/>
      </c>
      <c r="AT30" s="39">
        <f>IFERROR((VLOOKUP(E30,$AE$11:$AJ$14,5,0)),0)</f>
        <v/>
      </c>
      <c r="AU30" s="39">
        <f>IFERROR((VLOOKUP(E30,$AE$11:$AJ$14,6,0)),0)</f>
        <v/>
      </c>
      <c r="AW30" s="119">
        <f>AR30*AT30</f>
        <v/>
      </c>
      <c r="AX30" s="119">
        <f>AR30*AU30</f>
        <v/>
      </c>
    </row>
    <row r="31">
      <c r="A31" s="32" t="n">
        <v>21</v>
      </c>
      <c r="B31" s="33" t="n"/>
      <c r="C31" s="33" t="n"/>
      <c r="D31" s="33" t="n"/>
      <c r="E31" s="33" t="inlineStr">
        <is>
          <t>-</t>
        </is>
      </c>
      <c r="F31" s="54">
        <f>IFERROR((VLOOKUP(E31,$AE$11:$AG$14,3,0)),"-")</f>
        <v/>
      </c>
      <c r="G31" s="33" t="n"/>
      <c r="H31" s="33" t="n"/>
      <c r="I31" s="46" t="n"/>
      <c r="J31" s="35" t="n"/>
      <c r="K31" s="35" t="n"/>
      <c r="L31" s="36">
        <f>IF($H$4="-",0,IF($H$4="VAREJO",AW31,IF($H$4="ATACADO",AX31,0)))</f>
        <v/>
      </c>
      <c r="M31" s="33" t="n"/>
      <c r="AN31" s="47" t="n">
        <v>21</v>
      </c>
      <c r="AO31" s="117">
        <f>I31+(I31*J31)+(I31*K31)</f>
        <v/>
      </c>
      <c r="AP31" s="43">
        <f>IFERROR(VLOOKUP(E31,$AE$11:$AK$14,4,0),0)</f>
        <v/>
      </c>
      <c r="AQ31" s="117">
        <f>(I31+(I31*J31)+(I31*K31))*AP31</f>
        <v/>
      </c>
      <c r="AR31" s="118">
        <f>AO31+AQ31</f>
        <v/>
      </c>
      <c r="AT31" s="39">
        <f>IFERROR((VLOOKUP(E31,$AE$11:$AJ$14,5,0)),0)</f>
        <v/>
      </c>
      <c r="AU31" s="39">
        <f>IFERROR((VLOOKUP(E31,$AE$11:$AJ$14,6,0)),0)</f>
        <v/>
      </c>
      <c r="AW31" s="119">
        <f>AR31*AT31</f>
        <v/>
      </c>
      <c r="AX31" s="119">
        <f>AR31*AU31</f>
        <v/>
      </c>
    </row>
    <row r="32">
      <c r="A32" s="32" t="n">
        <v>22</v>
      </c>
      <c r="B32" s="33" t="n"/>
      <c r="C32" s="33" t="n"/>
      <c r="D32" s="33" t="n"/>
      <c r="E32" s="33" t="inlineStr">
        <is>
          <t>-</t>
        </is>
      </c>
      <c r="F32" s="54">
        <f>IFERROR((VLOOKUP(E32,$AE$11:$AG$14,3,0)),"-")</f>
        <v/>
      </c>
      <c r="G32" s="33" t="n"/>
      <c r="H32" s="33" t="n"/>
      <c r="I32" s="46" t="n"/>
      <c r="J32" s="35" t="n"/>
      <c r="K32" s="35" t="n"/>
      <c r="L32" s="36">
        <f>IF($H$4="-",0,IF($H$4="VAREJO",AW32,IF($H$4="ATACADO",AX32,0)))</f>
        <v/>
      </c>
      <c r="M32" s="33" t="n"/>
      <c r="AN32" s="47" t="n">
        <v>22</v>
      </c>
      <c r="AO32" s="117">
        <f>I32+(I32*J32)+(I32*K32)</f>
        <v/>
      </c>
      <c r="AP32" s="43">
        <f>IFERROR(VLOOKUP(E32,$AE$11:$AK$14,4,0),0)</f>
        <v/>
      </c>
      <c r="AQ32" s="117">
        <f>(I32+(I32*J32)+(I32*K32))*AP32</f>
        <v/>
      </c>
      <c r="AR32" s="118">
        <f>AO32+AQ32</f>
        <v/>
      </c>
      <c r="AT32" s="39">
        <f>IFERROR((VLOOKUP(E32,$AE$11:$AJ$14,5,0)),0)</f>
        <v/>
      </c>
      <c r="AU32" s="39">
        <f>IFERROR((VLOOKUP(E32,$AE$11:$AJ$14,6,0)),0)</f>
        <v/>
      </c>
      <c r="AW32" s="119">
        <f>AR32*AT32</f>
        <v/>
      </c>
      <c r="AX32" s="119">
        <f>AR32*AU32</f>
        <v/>
      </c>
    </row>
    <row r="33">
      <c r="A33" s="32" t="n">
        <v>23</v>
      </c>
      <c r="B33" s="33" t="n"/>
      <c r="C33" s="33" t="n"/>
      <c r="D33" s="33" t="n"/>
      <c r="E33" s="33" t="inlineStr">
        <is>
          <t>-</t>
        </is>
      </c>
      <c r="F33" s="54">
        <f>IFERROR((VLOOKUP(E33,$AE$11:$AG$14,3,0)),"-")</f>
        <v/>
      </c>
      <c r="G33" s="33" t="n"/>
      <c r="H33" s="33" t="n"/>
      <c r="I33" s="46" t="n"/>
      <c r="J33" s="35" t="n"/>
      <c r="K33" s="35" t="n"/>
      <c r="L33" s="36">
        <f>IF($H$4="-",0,IF($H$4="VAREJO",AW33,IF($H$4="ATACADO",AX33,0)))</f>
        <v/>
      </c>
      <c r="M33" s="33" t="n"/>
      <c r="AN33" s="47" t="n">
        <v>23</v>
      </c>
      <c r="AO33" s="117">
        <f>I33+(I33*J33)+(I33*K33)</f>
        <v/>
      </c>
      <c r="AP33" s="43">
        <f>IFERROR(VLOOKUP(E33,$AE$11:$AK$14,4,0),0)</f>
        <v/>
      </c>
      <c r="AQ33" s="117">
        <f>(I33+(I33*J33)+(I33*K33))*AP33</f>
        <v/>
      </c>
      <c r="AR33" s="118">
        <f>AO33+AQ33</f>
        <v/>
      </c>
      <c r="AT33" s="39">
        <f>IFERROR((VLOOKUP(E33,$AE$11:$AJ$14,5,0)),0)</f>
        <v/>
      </c>
      <c r="AU33" s="39">
        <f>IFERROR((VLOOKUP(E33,$AE$11:$AJ$14,6,0)),0)</f>
        <v/>
      </c>
      <c r="AW33" s="119">
        <f>AR33*AT33</f>
        <v/>
      </c>
      <c r="AX33" s="119">
        <f>AR33*AU33</f>
        <v/>
      </c>
    </row>
    <row r="34">
      <c r="A34" s="32" t="n">
        <v>24</v>
      </c>
      <c r="B34" s="33" t="n"/>
      <c r="C34" s="33" t="n"/>
      <c r="D34" s="33" t="n"/>
      <c r="E34" s="33" t="inlineStr">
        <is>
          <t>-</t>
        </is>
      </c>
      <c r="F34" s="54">
        <f>IFERROR((VLOOKUP(E34,$AE$11:$AG$14,3,0)),"-")</f>
        <v/>
      </c>
      <c r="G34" s="33" t="n"/>
      <c r="H34" s="33" t="n"/>
      <c r="I34" s="46" t="n"/>
      <c r="J34" s="35" t="n"/>
      <c r="K34" s="35" t="n"/>
      <c r="L34" s="36">
        <f>IF($H$4="-",0,IF($H$4="VAREJO",AW34,IF($H$4="ATACADO",AX34,0)))</f>
        <v/>
      </c>
      <c r="M34" s="33" t="n"/>
      <c r="AN34" s="47" t="n">
        <v>24</v>
      </c>
      <c r="AO34" s="117">
        <f>I34+(I34*J34)+(I34*K34)</f>
        <v/>
      </c>
      <c r="AP34" s="43">
        <f>IFERROR(VLOOKUP(E34,$AE$11:$AK$14,4,0),0)</f>
        <v/>
      </c>
      <c r="AQ34" s="117">
        <f>(I34+(I34*J34)+(I34*K34))*AP34</f>
        <v/>
      </c>
      <c r="AR34" s="118">
        <f>AO34+AQ34</f>
        <v/>
      </c>
      <c r="AT34" s="39">
        <f>IFERROR((VLOOKUP(E34,$AE$11:$AJ$14,5,0)),0)</f>
        <v/>
      </c>
      <c r="AU34" s="39">
        <f>IFERROR((VLOOKUP(E34,$AE$11:$AJ$14,6,0)),0)</f>
        <v/>
      </c>
      <c r="AW34" s="119">
        <f>AR34*AT34</f>
        <v/>
      </c>
      <c r="AX34" s="119">
        <f>AR34*AU34</f>
        <v/>
      </c>
    </row>
    <row r="35">
      <c r="A35" s="32" t="n">
        <v>25</v>
      </c>
      <c r="B35" s="33" t="n"/>
      <c r="C35" s="33" t="n"/>
      <c r="D35" s="33" t="n"/>
      <c r="E35" s="33" t="inlineStr">
        <is>
          <t>-</t>
        </is>
      </c>
      <c r="F35" s="54">
        <f>IFERROR((VLOOKUP(E35,$AE$11:$AG$14,3,0)),"-")</f>
        <v/>
      </c>
      <c r="G35" s="33" t="n"/>
      <c r="H35" s="33" t="n"/>
      <c r="I35" s="46" t="n"/>
      <c r="J35" s="35" t="n"/>
      <c r="K35" s="35" t="n"/>
      <c r="L35" s="36">
        <f>IF($H$4="-",0,IF($H$4="VAREJO",AW35,IF($H$4="ATACADO",AX35,0)))</f>
        <v/>
      </c>
      <c r="M35" s="33" t="n"/>
      <c r="AN35" s="47" t="n">
        <v>25</v>
      </c>
      <c r="AO35" s="117">
        <f>I35+(I35*J35)+(I35*K35)</f>
        <v/>
      </c>
      <c r="AP35" s="43">
        <f>IFERROR(VLOOKUP(E35,$AE$11:$AK$14,4,0),0)</f>
        <v/>
      </c>
      <c r="AQ35" s="117">
        <f>(I35+(I35*J35)+(I35*K35))*AP35</f>
        <v/>
      </c>
      <c r="AR35" s="118">
        <f>AO35+AQ35</f>
        <v/>
      </c>
      <c r="AT35" s="39">
        <f>IFERROR((VLOOKUP(E35,$AE$11:$AJ$14,5,0)),0)</f>
        <v/>
      </c>
      <c r="AU35" s="39">
        <f>IFERROR((VLOOKUP(E35,$AE$11:$AJ$14,6,0)),0)</f>
        <v/>
      </c>
      <c r="AW35" s="119">
        <f>AR35*AT35</f>
        <v/>
      </c>
      <c r="AX35" s="119">
        <f>AR35*AU35</f>
        <v/>
      </c>
    </row>
    <row r="36">
      <c r="A36" s="32" t="n">
        <v>26</v>
      </c>
      <c r="B36" s="33" t="n"/>
      <c r="C36" s="33" t="n"/>
      <c r="D36" s="33" t="n"/>
      <c r="E36" s="33" t="inlineStr">
        <is>
          <t>-</t>
        </is>
      </c>
      <c r="F36" s="54">
        <f>IFERROR((VLOOKUP(E36,$AE$11:$AG$14,3,0)),"-")</f>
        <v/>
      </c>
      <c r="G36" s="33" t="n"/>
      <c r="H36" s="33" t="n"/>
      <c r="I36" s="46" t="n"/>
      <c r="J36" s="35" t="n"/>
      <c r="K36" s="35" t="n"/>
      <c r="L36" s="36">
        <f>IF($H$4="-",0,IF($H$4="VAREJO",AW36,IF($H$4="ATACADO",AX36,0)))</f>
        <v/>
      </c>
      <c r="M36" s="33" t="n"/>
      <c r="AN36" s="47" t="n">
        <v>26</v>
      </c>
      <c r="AO36" s="117">
        <f>I36+(I36*J36)+(I36*K36)</f>
        <v/>
      </c>
      <c r="AP36" s="43">
        <f>IFERROR(VLOOKUP(E36,$AE$11:$AK$14,4,0),0)</f>
        <v/>
      </c>
      <c r="AQ36" s="117">
        <f>(I36+(I36*J36)+(I36*K36))*AP36</f>
        <v/>
      </c>
      <c r="AR36" s="118">
        <f>AO36+AQ36</f>
        <v/>
      </c>
      <c r="AT36" s="39">
        <f>IFERROR((VLOOKUP(E36,$AE$11:$AJ$14,5,0)),0)</f>
        <v/>
      </c>
      <c r="AU36" s="39">
        <f>IFERROR((VLOOKUP(E36,$AE$11:$AJ$14,6,0)),0)</f>
        <v/>
      </c>
      <c r="AW36" s="119">
        <f>AR36*AT36</f>
        <v/>
      </c>
      <c r="AX36" s="119">
        <f>AR36*AU36</f>
        <v/>
      </c>
    </row>
    <row r="37">
      <c r="A37" s="32" t="n">
        <v>27</v>
      </c>
      <c r="B37" s="33" t="n"/>
      <c r="C37" s="33" t="n"/>
      <c r="D37" s="33" t="n"/>
      <c r="E37" s="33" t="inlineStr">
        <is>
          <t>-</t>
        </is>
      </c>
      <c r="F37" s="54">
        <f>IFERROR((VLOOKUP(E37,$AE$11:$AG$14,3,0)),"-")</f>
        <v/>
      </c>
      <c r="G37" s="33" t="n"/>
      <c r="H37" s="33" t="n"/>
      <c r="I37" s="46" t="n"/>
      <c r="J37" s="35" t="n"/>
      <c r="K37" s="35" t="n"/>
      <c r="L37" s="36">
        <f>IF($H$4="-",0,IF($H$4="VAREJO",AW37,IF($H$4="ATACADO",AX37,0)))</f>
        <v/>
      </c>
      <c r="M37" s="33" t="n"/>
      <c r="AN37" s="47" t="n">
        <v>27</v>
      </c>
      <c r="AO37" s="117">
        <f>I37+(I37*J37)+(I37*K37)</f>
        <v/>
      </c>
      <c r="AP37" s="43">
        <f>IFERROR(VLOOKUP(E37,$AE$11:$AK$14,4,0),0)</f>
        <v/>
      </c>
      <c r="AQ37" s="117">
        <f>(I37+(I37*J37)+(I37*K37))*AP37</f>
        <v/>
      </c>
      <c r="AR37" s="118">
        <f>AO37+AQ37</f>
        <v/>
      </c>
      <c r="AT37" s="39">
        <f>IFERROR((VLOOKUP(E37,$AE$11:$AJ$14,5,0)),0)</f>
        <v/>
      </c>
      <c r="AU37" s="39">
        <f>IFERROR((VLOOKUP(E37,$AE$11:$AJ$14,6,0)),0)</f>
        <v/>
      </c>
      <c r="AW37" s="119">
        <f>AR37*AT37</f>
        <v/>
      </c>
      <c r="AX37" s="119">
        <f>AR37*AU37</f>
        <v/>
      </c>
    </row>
    <row r="38">
      <c r="A38" s="32" t="n">
        <v>28</v>
      </c>
      <c r="B38" s="33" t="n"/>
      <c r="C38" s="33" t="n"/>
      <c r="D38" s="33" t="n"/>
      <c r="E38" s="33" t="inlineStr">
        <is>
          <t>-</t>
        </is>
      </c>
      <c r="F38" s="54">
        <f>IFERROR((VLOOKUP(E38,$AE$11:$AG$14,3,0)),"-")</f>
        <v/>
      </c>
      <c r="G38" s="33" t="n"/>
      <c r="H38" s="33" t="n"/>
      <c r="I38" s="46" t="n"/>
      <c r="J38" s="35" t="n"/>
      <c r="K38" s="35" t="n"/>
      <c r="L38" s="36">
        <f>IF($H$4="-",0,IF($H$4="VAREJO",AW38,IF($H$4="ATACADO",AX38,0)))</f>
        <v/>
      </c>
      <c r="M38" s="33" t="n"/>
      <c r="AN38" s="47" t="n">
        <v>28</v>
      </c>
      <c r="AO38" s="117">
        <f>I38+(I38*J38)+(I38*K38)</f>
        <v/>
      </c>
      <c r="AP38" s="43">
        <f>IFERROR(VLOOKUP(E38,$AE$11:$AK$14,4,0),0)</f>
        <v/>
      </c>
      <c r="AQ38" s="117">
        <f>(I38+(I38*J38)+(I38*K38))*AP38</f>
        <v/>
      </c>
      <c r="AR38" s="118">
        <f>AO38+AQ38</f>
        <v/>
      </c>
      <c r="AT38" s="39">
        <f>IFERROR((VLOOKUP(E38,$AE$11:$AJ$14,5,0)),0)</f>
        <v/>
      </c>
      <c r="AU38" s="39">
        <f>IFERROR((VLOOKUP(E38,$AE$11:$AJ$14,6,0)),0)</f>
        <v/>
      </c>
      <c r="AW38" s="119">
        <f>AR38*AT38</f>
        <v/>
      </c>
      <c r="AX38" s="119">
        <f>AR38*AU38</f>
        <v/>
      </c>
    </row>
    <row r="39">
      <c r="A39" s="32" t="n">
        <v>29</v>
      </c>
      <c r="B39" s="33" t="n"/>
      <c r="C39" s="33" t="n"/>
      <c r="D39" s="33" t="n"/>
      <c r="E39" s="33" t="inlineStr">
        <is>
          <t>-</t>
        </is>
      </c>
      <c r="F39" s="54">
        <f>IFERROR((VLOOKUP(E39,$AE$11:$AG$14,3,0)),"-")</f>
        <v/>
      </c>
      <c r="G39" s="33" t="n"/>
      <c r="H39" s="33" t="n"/>
      <c r="I39" s="46" t="n"/>
      <c r="J39" s="35" t="n"/>
      <c r="K39" s="35" t="n"/>
      <c r="L39" s="36">
        <f>IF($H$4="-",0,IF($H$4="VAREJO",AW39,IF($H$4="ATACADO",AX39,0)))</f>
        <v/>
      </c>
      <c r="M39" s="33" t="n"/>
      <c r="AN39" s="47" t="n">
        <v>29</v>
      </c>
      <c r="AO39" s="117">
        <f>I39+(I39*J39)+(I39*K39)</f>
        <v/>
      </c>
      <c r="AP39" s="43">
        <f>IFERROR(VLOOKUP(E39,$AE$11:$AK$14,4,0),0)</f>
        <v/>
      </c>
      <c r="AQ39" s="117">
        <f>(I39+(I39*J39)+(I39*K39))*AP39</f>
        <v/>
      </c>
      <c r="AR39" s="118">
        <f>AO39+AQ39</f>
        <v/>
      </c>
      <c r="AT39" s="39">
        <f>IFERROR((VLOOKUP(E39,$AE$11:$AJ$14,5,0)),0)</f>
        <v/>
      </c>
      <c r="AU39" s="39">
        <f>IFERROR((VLOOKUP(E39,$AE$11:$AJ$14,6,0)),0)</f>
        <v/>
      </c>
      <c r="AW39" s="119">
        <f>AR39*AT39</f>
        <v/>
      </c>
      <c r="AX39" s="119">
        <f>AR39*AU39</f>
        <v/>
      </c>
    </row>
    <row r="40">
      <c r="A40" s="32" t="n">
        <v>30</v>
      </c>
      <c r="B40" s="33" t="n"/>
      <c r="C40" s="33" t="n"/>
      <c r="D40" s="33" t="n"/>
      <c r="E40" s="33" t="inlineStr">
        <is>
          <t>-</t>
        </is>
      </c>
      <c r="F40" s="54">
        <f>IFERROR((VLOOKUP(E40,$AE$11:$AG$14,3,0)),"-")</f>
        <v/>
      </c>
      <c r="G40" s="33" t="n"/>
      <c r="H40" s="33" t="n"/>
      <c r="I40" s="46" t="n"/>
      <c r="J40" s="35" t="n"/>
      <c r="K40" s="35" t="n"/>
      <c r="L40" s="36">
        <f>IF($H$4="-",0,IF($H$4="VAREJO",AW40,IF($H$4="ATACADO",AX40,0)))</f>
        <v/>
      </c>
      <c r="M40" s="33" t="n"/>
      <c r="AN40" s="47" t="n">
        <v>30</v>
      </c>
      <c r="AO40" s="117">
        <f>I40+(I40*J40)+(I40*K40)</f>
        <v/>
      </c>
      <c r="AP40" s="43">
        <f>IFERROR(VLOOKUP(E40,$AE$11:$AK$14,4,0),0)</f>
        <v/>
      </c>
      <c r="AQ40" s="117">
        <f>(I40+(I40*J40)+(I40*K40))*AP40</f>
        <v/>
      </c>
      <c r="AR40" s="118">
        <f>AO40+AQ40</f>
        <v/>
      </c>
      <c r="AT40" s="39">
        <f>IFERROR((VLOOKUP(E40,$AE$11:$AJ$14,5,0)),0)</f>
        <v/>
      </c>
      <c r="AU40" s="39">
        <f>IFERROR((VLOOKUP(E40,$AE$11:$AJ$14,6,0)),0)</f>
        <v/>
      </c>
      <c r="AW40" s="119">
        <f>AR40*AT40</f>
        <v/>
      </c>
      <c r="AX40" s="119">
        <f>AR40*AU40</f>
        <v/>
      </c>
    </row>
    <row r="41">
      <c r="A41" s="32" t="n">
        <v>31</v>
      </c>
      <c r="B41" s="33" t="n"/>
      <c r="C41" s="33" t="n"/>
      <c r="D41" s="33" t="n"/>
      <c r="E41" s="33" t="inlineStr">
        <is>
          <t>-</t>
        </is>
      </c>
      <c r="F41" s="54">
        <f>IFERROR((VLOOKUP(E41,$AE$11:$AG$14,3,0)),"-")</f>
        <v/>
      </c>
      <c r="G41" s="33" t="n"/>
      <c r="H41" s="33" t="n"/>
      <c r="I41" s="46" t="n"/>
      <c r="J41" s="35" t="n"/>
      <c r="K41" s="35" t="n"/>
      <c r="L41" s="36">
        <f>IF($H$4="-",0,IF($H$4="VAREJO",AW41,IF($H$4="ATACADO",AX41,0)))</f>
        <v/>
      </c>
      <c r="M41" s="33" t="n"/>
      <c r="AN41" s="47" t="n">
        <v>31</v>
      </c>
      <c r="AO41" s="117">
        <f>I41+(I41*J41)+(I41*K41)</f>
        <v/>
      </c>
      <c r="AP41" s="43">
        <f>IFERROR(VLOOKUP(E41,$AE$11:$AK$14,4,0),0)</f>
        <v/>
      </c>
      <c r="AQ41" s="117">
        <f>(I41+(I41*J41)+(I41*K41))*AP41</f>
        <v/>
      </c>
      <c r="AR41" s="118">
        <f>AO41+AQ41</f>
        <v/>
      </c>
      <c r="AT41" s="39">
        <f>IFERROR((VLOOKUP(E41,$AE$11:$AJ$14,5,0)),0)</f>
        <v/>
      </c>
      <c r="AU41" s="39">
        <f>IFERROR((VLOOKUP(E41,$AE$11:$AJ$14,6,0)),0)</f>
        <v/>
      </c>
      <c r="AW41" s="119">
        <f>AR41*AT41</f>
        <v/>
      </c>
      <c r="AX41" s="119">
        <f>AR41*AU41</f>
        <v/>
      </c>
    </row>
    <row r="42">
      <c r="A42" s="32" t="n">
        <v>32</v>
      </c>
      <c r="B42" s="33" t="n"/>
      <c r="C42" s="33" t="n"/>
      <c r="D42" s="33" t="n"/>
      <c r="E42" s="33" t="inlineStr">
        <is>
          <t>-</t>
        </is>
      </c>
      <c r="F42" s="54">
        <f>IFERROR((VLOOKUP(E42,$AE$11:$AG$14,3,0)),"-")</f>
        <v/>
      </c>
      <c r="G42" s="33" t="n"/>
      <c r="H42" s="33" t="n"/>
      <c r="I42" s="46" t="n"/>
      <c r="J42" s="35" t="n"/>
      <c r="K42" s="35" t="n"/>
      <c r="L42" s="36">
        <f>IF($H$4="-",0,IF($H$4="VAREJO",AW42,IF($H$4="ATACADO",AX42,0)))</f>
        <v/>
      </c>
      <c r="M42" s="33" t="n"/>
      <c r="AN42" s="47" t="n">
        <v>32</v>
      </c>
      <c r="AO42" s="117">
        <f>I42+(I42*J42)+(I42*K42)</f>
        <v/>
      </c>
      <c r="AP42" s="43">
        <f>IFERROR(VLOOKUP(E42,$AE$11:$AK$14,4,0),0)</f>
        <v/>
      </c>
      <c r="AQ42" s="117">
        <f>(I42+(I42*J42)+(I42*K42))*AP42</f>
        <v/>
      </c>
      <c r="AR42" s="118">
        <f>AO42+AQ42</f>
        <v/>
      </c>
      <c r="AT42" s="39">
        <f>IFERROR((VLOOKUP(E42,$AE$11:$AJ$14,5,0)),0)</f>
        <v/>
      </c>
      <c r="AU42" s="39">
        <f>IFERROR((VLOOKUP(E42,$AE$11:$AJ$14,6,0)),0)</f>
        <v/>
      </c>
      <c r="AW42" s="119">
        <f>AR42*AT42</f>
        <v/>
      </c>
      <c r="AX42" s="119">
        <f>AR42*AU42</f>
        <v/>
      </c>
    </row>
    <row r="43">
      <c r="A43" s="32" t="n">
        <v>33</v>
      </c>
      <c r="B43" s="33" t="n"/>
      <c r="C43" s="33" t="n"/>
      <c r="D43" s="33" t="n"/>
      <c r="E43" s="33" t="inlineStr">
        <is>
          <t>-</t>
        </is>
      </c>
      <c r="F43" s="54">
        <f>IFERROR((VLOOKUP(E43,$AE$11:$AG$14,3,0)),"-")</f>
        <v/>
      </c>
      <c r="G43" s="33" t="n"/>
      <c r="H43" s="33" t="n"/>
      <c r="I43" s="46" t="n"/>
      <c r="J43" s="35" t="n"/>
      <c r="K43" s="35" t="n"/>
      <c r="L43" s="36">
        <f>IF($H$4="-",0,IF($H$4="VAREJO",AW43,IF($H$4="ATACADO",AX43,0)))</f>
        <v/>
      </c>
      <c r="M43" s="33" t="n"/>
      <c r="AN43" s="47" t="n">
        <v>33</v>
      </c>
      <c r="AO43" s="117">
        <f>I43+(I43*J43)+(I43*K43)</f>
        <v/>
      </c>
      <c r="AP43" s="43">
        <f>IFERROR(VLOOKUP(E43,$AE$11:$AK$14,4,0),0)</f>
        <v/>
      </c>
      <c r="AQ43" s="117">
        <f>(I43+(I43*J43)+(I43*K43))*AP43</f>
        <v/>
      </c>
      <c r="AR43" s="118">
        <f>AO43+AQ43</f>
        <v/>
      </c>
      <c r="AT43" s="39">
        <f>IFERROR((VLOOKUP(E43,$AE$11:$AJ$14,5,0)),0)</f>
        <v/>
      </c>
      <c r="AU43" s="39">
        <f>IFERROR((VLOOKUP(E43,$AE$11:$AJ$14,6,0)),0)</f>
        <v/>
      </c>
      <c r="AW43" s="119">
        <f>AR43*AT43</f>
        <v/>
      </c>
      <c r="AX43" s="119">
        <f>AR43*AU43</f>
        <v/>
      </c>
    </row>
    <row r="44">
      <c r="A44" s="32" t="n">
        <v>34</v>
      </c>
      <c r="B44" s="33" t="n"/>
      <c r="C44" s="33" t="n"/>
      <c r="D44" s="33" t="n"/>
      <c r="E44" s="33" t="inlineStr">
        <is>
          <t>-</t>
        </is>
      </c>
      <c r="F44" s="54">
        <f>IFERROR((VLOOKUP(E44,$AE$11:$AG$14,3,0)),"-")</f>
        <v/>
      </c>
      <c r="G44" s="33" t="n"/>
      <c r="H44" s="33" t="n"/>
      <c r="I44" s="46" t="n"/>
      <c r="J44" s="35" t="n"/>
      <c r="K44" s="35" t="n"/>
      <c r="L44" s="36">
        <f>IF($H$4="-",0,IF($H$4="VAREJO",AW44,IF($H$4="ATACADO",AX44,0)))</f>
        <v/>
      </c>
      <c r="M44" s="33" t="n"/>
      <c r="AN44" s="47" t="n">
        <v>34</v>
      </c>
      <c r="AO44" s="117">
        <f>I44+(I44*J44)+(I44*K44)</f>
        <v/>
      </c>
      <c r="AP44" s="43">
        <f>IFERROR(VLOOKUP(E44,$AE$11:$AK$14,4,0),0)</f>
        <v/>
      </c>
      <c r="AQ44" s="117">
        <f>(I44+(I44*J44)+(I44*K44))*AP44</f>
        <v/>
      </c>
      <c r="AR44" s="118">
        <f>AO44+AQ44</f>
        <v/>
      </c>
      <c r="AT44" s="39">
        <f>IFERROR((VLOOKUP(E44,$AE$11:$AJ$14,5,0)),0)</f>
        <v/>
      </c>
      <c r="AU44" s="39">
        <f>IFERROR((VLOOKUP(E44,$AE$11:$AJ$14,6,0)),0)</f>
        <v/>
      </c>
      <c r="AW44" s="119">
        <f>AR44*AT44</f>
        <v/>
      </c>
      <c r="AX44" s="119">
        <f>AR44*AU44</f>
        <v/>
      </c>
    </row>
    <row r="45">
      <c r="A45" s="32" t="n">
        <v>35</v>
      </c>
      <c r="B45" s="33" t="n"/>
      <c r="C45" s="33" t="n"/>
      <c r="D45" s="33" t="n"/>
      <c r="E45" s="33" t="inlineStr">
        <is>
          <t>-</t>
        </is>
      </c>
      <c r="F45" s="54">
        <f>IFERROR((VLOOKUP(E45,$AE$11:$AG$14,3,0)),"-")</f>
        <v/>
      </c>
      <c r="G45" s="33" t="n"/>
      <c r="H45" s="33" t="n"/>
      <c r="I45" s="46" t="n"/>
      <c r="J45" s="35" t="n"/>
      <c r="K45" s="35" t="n"/>
      <c r="L45" s="36">
        <f>IF($H$4="-",0,IF($H$4="VAREJO",AW45,IF($H$4="ATACADO",AX45,0)))</f>
        <v/>
      </c>
      <c r="M45" s="33" t="n"/>
      <c r="AN45" s="47" t="n">
        <v>35</v>
      </c>
      <c r="AO45" s="117">
        <f>I45+(I45*J45)+(I45*K45)</f>
        <v/>
      </c>
      <c r="AP45" s="43">
        <f>IFERROR(VLOOKUP(E45,$AE$11:$AK$14,4,0),0)</f>
        <v/>
      </c>
      <c r="AQ45" s="117">
        <f>(I45+(I45*J45)+(I45*K45))*AP45</f>
        <v/>
      </c>
      <c r="AR45" s="118">
        <f>AO45+AQ45</f>
        <v/>
      </c>
      <c r="AT45" s="39">
        <f>IFERROR((VLOOKUP(E45,$AE$11:$AJ$14,5,0)),0)</f>
        <v/>
      </c>
      <c r="AU45" s="39">
        <f>IFERROR((VLOOKUP(E45,$AE$11:$AJ$14,6,0)),0)</f>
        <v/>
      </c>
      <c r="AW45" s="119">
        <f>AR45*AT45</f>
        <v/>
      </c>
      <c r="AX45" s="119">
        <f>AR45*AU45</f>
        <v/>
      </c>
    </row>
    <row r="46">
      <c r="A46" s="32" t="n">
        <v>36</v>
      </c>
      <c r="B46" s="33" t="n"/>
      <c r="C46" s="33" t="n"/>
      <c r="D46" s="33" t="n"/>
      <c r="E46" s="33" t="inlineStr">
        <is>
          <t>-</t>
        </is>
      </c>
      <c r="F46" s="54">
        <f>IFERROR((VLOOKUP(E46,$AE$11:$AG$14,3,0)),"-")</f>
        <v/>
      </c>
      <c r="G46" s="33" t="n"/>
      <c r="H46" s="33" t="n"/>
      <c r="I46" s="46" t="n"/>
      <c r="J46" s="35" t="n"/>
      <c r="K46" s="35" t="n"/>
      <c r="L46" s="36">
        <f>IF($H$4="-",0,IF($H$4="VAREJO",AW46,IF($H$4="ATACADO",AX46,0)))</f>
        <v/>
      </c>
      <c r="M46" s="33" t="n"/>
      <c r="AN46" s="47" t="n">
        <v>36</v>
      </c>
      <c r="AO46" s="117">
        <f>I46+(I46*J46)+(I46*K46)</f>
        <v/>
      </c>
      <c r="AP46" s="43">
        <f>IFERROR(VLOOKUP(E46,$AE$11:$AK$14,4,0),0)</f>
        <v/>
      </c>
      <c r="AQ46" s="117">
        <f>(I46+(I46*J46)+(I46*K46))*AP46</f>
        <v/>
      </c>
      <c r="AR46" s="118">
        <f>AO46+AQ46</f>
        <v/>
      </c>
      <c r="AT46" s="39">
        <f>IFERROR((VLOOKUP(E46,$AE$11:$AJ$14,5,0)),0)</f>
        <v/>
      </c>
      <c r="AU46" s="39">
        <f>IFERROR((VLOOKUP(E46,$AE$11:$AJ$14,6,0)),0)</f>
        <v/>
      </c>
      <c r="AW46" s="119">
        <f>AR46*AT46</f>
        <v/>
      </c>
      <c r="AX46" s="119">
        <f>AR46*AU46</f>
        <v/>
      </c>
    </row>
    <row r="47">
      <c r="A47" s="32" t="n">
        <v>37</v>
      </c>
      <c r="B47" s="33" t="n"/>
      <c r="C47" s="33" t="n"/>
      <c r="D47" s="33" t="n"/>
      <c r="E47" s="33" t="inlineStr">
        <is>
          <t>-</t>
        </is>
      </c>
      <c r="F47" s="54">
        <f>IFERROR((VLOOKUP(E47,$AE$11:$AG$14,3,0)),"-")</f>
        <v/>
      </c>
      <c r="G47" s="33" t="n"/>
      <c r="H47" s="33" t="n"/>
      <c r="I47" s="46" t="n"/>
      <c r="J47" s="35" t="n"/>
      <c r="K47" s="35" t="n"/>
      <c r="L47" s="36">
        <f>IF($H$4="-",0,IF($H$4="VAREJO",AW47,IF($H$4="ATACADO",AX47,0)))</f>
        <v/>
      </c>
      <c r="M47" s="33" t="n"/>
      <c r="AN47" s="47" t="n">
        <v>37</v>
      </c>
      <c r="AO47" s="117">
        <f>I47+(I47*J47)+(I47*K47)</f>
        <v/>
      </c>
      <c r="AP47" s="43">
        <f>IFERROR(VLOOKUP(E47,$AE$11:$AK$14,4,0),0)</f>
        <v/>
      </c>
      <c r="AQ47" s="117">
        <f>(I47+(I47*J47)+(I47*K47))*AP47</f>
        <v/>
      </c>
      <c r="AR47" s="118">
        <f>AO47+AQ47</f>
        <v/>
      </c>
      <c r="AT47" s="39">
        <f>IFERROR((VLOOKUP(E47,$AE$11:$AJ$14,5,0)),0)</f>
        <v/>
      </c>
      <c r="AU47" s="39">
        <f>IFERROR((VLOOKUP(E47,$AE$11:$AJ$14,6,0)),0)</f>
        <v/>
      </c>
      <c r="AW47" s="119">
        <f>AR47*AT47</f>
        <v/>
      </c>
      <c r="AX47" s="119">
        <f>AR47*AU47</f>
        <v/>
      </c>
    </row>
    <row r="48">
      <c r="A48" s="32" t="n">
        <v>38</v>
      </c>
      <c r="B48" s="33" t="n"/>
      <c r="C48" s="33" t="n"/>
      <c r="D48" s="33" t="n"/>
      <c r="E48" s="33" t="inlineStr">
        <is>
          <t>-</t>
        </is>
      </c>
      <c r="F48" s="54">
        <f>IFERROR((VLOOKUP(E48,$AE$11:$AG$14,3,0)),"-")</f>
        <v/>
      </c>
      <c r="G48" s="33" t="n"/>
      <c r="H48" s="33" t="n"/>
      <c r="I48" s="46" t="n"/>
      <c r="J48" s="35" t="n"/>
      <c r="K48" s="35" t="n"/>
      <c r="L48" s="36">
        <f>IF($H$4="-",0,IF($H$4="VAREJO",AW48,IF($H$4="ATACADO",AX48,0)))</f>
        <v/>
      </c>
      <c r="M48" s="33" t="n"/>
      <c r="AN48" s="47" t="n">
        <v>38</v>
      </c>
      <c r="AO48" s="117">
        <f>I48+(I48*J48)+(I48*K48)</f>
        <v/>
      </c>
      <c r="AP48" s="43">
        <f>IFERROR(VLOOKUP(E48,$AE$11:$AK$14,4,0),0)</f>
        <v/>
      </c>
      <c r="AQ48" s="117">
        <f>(I48+(I48*J48)+(I48*K48))*AP48</f>
        <v/>
      </c>
      <c r="AR48" s="118">
        <f>AO48+AQ48</f>
        <v/>
      </c>
      <c r="AT48" s="39">
        <f>IFERROR((VLOOKUP(E48,$AE$11:$AJ$14,5,0)),0)</f>
        <v/>
      </c>
      <c r="AU48" s="39">
        <f>IFERROR((VLOOKUP(E48,$AE$11:$AJ$14,6,0)),0)</f>
        <v/>
      </c>
      <c r="AW48" s="119">
        <f>AR48*AT48</f>
        <v/>
      </c>
      <c r="AX48" s="119">
        <f>AR48*AU48</f>
        <v/>
      </c>
    </row>
    <row r="49">
      <c r="A49" s="32" t="n">
        <v>39</v>
      </c>
      <c r="B49" s="33" t="n"/>
      <c r="C49" s="33" t="n"/>
      <c r="D49" s="33" t="n"/>
      <c r="E49" s="33" t="inlineStr">
        <is>
          <t>-</t>
        </is>
      </c>
      <c r="F49" s="54">
        <f>IFERROR((VLOOKUP(E49,$AE$11:$AG$14,3,0)),"-")</f>
        <v/>
      </c>
      <c r="G49" s="33" t="n"/>
      <c r="H49" s="33" t="n"/>
      <c r="I49" s="46" t="n"/>
      <c r="J49" s="35" t="n"/>
      <c r="K49" s="35" t="n"/>
      <c r="L49" s="36">
        <f>IF($H$4="-",0,IF($H$4="VAREJO",AW49,IF($H$4="ATACADO",AX49,0)))</f>
        <v/>
      </c>
      <c r="M49" s="33" t="n"/>
      <c r="AN49" s="47" t="n">
        <v>39</v>
      </c>
      <c r="AO49" s="117">
        <f>I49+(I49*J49)+(I49*K49)</f>
        <v/>
      </c>
      <c r="AP49" s="43">
        <f>IFERROR(VLOOKUP(E49,$AE$11:$AK$14,4,0),0)</f>
        <v/>
      </c>
      <c r="AQ49" s="117">
        <f>(I49+(I49*J49)+(I49*K49))*AP49</f>
        <v/>
      </c>
      <c r="AR49" s="118">
        <f>AO49+AQ49</f>
        <v/>
      </c>
      <c r="AT49" s="39">
        <f>IFERROR((VLOOKUP(E49,$AE$11:$AJ$14,5,0)),0)</f>
        <v/>
      </c>
      <c r="AU49" s="39">
        <f>IFERROR((VLOOKUP(E49,$AE$11:$AJ$14,6,0)),0)</f>
        <v/>
      </c>
      <c r="AW49" s="119">
        <f>AR49*AT49</f>
        <v/>
      </c>
      <c r="AX49" s="119">
        <f>AR49*AU49</f>
        <v/>
      </c>
    </row>
    <row r="50">
      <c r="A50" s="32" t="n">
        <v>40</v>
      </c>
      <c r="B50" s="33" t="n"/>
      <c r="C50" s="33" t="n"/>
      <c r="D50" s="33" t="n"/>
      <c r="E50" s="33" t="inlineStr">
        <is>
          <t>-</t>
        </is>
      </c>
      <c r="F50" s="54">
        <f>IFERROR((VLOOKUP(E50,$AE$11:$AG$14,3,0)),"-")</f>
        <v/>
      </c>
      <c r="G50" s="33" t="n"/>
      <c r="H50" s="33" t="n"/>
      <c r="I50" s="46" t="n"/>
      <c r="J50" s="35" t="n"/>
      <c r="K50" s="35" t="n"/>
      <c r="L50" s="36">
        <f>IF($H$4="-",0,IF($H$4="VAREJO",AW50,IF($H$4="ATACADO",AX50,0)))</f>
        <v/>
      </c>
      <c r="M50" s="33" t="n"/>
      <c r="AN50" s="47" t="n">
        <v>40</v>
      </c>
      <c r="AO50" s="117">
        <f>I50+(I50*J50)+(I50*K50)</f>
        <v/>
      </c>
      <c r="AP50" s="43">
        <f>IFERROR(VLOOKUP(E50,$AE$11:$AK$14,4,0),0)</f>
        <v/>
      </c>
      <c r="AQ50" s="117">
        <f>(I50+(I50*J50)+(I50*K50))*AP50</f>
        <v/>
      </c>
      <c r="AR50" s="118">
        <f>AO50+AQ50</f>
        <v/>
      </c>
      <c r="AT50" s="39">
        <f>IFERROR((VLOOKUP(E50,$AE$11:$AJ$14,5,0)),0)</f>
        <v/>
      </c>
      <c r="AU50" s="39">
        <f>IFERROR((VLOOKUP(E50,$AE$11:$AJ$14,6,0)),0)</f>
        <v/>
      </c>
      <c r="AW50" s="119">
        <f>AR50*AT50</f>
        <v/>
      </c>
      <c r="AX50" s="119">
        <f>AR50*AU50</f>
        <v/>
      </c>
    </row>
    <row r="51">
      <c r="A51" s="32" t="n">
        <v>41</v>
      </c>
      <c r="B51" s="33" t="n"/>
      <c r="C51" s="33" t="n"/>
      <c r="D51" s="33" t="n"/>
      <c r="E51" s="33" t="inlineStr">
        <is>
          <t>-</t>
        </is>
      </c>
      <c r="F51" s="54">
        <f>IFERROR((VLOOKUP(E51,$AE$11:$AG$14,3,0)),"-")</f>
        <v/>
      </c>
      <c r="G51" s="33" t="n"/>
      <c r="H51" s="33" t="n"/>
      <c r="I51" s="46" t="n"/>
      <c r="J51" s="35" t="n"/>
      <c r="K51" s="35" t="n"/>
      <c r="L51" s="36">
        <f>IF($H$4="-",0,IF($H$4="VAREJO",AW51,IF($H$4="ATACADO",AX51,0)))</f>
        <v/>
      </c>
      <c r="M51" s="33" t="n"/>
      <c r="AN51" s="47" t="n">
        <v>41</v>
      </c>
      <c r="AO51" s="117">
        <f>I51+(I51*J51)+(I51*K51)</f>
        <v/>
      </c>
      <c r="AP51" s="43">
        <f>IFERROR(VLOOKUP(E51,$AE$11:$AK$14,4,0),0)</f>
        <v/>
      </c>
      <c r="AQ51" s="117">
        <f>(I51+(I51*J51)+(I51*K51))*AP51</f>
        <v/>
      </c>
      <c r="AR51" s="118">
        <f>AO51+AQ51</f>
        <v/>
      </c>
      <c r="AT51" s="39">
        <f>IFERROR((VLOOKUP(E51,$AE$11:$AJ$14,5,0)),0)</f>
        <v/>
      </c>
      <c r="AU51" s="39">
        <f>IFERROR((VLOOKUP(E51,$AE$11:$AJ$14,6,0)),0)</f>
        <v/>
      </c>
      <c r="AW51" s="119">
        <f>AR51*AT51</f>
        <v/>
      </c>
      <c r="AX51" s="119">
        <f>AR51*AU51</f>
        <v/>
      </c>
    </row>
    <row r="52">
      <c r="A52" s="32" t="n">
        <v>42</v>
      </c>
      <c r="B52" s="33" t="n"/>
      <c r="C52" s="33" t="n"/>
      <c r="D52" s="33" t="n"/>
      <c r="E52" s="33" t="inlineStr">
        <is>
          <t>-</t>
        </is>
      </c>
      <c r="F52" s="54">
        <f>IFERROR((VLOOKUP(E52,$AE$11:$AG$14,3,0)),"-")</f>
        <v/>
      </c>
      <c r="G52" s="33" t="n"/>
      <c r="H52" s="33" t="n"/>
      <c r="I52" s="46" t="n"/>
      <c r="J52" s="35" t="n"/>
      <c r="K52" s="35" t="n"/>
      <c r="L52" s="36">
        <f>IF($H$4="-",0,IF($H$4="VAREJO",AW52,IF($H$4="ATACADO",AX52,0)))</f>
        <v/>
      </c>
      <c r="M52" s="33" t="n"/>
      <c r="AN52" s="47" t="n">
        <v>42</v>
      </c>
      <c r="AO52" s="117">
        <f>I52+(I52*J52)+(I52*K52)</f>
        <v/>
      </c>
      <c r="AP52" s="43">
        <f>IFERROR(VLOOKUP(E52,$AE$11:$AK$14,4,0),0)</f>
        <v/>
      </c>
      <c r="AQ52" s="117">
        <f>(I52+(I52*J52)+(I52*K52))*AP52</f>
        <v/>
      </c>
      <c r="AR52" s="118">
        <f>AO52+AQ52</f>
        <v/>
      </c>
      <c r="AT52" s="39">
        <f>IFERROR((VLOOKUP(E52,$AE$11:$AJ$14,5,0)),0)</f>
        <v/>
      </c>
      <c r="AU52" s="39">
        <f>IFERROR((VLOOKUP(E52,$AE$11:$AJ$14,6,0)),0)</f>
        <v/>
      </c>
      <c r="AW52" s="119">
        <f>AR52*AT52</f>
        <v/>
      </c>
      <c r="AX52" s="119">
        <f>AR52*AU52</f>
        <v/>
      </c>
    </row>
    <row r="53">
      <c r="A53" s="32" t="n">
        <v>43</v>
      </c>
      <c r="B53" s="33" t="n"/>
      <c r="C53" s="33" t="n"/>
      <c r="D53" s="33" t="n"/>
      <c r="E53" s="33" t="inlineStr">
        <is>
          <t>-</t>
        </is>
      </c>
      <c r="F53" s="54">
        <f>IFERROR((VLOOKUP(E53,$AE$11:$AG$14,3,0)),"-")</f>
        <v/>
      </c>
      <c r="G53" s="33" t="n"/>
      <c r="H53" s="33" t="n"/>
      <c r="I53" s="46" t="n"/>
      <c r="J53" s="35" t="n"/>
      <c r="K53" s="35" t="n"/>
      <c r="L53" s="36">
        <f>IF($H$4="-",0,IF($H$4="VAREJO",AW53,IF($H$4="ATACADO",AX53,0)))</f>
        <v/>
      </c>
      <c r="M53" s="33" t="n"/>
      <c r="AN53" s="47" t="n">
        <v>43</v>
      </c>
      <c r="AO53" s="117">
        <f>I53+(I53*J53)+(I53*K53)</f>
        <v/>
      </c>
      <c r="AP53" s="43">
        <f>IFERROR(VLOOKUP(E53,$AE$11:$AK$14,4,0),0)</f>
        <v/>
      </c>
      <c r="AQ53" s="117">
        <f>(I53+(I53*J53)+(I53*K53))*AP53</f>
        <v/>
      </c>
      <c r="AR53" s="118">
        <f>AO53+AQ53</f>
        <v/>
      </c>
      <c r="AT53" s="39">
        <f>IFERROR((VLOOKUP(E53,$AE$11:$AJ$14,5,0)),0)</f>
        <v/>
      </c>
      <c r="AU53" s="39">
        <f>IFERROR((VLOOKUP(E53,$AE$11:$AJ$14,6,0)),0)</f>
        <v/>
      </c>
      <c r="AW53" s="119">
        <f>AR53*AT53</f>
        <v/>
      </c>
      <c r="AX53" s="119">
        <f>AR53*AU53</f>
        <v/>
      </c>
    </row>
    <row r="54">
      <c r="A54" s="32" t="n">
        <v>44</v>
      </c>
      <c r="B54" s="33" t="n"/>
      <c r="C54" s="33" t="n"/>
      <c r="D54" s="33" t="n"/>
      <c r="E54" s="33" t="inlineStr">
        <is>
          <t>-</t>
        </is>
      </c>
      <c r="F54" s="54">
        <f>IFERROR((VLOOKUP(E54,$AE$11:$AG$14,3,0)),"-")</f>
        <v/>
      </c>
      <c r="G54" s="33" t="n"/>
      <c r="H54" s="33" t="n"/>
      <c r="I54" s="46" t="n"/>
      <c r="J54" s="35" t="n"/>
      <c r="K54" s="35" t="n"/>
      <c r="L54" s="36">
        <f>IF($H$4="-",0,IF($H$4="VAREJO",AW54,IF($H$4="ATACADO",AX54,0)))</f>
        <v/>
      </c>
      <c r="M54" s="33" t="n"/>
      <c r="AN54" s="47" t="n">
        <v>44</v>
      </c>
      <c r="AO54" s="117">
        <f>I54+(I54*J54)+(I54*K54)</f>
        <v/>
      </c>
      <c r="AP54" s="43">
        <f>IFERROR(VLOOKUP(E54,$AE$11:$AK$14,4,0),0)</f>
        <v/>
      </c>
      <c r="AQ54" s="117">
        <f>(I54+(I54*J54)+(I54*K54))*AP54</f>
        <v/>
      </c>
      <c r="AR54" s="118">
        <f>AO54+AQ54</f>
        <v/>
      </c>
      <c r="AT54" s="39">
        <f>IFERROR((VLOOKUP(E54,$AE$11:$AJ$14,5,0)),0)</f>
        <v/>
      </c>
      <c r="AU54" s="39">
        <f>IFERROR((VLOOKUP(E54,$AE$11:$AJ$14,6,0)),0)</f>
        <v/>
      </c>
      <c r="AW54" s="119">
        <f>AR54*AT54</f>
        <v/>
      </c>
      <c r="AX54" s="119">
        <f>AR54*AU54</f>
        <v/>
      </c>
    </row>
    <row r="55">
      <c r="A55" s="32" t="n">
        <v>45</v>
      </c>
      <c r="B55" s="33" t="n"/>
      <c r="C55" s="33" t="n"/>
      <c r="D55" s="33" t="n"/>
      <c r="E55" s="33" t="inlineStr">
        <is>
          <t>-</t>
        </is>
      </c>
      <c r="F55" s="54">
        <f>IFERROR((VLOOKUP(E55,$AE$11:$AG$14,3,0)),"-")</f>
        <v/>
      </c>
      <c r="G55" s="33" t="n"/>
      <c r="H55" s="33" t="n"/>
      <c r="I55" s="46" t="n"/>
      <c r="J55" s="35" t="n"/>
      <c r="K55" s="35" t="n"/>
      <c r="L55" s="36">
        <f>IF($H$4="-",0,IF($H$4="VAREJO",AW55,IF($H$4="ATACADO",AX55,0)))</f>
        <v/>
      </c>
      <c r="M55" s="33" t="n"/>
      <c r="AN55" s="47" t="n">
        <v>45</v>
      </c>
      <c r="AO55" s="117">
        <f>I55+(I55*J55)+(I55*K55)</f>
        <v/>
      </c>
      <c r="AP55" s="43">
        <f>IFERROR(VLOOKUP(E55,$AE$11:$AK$14,4,0),0)</f>
        <v/>
      </c>
      <c r="AQ55" s="117">
        <f>(I55+(I55*J55)+(I55*K55))*AP55</f>
        <v/>
      </c>
      <c r="AR55" s="118">
        <f>AO55+AQ55</f>
        <v/>
      </c>
      <c r="AT55" s="39">
        <f>IFERROR((VLOOKUP(E55,$AE$11:$AJ$14,5,0)),0)</f>
        <v/>
      </c>
      <c r="AU55" s="39">
        <f>IFERROR((VLOOKUP(E55,$AE$11:$AJ$14,6,0)),0)</f>
        <v/>
      </c>
      <c r="AW55" s="119">
        <f>AR55*AT55</f>
        <v/>
      </c>
      <c r="AX55" s="119">
        <f>AR55*AU55</f>
        <v/>
      </c>
    </row>
    <row r="56">
      <c r="A56" s="32" t="n">
        <v>46</v>
      </c>
      <c r="B56" s="33" t="n"/>
      <c r="C56" s="33" t="n"/>
      <c r="D56" s="33" t="n"/>
      <c r="E56" s="33" t="inlineStr">
        <is>
          <t>-</t>
        </is>
      </c>
      <c r="F56" s="54">
        <f>IFERROR((VLOOKUP(E56,$AE$11:$AG$14,3,0)),"-")</f>
        <v/>
      </c>
      <c r="G56" s="33" t="n"/>
      <c r="H56" s="33" t="n"/>
      <c r="I56" s="46" t="n"/>
      <c r="J56" s="35" t="n"/>
      <c r="K56" s="35" t="n"/>
      <c r="L56" s="36">
        <f>IF($H$4="-",0,IF($H$4="VAREJO",AW56,IF($H$4="ATACADO",AX56,0)))</f>
        <v/>
      </c>
      <c r="M56" s="33" t="n"/>
      <c r="AN56" s="47" t="n">
        <v>46</v>
      </c>
      <c r="AO56" s="117">
        <f>I56+(I56*J56)+(I56*K56)</f>
        <v/>
      </c>
      <c r="AP56" s="43">
        <f>IFERROR(VLOOKUP(E56,$AE$11:$AK$14,4,0),0)</f>
        <v/>
      </c>
      <c r="AQ56" s="117">
        <f>(I56+(I56*J56)+(I56*K56))*AP56</f>
        <v/>
      </c>
      <c r="AR56" s="118">
        <f>AO56+AQ56</f>
        <v/>
      </c>
      <c r="AT56" s="39">
        <f>IFERROR((VLOOKUP(E56,$AE$11:$AJ$14,5,0)),0)</f>
        <v/>
      </c>
      <c r="AU56" s="39">
        <f>IFERROR((VLOOKUP(E56,$AE$11:$AJ$14,6,0)),0)</f>
        <v/>
      </c>
      <c r="AW56" s="119">
        <f>AR56*AT56</f>
        <v/>
      </c>
      <c r="AX56" s="119">
        <f>AR56*AU56</f>
        <v/>
      </c>
    </row>
    <row r="57">
      <c r="A57" s="32" t="n">
        <v>47</v>
      </c>
      <c r="B57" s="33" t="n"/>
      <c r="C57" s="33" t="n"/>
      <c r="D57" s="33" t="n"/>
      <c r="E57" s="33" t="inlineStr">
        <is>
          <t>-</t>
        </is>
      </c>
      <c r="F57" s="54">
        <f>IFERROR((VLOOKUP(E57,$AE$11:$AG$14,3,0)),"-")</f>
        <v/>
      </c>
      <c r="G57" s="33" t="n"/>
      <c r="H57" s="33" t="n"/>
      <c r="I57" s="46" t="n"/>
      <c r="J57" s="35" t="n"/>
      <c r="K57" s="35" t="n"/>
      <c r="L57" s="36">
        <f>IF($H$4="-",0,IF($H$4="VAREJO",AW57,IF($H$4="ATACADO",AX57,0)))</f>
        <v/>
      </c>
      <c r="M57" s="33" t="n"/>
      <c r="AN57" s="47" t="n">
        <v>47</v>
      </c>
      <c r="AO57" s="117">
        <f>I57+(I57*J57)+(I57*K57)</f>
        <v/>
      </c>
      <c r="AP57" s="43">
        <f>IFERROR(VLOOKUP(E57,$AE$11:$AK$14,4,0),0)</f>
        <v/>
      </c>
      <c r="AQ57" s="117">
        <f>(I57+(I57*J57)+(I57*K57))*AP57</f>
        <v/>
      </c>
      <c r="AR57" s="118">
        <f>AO57+AQ57</f>
        <v/>
      </c>
      <c r="AT57" s="39">
        <f>IFERROR((VLOOKUP(E57,$AE$11:$AJ$14,5,0)),0)</f>
        <v/>
      </c>
      <c r="AU57" s="39">
        <f>IFERROR((VLOOKUP(E57,$AE$11:$AJ$14,6,0)),0)</f>
        <v/>
      </c>
      <c r="AW57" s="119">
        <f>AR57*AT57</f>
        <v/>
      </c>
      <c r="AX57" s="119">
        <f>AR57*AU57</f>
        <v/>
      </c>
    </row>
    <row r="58">
      <c r="A58" s="32" t="n">
        <v>48</v>
      </c>
      <c r="B58" s="33" t="n"/>
      <c r="C58" s="33" t="n"/>
      <c r="D58" s="33" t="n"/>
      <c r="E58" s="33" t="inlineStr">
        <is>
          <t>-</t>
        </is>
      </c>
      <c r="F58" s="54">
        <f>IFERROR((VLOOKUP(E58,$AE$11:$AG$14,3,0)),"-")</f>
        <v/>
      </c>
      <c r="G58" s="33" t="n"/>
      <c r="H58" s="33" t="n"/>
      <c r="I58" s="46" t="n"/>
      <c r="J58" s="35" t="n"/>
      <c r="K58" s="35" t="n"/>
      <c r="L58" s="36">
        <f>IF($H$4="-",0,IF($H$4="VAREJO",AW58,IF($H$4="ATACADO",AX58,0)))</f>
        <v/>
      </c>
      <c r="M58" s="33" t="n"/>
      <c r="AN58" s="47" t="n">
        <v>48</v>
      </c>
      <c r="AO58" s="117">
        <f>I58+(I58*J58)+(I58*K58)</f>
        <v/>
      </c>
      <c r="AP58" s="43">
        <f>IFERROR(VLOOKUP(E58,$AE$11:$AK$14,4,0),0)</f>
        <v/>
      </c>
      <c r="AQ58" s="117">
        <f>(I58+(I58*J58)+(I58*K58))*AP58</f>
        <v/>
      </c>
      <c r="AR58" s="118">
        <f>AO58+AQ58</f>
        <v/>
      </c>
      <c r="AT58" s="39">
        <f>IFERROR((VLOOKUP(E58,$AE$11:$AJ$14,5,0)),0)</f>
        <v/>
      </c>
      <c r="AU58" s="39">
        <f>IFERROR((VLOOKUP(E58,$AE$11:$AJ$14,6,0)),0)</f>
        <v/>
      </c>
      <c r="AW58" s="119">
        <f>AR58*AT58</f>
        <v/>
      </c>
      <c r="AX58" s="119">
        <f>AR58*AU58</f>
        <v/>
      </c>
    </row>
    <row r="59">
      <c r="A59" s="32" t="n">
        <v>49</v>
      </c>
      <c r="B59" s="33" t="n"/>
      <c r="C59" s="33" t="n"/>
      <c r="D59" s="33" t="n"/>
      <c r="E59" s="33" t="inlineStr">
        <is>
          <t>-</t>
        </is>
      </c>
      <c r="F59" s="54">
        <f>IFERROR((VLOOKUP(E59,$AE$11:$AG$14,3,0)),"-")</f>
        <v/>
      </c>
      <c r="G59" s="33" t="n"/>
      <c r="H59" s="33" t="n"/>
      <c r="I59" s="46" t="n"/>
      <c r="J59" s="35" t="n"/>
      <c r="K59" s="35" t="n"/>
      <c r="L59" s="36">
        <f>IF($H$4="-",0,IF($H$4="VAREJO",AW59,IF($H$4="ATACADO",AX59,0)))</f>
        <v/>
      </c>
      <c r="M59" s="33" t="n"/>
      <c r="AN59" s="47" t="n">
        <v>49</v>
      </c>
      <c r="AO59" s="117">
        <f>I59+(I59*J59)+(I59*K59)</f>
        <v/>
      </c>
      <c r="AP59" s="43">
        <f>IFERROR(VLOOKUP(E59,$AE$11:$AK$14,4,0),0)</f>
        <v/>
      </c>
      <c r="AQ59" s="117">
        <f>(I59+(I59*J59)+(I59*K59))*AP59</f>
        <v/>
      </c>
      <c r="AR59" s="118">
        <f>AO59+AQ59</f>
        <v/>
      </c>
      <c r="AT59" s="39">
        <f>IFERROR((VLOOKUP(E59,$AE$11:$AJ$14,5,0)),0)</f>
        <v/>
      </c>
      <c r="AU59" s="39">
        <f>IFERROR((VLOOKUP(E59,$AE$11:$AJ$14,6,0)),0)</f>
        <v/>
      </c>
      <c r="AW59" s="119">
        <f>AR59*AT59</f>
        <v/>
      </c>
      <c r="AX59" s="119">
        <f>AR59*AU59</f>
        <v/>
      </c>
    </row>
    <row r="60">
      <c r="A60" s="32" t="n">
        <v>50</v>
      </c>
      <c r="B60" s="33" t="n"/>
      <c r="C60" s="33" t="n"/>
      <c r="D60" s="33" t="n"/>
      <c r="E60" s="33" t="inlineStr">
        <is>
          <t>-</t>
        </is>
      </c>
      <c r="F60" s="54">
        <f>IFERROR((VLOOKUP(E60,$AE$11:$AG$14,3,0)),"-")</f>
        <v/>
      </c>
      <c r="G60" s="33" t="n"/>
      <c r="H60" s="33" t="n"/>
      <c r="I60" s="46" t="n"/>
      <c r="J60" s="35" t="n"/>
      <c r="K60" s="35" t="n"/>
      <c r="L60" s="36">
        <f>IF($H$4="-",0,IF($H$4="VAREJO",AW60,IF($H$4="ATACADO",AX60,0)))</f>
        <v/>
      </c>
      <c r="M60" s="33" t="n"/>
      <c r="AN60" s="47" t="n">
        <v>50</v>
      </c>
      <c r="AO60" s="117">
        <f>I60+(I60*J60)+(I60*K60)</f>
        <v/>
      </c>
      <c r="AP60" s="43">
        <f>IFERROR(VLOOKUP(E60,$AE$11:$AK$14,4,0),0)</f>
        <v/>
      </c>
      <c r="AQ60" s="117">
        <f>(I60+(I60*J60)+(I60*K60))*AP60</f>
        <v/>
      </c>
      <c r="AR60" s="118">
        <f>AO60+AQ60</f>
        <v/>
      </c>
      <c r="AT60" s="39">
        <f>IFERROR((VLOOKUP(E60,$AE$11:$AJ$14,5,0)),0)</f>
        <v/>
      </c>
      <c r="AU60" s="39">
        <f>IFERROR((VLOOKUP(E60,$AE$11:$AJ$14,6,0)),0)</f>
        <v/>
      </c>
      <c r="AW60" s="119">
        <f>AR60*AT60</f>
        <v/>
      </c>
      <c r="AX60" s="119">
        <f>AR60*AU60</f>
        <v/>
      </c>
    </row>
    <row r="61">
      <c r="A61" s="32" t="n">
        <v>51</v>
      </c>
      <c r="B61" s="33" t="n"/>
      <c r="C61" s="33" t="n"/>
      <c r="D61" s="33" t="n"/>
      <c r="E61" s="33" t="inlineStr">
        <is>
          <t>-</t>
        </is>
      </c>
      <c r="F61" s="54">
        <f>IFERROR((VLOOKUP(E61,$AE$11:$AG$14,3,0)),"-")</f>
        <v/>
      </c>
      <c r="G61" s="33" t="n"/>
      <c r="H61" s="33" t="n"/>
      <c r="I61" s="46" t="n"/>
      <c r="J61" s="35" t="n"/>
      <c r="K61" s="35" t="n"/>
      <c r="L61" s="36">
        <f>IF($H$4="-",0,IF($H$4="VAREJO",AW61,IF($H$4="ATACADO",AX61,0)))</f>
        <v/>
      </c>
      <c r="M61" s="33" t="n"/>
      <c r="AN61" s="47" t="n">
        <v>51</v>
      </c>
      <c r="AO61" s="117">
        <f>I61+(I61*J61)+(I61*K61)</f>
        <v/>
      </c>
      <c r="AP61" s="43">
        <f>IFERROR(VLOOKUP(E61,$AE$11:$AK$14,4,0),0)</f>
        <v/>
      </c>
      <c r="AQ61" s="117">
        <f>(I61+(I61*J61)+(I61*K61))*AP61</f>
        <v/>
      </c>
      <c r="AR61" s="118">
        <f>AO61+AQ61</f>
        <v/>
      </c>
      <c r="AT61" s="39">
        <f>IFERROR((VLOOKUP(E61,$AE$11:$AJ$14,5,0)),0)</f>
        <v/>
      </c>
      <c r="AU61" s="39">
        <f>IFERROR((VLOOKUP(E61,$AE$11:$AJ$14,6,0)),0)</f>
        <v/>
      </c>
      <c r="AW61" s="119">
        <f>AR61*AT61</f>
        <v/>
      </c>
      <c r="AX61" s="119">
        <f>AR61*AU61</f>
        <v/>
      </c>
    </row>
    <row r="62">
      <c r="A62" s="32" t="n">
        <v>52</v>
      </c>
      <c r="B62" s="33" t="n"/>
      <c r="C62" s="33" t="n"/>
      <c r="D62" s="33" t="n"/>
      <c r="E62" s="33" t="inlineStr">
        <is>
          <t>-</t>
        </is>
      </c>
      <c r="F62" s="54">
        <f>IFERROR((VLOOKUP(E62,$AE$11:$AG$14,3,0)),"-")</f>
        <v/>
      </c>
      <c r="G62" s="33" t="n"/>
      <c r="H62" s="33" t="n"/>
      <c r="I62" s="46" t="n"/>
      <c r="J62" s="35" t="n"/>
      <c r="K62" s="35" t="n"/>
      <c r="L62" s="36">
        <f>IF($H$4="-",0,IF($H$4="VAREJO",AW62,IF($H$4="ATACADO",AX62,0)))</f>
        <v/>
      </c>
      <c r="M62" s="33" t="n"/>
      <c r="AN62" s="47" t="n">
        <v>52</v>
      </c>
      <c r="AO62" s="117">
        <f>I62+(I62*J62)+(I62*K62)</f>
        <v/>
      </c>
      <c r="AP62" s="43">
        <f>IFERROR(VLOOKUP(E62,$AE$11:$AK$14,4,0),0)</f>
        <v/>
      </c>
      <c r="AQ62" s="117">
        <f>(I62+(I62*J62)+(I62*K62))*AP62</f>
        <v/>
      </c>
      <c r="AR62" s="118">
        <f>AO62+AQ62</f>
        <v/>
      </c>
      <c r="AT62" s="39">
        <f>IFERROR((VLOOKUP(E62,$AE$11:$AJ$14,5,0)),0)</f>
        <v/>
      </c>
      <c r="AU62" s="39">
        <f>IFERROR((VLOOKUP(E62,$AE$11:$AJ$14,6,0)),0)</f>
        <v/>
      </c>
      <c r="AW62" s="119">
        <f>AR62*AT62</f>
        <v/>
      </c>
      <c r="AX62" s="119">
        <f>AR62*AU62</f>
        <v/>
      </c>
    </row>
    <row r="63">
      <c r="A63" s="32" t="n">
        <v>53</v>
      </c>
      <c r="B63" s="33" t="n"/>
      <c r="C63" s="33" t="n"/>
      <c r="D63" s="33" t="n"/>
      <c r="E63" s="33" t="inlineStr">
        <is>
          <t>-</t>
        </is>
      </c>
      <c r="F63" s="54">
        <f>IFERROR((VLOOKUP(E63,$AE$11:$AG$14,3,0)),"-")</f>
        <v/>
      </c>
      <c r="G63" s="33" t="n"/>
      <c r="H63" s="33" t="n"/>
      <c r="I63" s="46" t="n"/>
      <c r="J63" s="35" t="n"/>
      <c r="K63" s="35" t="n"/>
      <c r="L63" s="36">
        <f>IF($H$4="-",0,IF($H$4="VAREJO",AW63,IF($H$4="ATACADO",AX63,0)))</f>
        <v/>
      </c>
      <c r="M63" s="33" t="n"/>
      <c r="AN63" s="47" t="n">
        <v>53</v>
      </c>
      <c r="AO63" s="117">
        <f>I63+(I63*J63)+(I63*K63)</f>
        <v/>
      </c>
      <c r="AP63" s="43">
        <f>IFERROR(VLOOKUP(E63,$AE$11:$AK$14,4,0),0)</f>
        <v/>
      </c>
      <c r="AQ63" s="117">
        <f>(I63+(I63*J63)+(I63*K63))*AP63</f>
        <v/>
      </c>
      <c r="AR63" s="118">
        <f>AO63+AQ63</f>
        <v/>
      </c>
      <c r="AT63" s="39">
        <f>IFERROR((VLOOKUP(E63,$AE$11:$AJ$14,5,0)),0)</f>
        <v/>
      </c>
      <c r="AU63" s="39">
        <f>IFERROR((VLOOKUP(E63,$AE$11:$AJ$14,6,0)),0)</f>
        <v/>
      </c>
      <c r="AW63" s="119">
        <f>AR63*AT63</f>
        <v/>
      </c>
      <c r="AX63" s="119">
        <f>AR63*AU63</f>
        <v/>
      </c>
    </row>
    <row r="64">
      <c r="A64" s="32" t="n">
        <v>54</v>
      </c>
      <c r="B64" s="33" t="n"/>
      <c r="C64" s="33" t="n"/>
      <c r="D64" s="33" t="n"/>
      <c r="E64" s="33" t="inlineStr">
        <is>
          <t>-</t>
        </is>
      </c>
      <c r="F64" s="54">
        <f>IFERROR((VLOOKUP(E64,$AE$11:$AG$14,3,0)),"-")</f>
        <v/>
      </c>
      <c r="G64" s="33" t="n"/>
      <c r="H64" s="33" t="n"/>
      <c r="I64" s="46" t="n"/>
      <c r="J64" s="35" t="n"/>
      <c r="K64" s="35" t="n"/>
      <c r="L64" s="36">
        <f>IF($H$4="-",0,IF($H$4="VAREJO",AW64,IF($H$4="ATACADO",AX64,0)))</f>
        <v/>
      </c>
      <c r="M64" s="33" t="n"/>
      <c r="AN64" s="47" t="n">
        <v>54</v>
      </c>
      <c r="AO64" s="117">
        <f>I64+(I64*J64)+(I64*K64)</f>
        <v/>
      </c>
      <c r="AP64" s="43">
        <f>IFERROR(VLOOKUP(E64,$AE$11:$AK$14,4,0),0)</f>
        <v/>
      </c>
      <c r="AQ64" s="117">
        <f>(I64+(I64*J64)+(I64*K64))*AP64</f>
        <v/>
      </c>
      <c r="AR64" s="118">
        <f>AO64+AQ64</f>
        <v/>
      </c>
      <c r="AT64" s="39">
        <f>IFERROR((VLOOKUP(E64,$AE$11:$AJ$14,5,0)),0)</f>
        <v/>
      </c>
      <c r="AU64" s="39">
        <f>IFERROR((VLOOKUP(E64,$AE$11:$AJ$14,6,0)),0)</f>
        <v/>
      </c>
      <c r="AW64" s="119">
        <f>AR64*AT64</f>
        <v/>
      </c>
      <c r="AX64" s="119">
        <f>AR64*AU64</f>
        <v/>
      </c>
    </row>
    <row r="65">
      <c r="A65" s="32" t="n">
        <v>55</v>
      </c>
      <c r="B65" s="33" t="n"/>
      <c r="C65" s="33" t="n"/>
      <c r="D65" s="33" t="n"/>
      <c r="E65" s="33" t="inlineStr">
        <is>
          <t>-</t>
        </is>
      </c>
      <c r="F65" s="54">
        <f>IFERROR((VLOOKUP(E65,$AE$11:$AG$14,3,0)),"-")</f>
        <v/>
      </c>
      <c r="G65" s="33" t="n"/>
      <c r="H65" s="33" t="n"/>
      <c r="I65" s="46" t="n"/>
      <c r="J65" s="35" t="n"/>
      <c r="K65" s="35" t="n"/>
      <c r="L65" s="36">
        <f>IF($H$4="-",0,IF($H$4="VAREJO",AW65,IF($H$4="ATACADO",AX65,0)))</f>
        <v/>
      </c>
      <c r="M65" s="33" t="n"/>
      <c r="AN65" s="47" t="n">
        <v>55</v>
      </c>
      <c r="AO65" s="117">
        <f>I65+(I65*J65)+(I65*K65)</f>
        <v/>
      </c>
      <c r="AP65" s="43">
        <f>IFERROR(VLOOKUP(E65,$AE$11:$AK$14,4,0),0)</f>
        <v/>
      </c>
      <c r="AQ65" s="117">
        <f>(I65+(I65*J65)+(I65*K65))*AP65</f>
        <v/>
      </c>
      <c r="AR65" s="118">
        <f>AO65+AQ65</f>
        <v/>
      </c>
      <c r="AT65" s="39">
        <f>IFERROR((VLOOKUP(E65,$AE$11:$AJ$14,5,0)),0)</f>
        <v/>
      </c>
      <c r="AU65" s="39">
        <f>IFERROR((VLOOKUP(E65,$AE$11:$AJ$14,6,0)),0)</f>
        <v/>
      </c>
      <c r="AW65" s="119">
        <f>AR65*AT65</f>
        <v/>
      </c>
      <c r="AX65" s="119">
        <f>AR65*AU65</f>
        <v/>
      </c>
    </row>
    <row r="66">
      <c r="A66" s="32" t="n">
        <v>56</v>
      </c>
      <c r="B66" s="33" t="n"/>
      <c r="C66" s="33" t="n"/>
      <c r="D66" s="33" t="n"/>
      <c r="E66" s="33" t="inlineStr">
        <is>
          <t>-</t>
        </is>
      </c>
      <c r="F66" s="54">
        <f>IFERROR((VLOOKUP(E66,$AE$11:$AG$14,3,0)),"-")</f>
        <v/>
      </c>
      <c r="G66" s="33" t="n"/>
      <c r="H66" s="33" t="n"/>
      <c r="I66" s="46" t="n"/>
      <c r="J66" s="35" t="n"/>
      <c r="K66" s="35" t="n"/>
      <c r="L66" s="36">
        <f>IF($H$4="-",0,IF($H$4="VAREJO",AW66,IF($H$4="ATACADO",AX66,0)))</f>
        <v/>
      </c>
      <c r="M66" s="33" t="n"/>
      <c r="AN66" s="47" t="n">
        <v>56</v>
      </c>
      <c r="AO66" s="117">
        <f>I66+(I66*J66)+(I66*K66)</f>
        <v/>
      </c>
      <c r="AP66" s="43">
        <f>IFERROR(VLOOKUP(E66,$AE$11:$AK$14,4,0),0)</f>
        <v/>
      </c>
      <c r="AQ66" s="117">
        <f>(I66+(I66*J66)+(I66*K66))*AP66</f>
        <v/>
      </c>
      <c r="AR66" s="118">
        <f>AO66+AQ66</f>
        <v/>
      </c>
      <c r="AT66" s="39">
        <f>IFERROR((VLOOKUP(E66,$AE$11:$AJ$14,5,0)),0)</f>
        <v/>
      </c>
      <c r="AU66" s="39">
        <f>IFERROR((VLOOKUP(E66,$AE$11:$AJ$14,6,0)),0)</f>
        <v/>
      </c>
      <c r="AW66" s="119">
        <f>AR66*AT66</f>
        <v/>
      </c>
      <c r="AX66" s="119">
        <f>AR66*AU66</f>
        <v/>
      </c>
    </row>
    <row r="67">
      <c r="A67" s="32" t="n">
        <v>57</v>
      </c>
      <c r="B67" s="33" t="n"/>
      <c r="C67" s="33" t="n"/>
      <c r="D67" s="33" t="n"/>
      <c r="E67" s="33" t="inlineStr">
        <is>
          <t>-</t>
        </is>
      </c>
      <c r="F67" s="54">
        <f>IFERROR((VLOOKUP(E67,$AE$11:$AG$14,3,0)),"-")</f>
        <v/>
      </c>
      <c r="G67" s="33" t="n"/>
      <c r="H67" s="33" t="n"/>
      <c r="I67" s="46" t="n"/>
      <c r="J67" s="35" t="n"/>
      <c r="K67" s="35" t="n"/>
      <c r="L67" s="36">
        <f>IF($H$4="-",0,IF($H$4="VAREJO",AW67,IF($H$4="ATACADO",AX67,0)))</f>
        <v/>
      </c>
      <c r="M67" s="33" t="n"/>
      <c r="AN67" s="47" t="n">
        <v>57</v>
      </c>
      <c r="AO67" s="117">
        <f>I67+(I67*J67)+(I67*K67)</f>
        <v/>
      </c>
      <c r="AP67" s="43">
        <f>IFERROR(VLOOKUP(E67,$AE$11:$AK$14,4,0),0)</f>
        <v/>
      </c>
      <c r="AQ67" s="117">
        <f>(I67+(I67*J67)+(I67*K67))*AP67</f>
        <v/>
      </c>
      <c r="AR67" s="118">
        <f>AO67+AQ67</f>
        <v/>
      </c>
      <c r="AT67" s="39">
        <f>IFERROR((VLOOKUP(E67,$AE$11:$AJ$14,5,0)),0)</f>
        <v/>
      </c>
      <c r="AU67" s="39">
        <f>IFERROR((VLOOKUP(E67,$AE$11:$AJ$14,6,0)),0)</f>
        <v/>
      </c>
      <c r="AW67" s="119">
        <f>AR67*AT67</f>
        <v/>
      </c>
      <c r="AX67" s="119">
        <f>AR67*AU67</f>
        <v/>
      </c>
    </row>
    <row r="68">
      <c r="A68" s="32" t="n">
        <v>58</v>
      </c>
      <c r="B68" s="33" t="n"/>
      <c r="C68" s="33" t="n"/>
      <c r="D68" s="33" t="n"/>
      <c r="E68" s="33" t="inlineStr">
        <is>
          <t>-</t>
        </is>
      </c>
      <c r="F68" s="54">
        <f>IFERROR((VLOOKUP(E68,$AE$11:$AG$14,3,0)),"-")</f>
        <v/>
      </c>
      <c r="G68" s="33" t="n"/>
      <c r="H68" s="33" t="n"/>
      <c r="I68" s="46" t="n"/>
      <c r="J68" s="35" t="n"/>
      <c r="K68" s="35" t="n"/>
      <c r="L68" s="36">
        <f>IF($H$4="-",0,IF($H$4="VAREJO",AW68,IF($H$4="ATACADO",AX68,0)))</f>
        <v/>
      </c>
      <c r="M68" s="33" t="n"/>
      <c r="AN68" s="47" t="n">
        <v>58</v>
      </c>
      <c r="AO68" s="117">
        <f>I68+(I68*J68)+(I68*K68)</f>
        <v/>
      </c>
      <c r="AP68" s="43">
        <f>IFERROR(VLOOKUP(E68,$AE$11:$AK$14,4,0),0)</f>
        <v/>
      </c>
      <c r="AQ68" s="117">
        <f>(I68+(I68*J68)+(I68*K68))*AP68</f>
        <v/>
      </c>
      <c r="AR68" s="118">
        <f>AO68+AQ68</f>
        <v/>
      </c>
      <c r="AT68" s="39">
        <f>IFERROR((VLOOKUP(E68,$AE$11:$AJ$14,5,0)),0)</f>
        <v/>
      </c>
      <c r="AU68" s="39">
        <f>IFERROR((VLOOKUP(E68,$AE$11:$AJ$14,6,0)),0)</f>
        <v/>
      </c>
      <c r="AW68" s="119">
        <f>AR68*AT68</f>
        <v/>
      </c>
      <c r="AX68" s="119">
        <f>AR68*AU68</f>
        <v/>
      </c>
    </row>
    <row r="69">
      <c r="A69" s="32" t="n">
        <v>59</v>
      </c>
      <c r="B69" s="33" t="n"/>
      <c r="C69" s="33" t="n"/>
      <c r="D69" s="33" t="n"/>
      <c r="E69" s="33" t="inlineStr">
        <is>
          <t>-</t>
        </is>
      </c>
      <c r="F69" s="54">
        <f>IFERROR((VLOOKUP(E69,$AE$11:$AG$14,3,0)),"-")</f>
        <v/>
      </c>
      <c r="G69" s="33" t="n"/>
      <c r="H69" s="33" t="n"/>
      <c r="I69" s="46" t="n"/>
      <c r="J69" s="35" t="n"/>
      <c r="K69" s="35" t="n"/>
      <c r="L69" s="36">
        <f>IF($H$4="-",0,IF($H$4="VAREJO",AW69,IF($H$4="ATACADO",AX69,0)))</f>
        <v/>
      </c>
      <c r="M69" s="33" t="n"/>
      <c r="AN69" s="47" t="n">
        <v>59</v>
      </c>
      <c r="AO69" s="117">
        <f>I69+(I69*J69)+(I69*K69)</f>
        <v/>
      </c>
      <c r="AP69" s="43">
        <f>IFERROR(VLOOKUP(E69,$AE$11:$AK$14,4,0),0)</f>
        <v/>
      </c>
      <c r="AQ69" s="117">
        <f>(I69+(I69*J69)+(I69*K69))*AP69</f>
        <v/>
      </c>
      <c r="AR69" s="118">
        <f>AO69+AQ69</f>
        <v/>
      </c>
      <c r="AT69" s="39">
        <f>IFERROR((VLOOKUP(E69,$AE$11:$AJ$14,5,0)),0)</f>
        <v/>
      </c>
      <c r="AU69" s="39">
        <f>IFERROR((VLOOKUP(E69,$AE$11:$AJ$14,6,0)),0)</f>
        <v/>
      </c>
      <c r="AW69" s="119">
        <f>AR69*AT69</f>
        <v/>
      </c>
      <c r="AX69" s="119">
        <f>AR69*AU69</f>
        <v/>
      </c>
    </row>
    <row r="70">
      <c r="A70" s="32" t="n">
        <v>60</v>
      </c>
      <c r="B70" s="33" t="n"/>
      <c r="C70" s="33" t="n"/>
      <c r="D70" s="33" t="n"/>
      <c r="E70" s="33" t="inlineStr">
        <is>
          <t>-</t>
        </is>
      </c>
      <c r="F70" s="54">
        <f>IFERROR((VLOOKUP(E70,$AE$11:$AG$14,3,0)),"-")</f>
        <v/>
      </c>
      <c r="G70" s="33" t="n"/>
      <c r="H70" s="33" t="n"/>
      <c r="I70" s="46" t="n"/>
      <c r="J70" s="35" t="n"/>
      <c r="K70" s="35" t="n"/>
      <c r="L70" s="36">
        <f>IF($H$4="-",0,IF($H$4="VAREJO",AW70,IF($H$4="ATACADO",AX70,0)))</f>
        <v/>
      </c>
      <c r="M70" s="33" t="n"/>
      <c r="AN70" s="47" t="n">
        <v>60</v>
      </c>
      <c r="AO70" s="117">
        <f>I70+(I70*J70)+(I70*K70)</f>
        <v/>
      </c>
      <c r="AP70" s="43">
        <f>IFERROR(VLOOKUP(E70,$AE$11:$AK$14,4,0),0)</f>
        <v/>
      </c>
      <c r="AQ70" s="117">
        <f>(I70+(I70*J70)+(I70*K70))*AP70</f>
        <v/>
      </c>
      <c r="AR70" s="118">
        <f>AO70+AQ70</f>
        <v/>
      </c>
      <c r="AT70" s="39">
        <f>IFERROR((VLOOKUP(E70,$AE$11:$AJ$14,5,0)),0)</f>
        <v/>
      </c>
      <c r="AU70" s="39">
        <f>IFERROR((VLOOKUP(E70,$AE$11:$AJ$14,6,0)),0)</f>
        <v/>
      </c>
      <c r="AW70" s="119">
        <f>AR70*AT70</f>
        <v/>
      </c>
      <c r="AX70" s="119">
        <f>AR70*AU70</f>
        <v/>
      </c>
    </row>
    <row r="71">
      <c r="A71" s="32" t="n">
        <v>61</v>
      </c>
      <c r="B71" s="33" t="n"/>
      <c r="C71" s="33" t="n"/>
      <c r="D71" s="33" t="n"/>
      <c r="E71" s="33" t="inlineStr">
        <is>
          <t>-</t>
        </is>
      </c>
      <c r="F71" s="54">
        <f>IFERROR((VLOOKUP(E71,$AE$11:$AG$14,3,0)),"-")</f>
        <v/>
      </c>
      <c r="G71" s="33" t="n"/>
      <c r="H71" s="33" t="n"/>
      <c r="I71" s="46" t="n"/>
      <c r="J71" s="35" t="n"/>
      <c r="K71" s="35" t="n"/>
      <c r="L71" s="36">
        <f>IF($H$4="-",0,IF($H$4="VAREJO",AW71,IF($H$4="ATACADO",AX71,0)))</f>
        <v/>
      </c>
      <c r="M71" s="33" t="n"/>
      <c r="AN71" s="47" t="n">
        <v>61</v>
      </c>
      <c r="AO71" s="117">
        <f>I71+(I71*J71)+(I71*K71)</f>
        <v/>
      </c>
      <c r="AP71" s="43">
        <f>IFERROR(VLOOKUP(E71,$AE$11:$AK$14,4,0),0)</f>
        <v/>
      </c>
      <c r="AQ71" s="117">
        <f>(I71+(I71*J71)+(I71*K71))*AP71</f>
        <v/>
      </c>
      <c r="AR71" s="118">
        <f>AO71+AQ71</f>
        <v/>
      </c>
      <c r="AT71" s="39">
        <f>IFERROR((VLOOKUP(E71,$AE$11:$AJ$14,5,0)),0)</f>
        <v/>
      </c>
      <c r="AU71" s="39">
        <f>IFERROR((VLOOKUP(E71,$AE$11:$AJ$14,6,0)),0)</f>
        <v/>
      </c>
      <c r="AW71" s="119">
        <f>AR71*AT71</f>
        <v/>
      </c>
      <c r="AX71" s="119">
        <f>AR71*AU71</f>
        <v/>
      </c>
    </row>
    <row r="72">
      <c r="A72" s="32" t="n">
        <v>62</v>
      </c>
      <c r="B72" s="33" t="n"/>
      <c r="C72" s="33" t="n"/>
      <c r="D72" s="33" t="n"/>
      <c r="E72" s="33" t="inlineStr">
        <is>
          <t>-</t>
        </is>
      </c>
      <c r="F72" s="54">
        <f>IFERROR((VLOOKUP(E72,$AE$11:$AG$14,3,0)),"-")</f>
        <v/>
      </c>
      <c r="G72" s="33" t="n"/>
      <c r="H72" s="33" t="n"/>
      <c r="I72" s="46" t="n"/>
      <c r="J72" s="35" t="n"/>
      <c r="K72" s="35" t="n"/>
      <c r="L72" s="36">
        <f>IF($H$4="-",0,IF($H$4="VAREJO",AW72,IF($H$4="ATACADO",AX72,0)))</f>
        <v/>
      </c>
      <c r="M72" s="33" t="n"/>
      <c r="AN72" s="47" t="n">
        <v>62</v>
      </c>
      <c r="AO72" s="117">
        <f>I72+(I72*J72)+(I72*K72)</f>
        <v/>
      </c>
      <c r="AP72" s="43">
        <f>IFERROR(VLOOKUP(E72,$AE$11:$AK$14,4,0),0)</f>
        <v/>
      </c>
      <c r="AQ72" s="117">
        <f>(I72+(I72*J72)+(I72*K72))*AP72</f>
        <v/>
      </c>
      <c r="AR72" s="118">
        <f>AO72+AQ72</f>
        <v/>
      </c>
      <c r="AT72" s="39">
        <f>IFERROR((VLOOKUP(E72,$AE$11:$AJ$14,5,0)),0)</f>
        <v/>
      </c>
      <c r="AU72" s="39">
        <f>IFERROR((VLOOKUP(E72,$AE$11:$AJ$14,6,0)),0)</f>
        <v/>
      </c>
      <c r="AW72" s="119">
        <f>AR72*AT72</f>
        <v/>
      </c>
      <c r="AX72" s="119">
        <f>AR72*AU72</f>
        <v/>
      </c>
    </row>
    <row r="73">
      <c r="A73" s="32" t="n">
        <v>63</v>
      </c>
      <c r="B73" s="33" t="n"/>
      <c r="C73" s="33" t="n"/>
      <c r="D73" s="33" t="n"/>
      <c r="E73" s="33" t="inlineStr">
        <is>
          <t>-</t>
        </is>
      </c>
      <c r="F73" s="54">
        <f>IFERROR((VLOOKUP(E73,$AE$11:$AG$14,3,0)),"-")</f>
        <v/>
      </c>
      <c r="G73" s="33" t="n"/>
      <c r="H73" s="33" t="n"/>
      <c r="I73" s="46" t="n"/>
      <c r="J73" s="35" t="n"/>
      <c r="K73" s="35" t="n"/>
      <c r="L73" s="36">
        <f>IF($H$4="-",0,IF($H$4="VAREJO",AW73,IF($H$4="ATACADO",AX73,0)))</f>
        <v/>
      </c>
      <c r="M73" s="33" t="n"/>
      <c r="AN73" s="47" t="n">
        <v>63</v>
      </c>
      <c r="AO73" s="117">
        <f>I73+(I73*J73)+(I73*K73)</f>
        <v/>
      </c>
      <c r="AP73" s="43">
        <f>IFERROR(VLOOKUP(E73,$AE$11:$AK$14,4,0),0)</f>
        <v/>
      </c>
      <c r="AQ73" s="117">
        <f>(I73+(I73*J73)+(I73*K73))*AP73</f>
        <v/>
      </c>
      <c r="AR73" s="118">
        <f>AO73+AQ73</f>
        <v/>
      </c>
      <c r="AT73" s="39">
        <f>IFERROR((VLOOKUP(E73,$AE$11:$AJ$14,5,0)),0)</f>
        <v/>
      </c>
      <c r="AU73" s="39">
        <f>IFERROR((VLOOKUP(E73,$AE$11:$AJ$14,6,0)),0)</f>
        <v/>
      </c>
      <c r="AW73" s="119">
        <f>AR73*AT73</f>
        <v/>
      </c>
      <c r="AX73" s="119">
        <f>AR73*AU73</f>
        <v/>
      </c>
    </row>
    <row r="74">
      <c r="A74" s="32" t="n">
        <v>64</v>
      </c>
      <c r="B74" s="33" t="n"/>
      <c r="C74" s="33" t="n"/>
      <c r="D74" s="33" t="n"/>
      <c r="E74" s="33" t="inlineStr">
        <is>
          <t>-</t>
        </is>
      </c>
      <c r="F74" s="54">
        <f>IFERROR((VLOOKUP(E74,$AE$11:$AG$14,3,0)),"-")</f>
        <v/>
      </c>
      <c r="G74" s="33" t="n"/>
      <c r="H74" s="33" t="n"/>
      <c r="I74" s="46" t="n"/>
      <c r="J74" s="35" t="n"/>
      <c r="K74" s="35" t="n"/>
      <c r="L74" s="36">
        <f>IF($H$4="-",0,IF($H$4="VAREJO",AW74,IF($H$4="ATACADO",AX74,0)))</f>
        <v/>
      </c>
      <c r="M74" s="33" t="n"/>
      <c r="AN74" s="47" t="n">
        <v>64</v>
      </c>
      <c r="AO74" s="117">
        <f>I74+(I74*J74)+(I74*K74)</f>
        <v/>
      </c>
      <c r="AP74" s="43">
        <f>IFERROR(VLOOKUP(E74,$AE$11:$AK$14,4,0),0)</f>
        <v/>
      </c>
      <c r="AQ74" s="117">
        <f>(I74+(I74*J74)+(I74*K74))*AP74</f>
        <v/>
      </c>
      <c r="AR74" s="118">
        <f>AO74+AQ74</f>
        <v/>
      </c>
      <c r="AT74" s="39">
        <f>IFERROR((VLOOKUP(E74,$AE$11:$AJ$14,5,0)),0)</f>
        <v/>
      </c>
      <c r="AU74" s="39">
        <f>IFERROR((VLOOKUP(E74,$AE$11:$AJ$14,6,0)),0)</f>
        <v/>
      </c>
      <c r="AW74" s="119">
        <f>AR74*AT74</f>
        <v/>
      </c>
      <c r="AX74" s="119">
        <f>AR74*AU74</f>
        <v/>
      </c>
    </row>
    <row r="75">
      <c r="A75" s="32" t="n">
        <v>65</v>
      </c>
      <c r="B75" s="33" t="n"/>
      <c r="C75" s="33" t="n"/>
      <c r="D75" s="33" t="n"/>
      <c r="E75" s="33" t="inlineStr">
        <is>
          <t>-</t>
        </is>
      </c>
      <c r="F75" s="54">
        <f>IFERROR((VLOOKUP(E75,$AE$11:$AG$14,3,0)),"-")</f>
        <v/>
      </c>
      <c r="G75" s="33" t="n"/>
      <c r="H75" s="33" t="n"/>
      <c r="I75" s="46" t="n"/>
      <c r="J75" s="35" t="n"/>
      <c r="K75" s="35" t="n"/>
      <c r="L75" s="36">
        <f>IF($H$4="-",0,IF($H$4="VAREJO",AW75,IF($H$4="ATACADO",AX75,0)))</f>
        <v/>
      </c>
      <c r="M75" s="33" t="n"/>
      <c r="AN75" s="47" t="n">
        <v>65</v>
      </c>
      <c r="AO75" s="117">
        <f>I75+(I75*J75)+(I75*K75)</f>
        <v/>
      </c>
      <c r="AP75" s="43">
        <f>IFERROR(VLOOKUP(E75,$AE$11:$AK$14,4,0),0)</f>
        <v/>
      </c>
      <c r="AQ75" s="117">
        <f>(I75+(I75*J75)+(I75*K75))*AP75</f>
        <v/>
      </c>
      <c r="AR75" s="118">
        <f>AO75+AQ75</f>
        <v/>
      </c>
      <c r="AT75" s="39">
        <f>IFERROR((VLOOKUP(E75,$AE$11:$AJ$14,5,0)),0)</f>
        <v/>
      </c>
      <c r="AU75" s="39">
        <f>IFERROR((VLOOKUP(E75,$AE$11:$AJ$14,6,0)),0)</f>
        <v/>
      </c>
      <c r="AW75" s="119">
        <f>AR75*AT75</f>
        <v/>
      </c>
      <c r="AX75" s="119">
        <f>AR75*AU75</f>
        <v/>
      </c>
    </row>
    <row r="76">
      <c r="A76" s="32" t="n">
        <v>66</v>
      </c>
      <c r="B76" s="33" t="n"/>
      <c r="C76" s="33" t="n"/>
      <c r="D76" s="33" t="n"/>
      <c r="E76" s="33" t="inlineStr">
        <is>
          <t>-</t>
        </is>
      </c>
      <c r="F76" s="54">
        <f>IFERROR((VLOOKUP(E76,$AE$11:$AG$14,3,0)),"-")</f>
        <v/>
      </c>
      <c r="G76" s="33" t="n"/>
      <c r="H76" s="33" t="n"/>
      <c r="I76" s="46" t="n"/>
      <c r="J76" s="35" t="n"/>
      <c r="K76" s="35" t="n"/>
      <c r="L76" s="36">
        <f>IF($H$4="-",0,IF($H$4="VAREJO",AW76,IF($H$4="ATACADO",AX76,0)))</f>
        <v/>
      </c>
      <c r="M76" s="33" t="n"/>
      <c r="AN76" s="47" t="n">
        <v>66</v>
      </c>
      <c r="AO76" s="117">
        <f>I76+(I76*J76)+(I76*K76)</f>
        <v/>
      </c>
      <c r="AP76" s="43">
        <f>IFERROR(VLOOKUP(E76,$AE$11:$AK$14,4,0),0)</f>
        <v/>
      </c>
      <c r="AQ76" s="117">
        <f>(I76+(I76*J76)+(I76*K76))*AP76</f>
        <v/>
      </c>
      <c r="AR76" s="118">
        <f>AO76+AQ76</f>
        <v/>
      </c>
      <c r="AT76" s="39">
        <f>IFERROR((VLOOKUP(E76,$AE$11:$AJ$14,5,0)),0)</f>
        <v/>
      </c>
      <c r="AU76" s="39">
        <f>IFERROR((VLOOKUP(E76,$AE$11:$AJ$14,6,0)),0)</f>
        <v/>
      </c>
      <c r="AW76" s="119">
        <f>AR76*AT76</f>
        <v/>
      </c>
      <c r="AX76" s="119">
        <f>AR76*AU76</f>
        <v/>
      </c>
    </row>
    <row r="77">
      <c r="A77" s="32" t="n">
        <v>67</v>
      </c>
      <c r="B77" s="33" t="n"/>
      <c r="C77" s="33" t="n"/>
      <c r="D77" s="33" t="n"/>
      <c r="E77" s="33" t="inlineStr">
        <is>
          <t>-</t>
        </is>
      </c>
      <c r="F77" s="54">
        <f>IFERROR((VLOOKUP(E77,$AE$11:$AG$14,3,0)),"-")</f>
        <v/>
      </c>
      <c r="G77" s="33" t="n"/>
      <c r="H77" s="33" t="n"/>
      <c r="I77" s="46" t="n"/>
      <c r="J77" s="35" t="n"/>
      <c r="K77" s="35" t="n"/>
      <c r="L77" s="36">
        <f>IF($H$4="-",0,IF($H$4="VAREJO",AW77,IF($H$4="ATACADO",AX77,0)))</f>
        <v/>
      </c>
      <c r="M77" s="33" t="n"/>
      <c r="AN77" s="47" t="n">
        <v>67</v>
      </c>
      <c r="AO77" s="117">
        <f>I77+(I77*J77)+(I77*K77)</f>
        <v/>
      </c>
      <c r="AP77" s="43">
        <f>IFERROR(VLOOKUP(E77,$AE$11:$AK$14,4,0),0)</f>
        <v/>
      </c>
      <c r="AQ77" s="117">
        <f>(I77+(I77*J77)+(I77*K77))*AP77</f>
        <v/>
      </c>
      <c r="AR77" s="118">
        <f>AO77+AQ77</f>
        <v/>
      </c>
      <c r="AT77" s="39">
        <f>IFERROR((VLOOKUP(E77,$AE$11:$AJ$14,5,0)),0)</f>
        <v/>
      </c>
      <c r="AU77" s="39">
        <f>IFERROR((VLOOKUP(E77,$AE$11:$AJ$14,6,0)),0)</f>
        <v/>
      </c>
      <c r="AW77" s="119">
        <f>AR77*AT77</f>
        <v/>
      </c>
      <c r="AX77" s="119">
        <f>AR77*AU77</f>
        <v/>
      </c>
    </row>
    <row r="78">
      <c r="A78" s="32" t="n">
        <v>68</v>
      </c>
      <c r="B78" s="33" t="n"/>
      <c r="C78" s="33" t="n"/>
      <c r="D78" s="33" t="n"/>
      <c r="E78" s="33" t="inlineStr">
        <is>
          <t>-</t>
        </is>
      </c>
      <c r="F78" s="54">
        <f>IFERROR((VLOOKUP(E78,$AE$11:$AG$14,3,0)),"-")</f>
        <v/>
      </c>
      <c r="G78" s="33" t="n"/>
      <c r="H78" s="33" t="n"/>
      <c r="I78" s="46" t="n"/>
      <c r="J78" s="35" t="n"/>
      <c r="K78" s="35" t="n"/>
      <c r="L78" s="36">
        <f>IF($H$4="-",0,IF($H$4="VAREJO",AW78,IF($H$4="ATACADO",AX78,0)))</f>
        <v/>
      </c>
      <c r="M78" s="33" t="n"/>
      <c r="AN78" s="47" t="n">
        <v>68</v>
      </c>
      <c r="AO78" s="117">
        <f>I78+(I78*J78)+(I78*K78)</f>
        <v/>
      </c>
      <c r="AP78" s="43">
        <f>IFERROR(VLOOKUP(E78,$AE$11:$AK$14,4,0),0)</f>
        <v/>
      </c>
      <c r="AQ78" s="117">
        <f>(I78+(I78*J78)+(I78*K78))*AP78</f>
        <v/>
      </c>
      <c r="AR78" s="118">
        <f>AO78+AQ78</f>
        <v/>
      </c>
      <c r="AT78" s="39">
        <f>IFERROR((VLOOKUP(E78,$AE$11:$AJ$14,5,0)),0)</f>
        <v/>
      </c>
      <c r="AU78" s="39">
        <f>IFERROR((VLOOKUP(E78,$AE$11:$AJ$14,6,0)),0)</f>
        <v/>
      </c>
      <c r="AW78" s="119">
        <f>AR78*AT78</f>
        <v/>
      </c>
      <c r="AX78" s="119">
        <f>AR78*AU78</f>
        <v/>
      </c>
    </row>
    <row r="79">
      <c r="A79" s="32" t="n">
        <v>69</v>
      </c>
      <c r="B79" s="33" t="n"/>
      <c r="C79" s="33" t="n"/>
      <c r="D79" s="33" t="n"/>
      <c r="E79" s="33" t="inlineStr">
        <is>
          <t>-</t>
        </is>
      </c>
      <c r="F79" s="54">
        <f>IFERROR((VLOOKUP(E79,$AE$11:$AG$14,3,0)),"-")</f>
        <v/>
      </c>
      <c r="G79" s="33" t="n"/>
      <c r="H79" s="33" t="n"/>
      <c r="I79" s="46" t="n"/>
      <c r="J79" s="35" t="n"/>
      <c r="K79" s="35" t="n"/>
      <c r="L79" s="36">
        <f>IF($H$4="-",0,IF($H$4="VAREJO",AW79,IF($H$4="ATACADO",AX79,0)))</f>
        <v/>
      </c>
      <c r="M79" s="33" t="n"/>
      <c r="AN79" s="47" t="n">
        <v>69</v>
      </c>
      <c r="AO79" s="117">
        <f>I79+(I79*J79)+(I79*K79)</f>
        <v/>
      </c>
      <c r="AP79" s="43">
        <f>IFERROR(VLOOKUP(E79,$AE$11:$AK$14,4,0),0)</f>
        <v/>
      </c>
      <c r="AQ79" s="117">
        <f>(I79+(I79*J79)+(I79*K79))*AP79</f>
        <v/>
      </c>
      <c r="AR79" s="118">
        <f>AO79+AQ79</f>
        <v/>
      </c>
      <c r="AT79" s="39">
        <f>IFERROR((VLOOKUP(E79,$AE$11:$AJ$14,5,0)),0)</f>
        <v/>
      </c>
      <c r="AU79" s="39">
        <f>IFERROR((VLOOKUP(E79,$AE$11:$AJ$14,6,0)),0)</f>
        <v/>
      </c>
      <c r="AW79" s="119">
        <f>AR79*AT79</f>
        <v/>
      </c>
      <c r="AX79" s="119">
        <f>AR79*AU79</f>
        <v/>
      </c>
    </row>
    <row r="80">
      <c r="A80" s="32" t="n">
        <v>70</v>
      </c>
      <c r="B80" s="33" t="n"/>
      <c r="C80" s="33" t="n"/>
      <c r="D80" s="33" t="n"/>
      <c r="E80" s="33" t="inlineStr">
        <is>
          <t>-</t>
        </is>
      </c>
      <c r="F80" s="54">
        <f>IFERROR((VLOOKUP(E80,$AE$11:$AG$14,3,0)),"-")</f>
        <v/>
      </c>
      <c r="G80" s="33" t="n"/>
      <c r="H80" s="33" t="n"/>
      <c r="I80" s="46" t="n"/>
      <c r="J80" s="35" t="n"/>
      <c r="K80" s="35" t="n"/>
      <c r="L80" s="36">
        <f>IF($H$4="-",0,IF($H$4="VAREJO",AW80,IF($H$4="ATACADO",AX80,0)))</f>
        <v/>
      </c>
      <c r="M80" s="33" t="n"/>
      <c r="AN80" s="47" t="n">
        <v>70</v>
      </c>
      <c r="AO80" s="117">
        <f>I80+(I80*J80)+(I80*K80)</f>
        <v/>
      </c>
      <c r="AP80" s="43">
        <f>IFERROR(VLOOKUP(E80,$AE$11:$AK$14,4,0),0)</f>
        <v/>
      </c>
      <c r="AQ80" s="117">
        <f>(I80+(I80*J80)+(I80*K80))*AP80</f>
        <v/>
      </c>
      <c r="AR80" s="118">
        <f>AO80+AQ80</f>
        <v/>
      </c>
      <c r="AT80" s="39">
        <f>IFERROR((VLOOKUP(E80,$AE$11:$AJ$14,5,0)),0)</f>
        <v/>
      </c>
      <c r="AU80" s="39">
        <f>IFERROR((VLOOKUP(E80,$AE$11:$AJ$14,6,0)),0)</f>
        <v/>
      </c>
      <c r="AW80" s="119">
        <f>AR80*AT80</f>
        <v/>
      </c>
      <c r="AX80" s="119">
        <f>AR80*AU80</f>
        <v/>
      </c>
    </row>
    <row r="81">
      <c r="A81" s="32" t="n">
        <v>71</v>
      </c>
      <c r="B81" s="33" t="n"/>
      <c r="C81" s="33" t="n"/>
      <c r="D81" s="33" t="n"/>
      <c r="E81" s="33" t="inlineStr">
        <is>
          <t>-</t>
        </is>
      </c>
      <c r="F81" s="54">
        <f>IFERROR((VLOOKUP(E81,$AE$11:$AG$14,3,0)),"-")</f>
        <v/>
      </c>
      <c r="G81" s="33" t="n"/>
      <c r="H81" s="33" t="n"/>
      <c r="I81" s="46" t="n"/>
      <c r="J81" s="35" t="n"/>
      <c r="K81" s="35" t="n"/>
      <c r="L81" s="36">
        <f>IF($H$4="-",0,IF($H$4="VAREJO",AW81,IF($H$4="ATACADO",AX81,0)))</f>
        <v/>
      </c>
      <c r="M81" s="33" t="n"/>
      <c r="AN81" s="47" t="n">
        <v>71</v>
      </c>
      <c r="AO81" s="117">
        <f>I81+(I81*J81)+(I81*K81)</f>
        <v/>
      </c>
      <c r="AP81" s="43">
        <f>IFERROR(VLOOKUP(E81,$AE$11:$AK$14,4,0),0)</f>
        <v/>
      </c>
      <c r="AQ81" s="117">
        <f>(I81+(I81*J81)+(I81*K81))*AP81</f>
        <v/>
      </c>
      <c r="AR81" s="118">
        <f>AO81+AQ81</f>
        <v/>
      </c>
      <c r="AT81" s="39">
        <f>IFERROR((VLOOKUP(E81,$AE$11:$AJ$14,5,0)),0)</f>
        <v/>
      </c>
      <c r="AU81" s="39">
        <f>IFERROR((VLOOKUP(E81,$AE$11:$AJ$14,6,0)),0)</f>
        <v/>
      </c>
      <c r="AW81" s="119">
        <f>AR81*AT81</f>
        <v/>
      </c>
      <c r="AX81" s="119">
        <f>AR81*AU81</f>
        <v/>
      </c>
    </row>
    <row r="82">
      <c r="A82" s="32" t="n">
        <v>72</v>
      </c>
      <c r="B82" s="33" t="n"/>
      <c r="C82" s="33" t="n"/>
      <c r="D82" s="33" t="n"/>
      <c r="E82" s="33" t="inlineStr">
        <is>
          <t>-</t>
        </is>
      </c>
      <c r="F82" s="54">
        <f>IFERROR((VLOOKUP(E82,$AE$11:$AG$14,3,0)),"-")</f>
        <v/>
      </c>
      <c r="G82" s="33" t="n"/>
      <c r="H82" s="33" t="n"/>
      <c r="I82" s="46" t="n"/>
      <c r="J82" s="35" t="n"/>
      <c r="K82" s="35" t="n"/>
      <c r="L82" s="36">
        <f>IF($H$4="-",0,IF($H$4="VAREJO",AW82,IF($H$4="ATACADO",AX82,0)))</f>
        <v/>
      </c>
      <c r="M82" s="33" t="n"/>
      <c r="AN82" s="47" t="n">
        <v>72</v>
      </c>
      <c r="AO82" s="117">
        <f>I82+(I82*J82)+(I82*K82)</f>
        <v/>
      </c>
      <c r="AP82" s="43">
        <f>IFERROR(VLOOKUP(E82,$AE$11:$AK$14,4,0),0)</f>
        <v/>
      </c>
      <c r="AQ82" s="117">
        <f>(I82+(I82*J82)+(I82*K82))*AP82</f>
        <v/>
      </c>
      <c r="AR82" s="118">
        <f>AO82+AQ82</f>
        <v/>
      </c>
      <c r="AT82" s="39">
        <f>IFERROR((VLOOKUP(E82,$AE$11:$AJ$14,5,0)),0)</f>
        <v/>
      </c>
      <c r="AU82" s="39">
        <f>IFERROR((VLOOKUP(E82,$AE$11:$AJ$14,6,0)),0)</f>
        <v/>
      </c>
      <c r="AW82" s="119">
        <f>AR82*AT82</f>
        <v/>
      </c>
      <c r="AX82" s="119">
        <f>AR82*AU82</f>
        <v/>
      </c>
    </row>
    <row r="83">
      <c r="A83" s="32" t="n">
        <v>73</v>
      </c>
      <c r="B83" s="33" t="n"/>
      <c r="C83" s="33" t="n"/>
      <c r="D83" s="33" t="n"/>
      <c r="E83" s="33" t="inlineStr">
        <is>
          <t>-</t>
        </is>
      </c>
      <c r="F83" s="54">
        <f>IFERROR((VLOOKUP(E83,$AE$11:$AG$14,3,0)),"-")</f>
        <v/>
      </c>
      <c r="G83" s="33" t="n"/>
      <c r="H83" s="33" t="n"/>
      <c r="I83" s="46" t="n"/>
      <c r="J83" s="35" t="n"/>
      <c r="K83" s="35" t="n"/>
      <c r="L83" s="36">
        <f>IF($H$4="-",0,IF($H$4="VAREJO",AW83,IF($H$4="ATACADO",AX83,0)))</f>
        <v/>
      </c>
      <c r="M83" s="33" t="n"/>
      <c r="AN83" s="47" t="n">
        <v>73</v>
      </c>
      <c r="AO83" s="117">
        <f>I83+(I83*J83)+(I83*K83)</f>
        <v/>
      </c>
      <c r="AP83" s="43">
        <f>IFERROR(VLOOKUP(E83,$AE$11:$AK$14,4,0),0)</f>
        <v/>
      </c>
      <c r="AQ83" s="117">
        <f>(I83+(I83*J83)+(I83*K83))*AP83</f>
        <v/>
      </c>
      <c r="AR83" s="118">
        <f>AO83+AQ83</f>
        <v/>
      </c>
      <c r="AT83" s="39">
        <f>IFERROR((VLOOKUP(E83,$AE$11:$AJ$14,5,0)),0)</f>
        <v/>
      </c>
      <c r="AU83" s="39">
        <f>IFERROR((VLOOKUP(E83,$AE$11:$AJ$14,6,0)),0)</f>
        <v/>
      </c>
      <c r="AW83" s="119">
        <f>AR83*AT83</f>
        <v/>
      </c>
      <c r="AX83" s="119">
        <f>AR83*AU83</f>
        <v/>
      </c>
    </row>
    <row r="84">
      <c r="A84" s="32" t="n">
        <v>74</v>
      </c>
      <c r="B84" s="33" t="n"/>
      <c r="C84" s="33" t="n"/>
      <c r="D84" s="33" t="n"/>
      <c r="E84" s="33" t="inlineStr">
        <is>
          <t>-</t>
        </is>
      </c>
      <c r="F84" s="54">
        <f>IFERROR((VLOOKUP(E84,$AE$11:$AG$14,3,0)),"-")</f>
        <v/>
      </c>
      <c r="G84" s="33" t="n"/>
      <c r="H84" s="33" t="n"/>
      <c r="I84" s="46" t="n"/>
      <c r="J84" s="35" t="n"/>
      <c r="K84" s="35" t="n"/>
      <c r="L84" s="36">
        <f>IF($H$4="-",0,IF($H$4="VAREJO",AW84,IF($H$4="ATACADO",AX84,0)))</f>
        <v/>
      </c>
      <c r="M84" s="33" t="n"/>
      <c r="AN84" s="47" t="n">
        <v>74</v>
      </c>
      <c r="AO84" s="117">
        <f>I84+(I84*J84)+(I84*K84)</f>
        <v/>
      </c>
      <c r="AP84" s="43">
        <f>IFERROR(VLOOKUP(E84,$AE$11:$AK$14,4,0),0)</f>
        <v/>
      </c>
      <c r="AQ84" s="117">
        <f>(I84+(I84*J84)+(I84*K84))*AP84</f>
        <v/>
      </c>
      <c r="AR84" s="118">
        <f>AO84+AQ84</f>
        <v/>
      </c>
      <c r="AT84" s="39">
        <f>IFERROR((VLOOKUP(E84,$AE$11:$AJ$14,5,0)),0)</f>
        <v/>
      </c>
      <c r="AU84" s="39">
        <f>IFERROR((VLOOKUP(E84,$AE$11:$AJ$14,6,0)),0)</f>
        <v/>
      </c>
      <c r="AW84" s="119">
        <f>AR84*AT84</f>
        <v/>
      </c>
      <c r="AX84" s="119">
        <f>AR84*AU84</f>
        <v/>
      </c>
    </row>
    <row r="85">
      <c r="A85" s="32" t="n">
        <v>75</v>
      </c>
      <c r="B85" s="33" t="n"/>
      <c r="C85" s="33" t="n"/>
      <c r="D85" s="33" t="n"/>
      <c r="E85" s="33" t="inlineStr">
        <is>
          <t>-</t>
        </is>
      </c>
      <c r="F85" s="54">
        <f>IFERROR((VLOOKUP(E85,$AE$11:$AG$14,3,0)),"-")</f>
        <v/>
      </c>
      <c r="G85" s="33" t="n"/>
      <c r="H85" s="33" t="n"/>
      <c r="I85" s="46" t="n"/>
      <c r="J85" s="35" t="n"/>
      <c r="K85" s="35" t="n"/>
      <c r="L85" s="36">
        <f>IF($H$4="-",0,IF($H$4="VAREJO",AW85,IF($H$4="ATACADO",AX85,0)))</f>
        <v/>
      </c>
      <c r="M85" s="33" t="n"/>
      <c r="AN85" s="47" t="n">
        <v>75</v>
      </c>
      <c r="AO85" s="117">
        <f>I85+(I85*J85)+(I85*K85)</f>
        <v/>
      </c>
      <c r="AP85" s="43">
        <f>IFERROR(VLOOKUP(E85,$AE$11:$AK$14,4,0),0)</f>
        <v/>
      </c>
      <c r="AQ85" s="117">
        <f>(I85+(I85*J85)+(I85*K85))*AP85</f>
        <v/>
      </c>
      <c r="AR85" s="118">
        <f>AO85+AQ85</f>
        <v/>
      </c>
      <c r="AT85" s="39">
        <f>IFERROR((VLOOKUP(E85,$AE$11:$AJ$14,5,0)),0)</f>
        <v/>
      </c>
      <c r="AU85" s="39">
        <f>IFERROR((VLOOKUP(E85,$AE$11:$AJ$14,6,0)),0)</f>
        <v/>
      </c>
      <c r="AW85" s="119">
        <f>AR85*AT85</f>
        <v/>
      </c>
      <c r="AX85" s="119">
        <f>AR85*AU85</f>
        <v/>
      </c>
    </row>
    <row r="86">
      <c r="A86" s="32" t="n">
        <v>76</v>
      </c>
      <c r="B86" s="33" t="n"/>
      <c r="C86" s="33" t="n"/>
      <c r="D86" s="33" t="n"/>
      <c r="E86" s="33" t="inlineStr">
        <is>
          <t>-</t>
        </is>
      </c>
      <c r="F86" s="54">
        <f>IFERROR((VLOOKUP(E86,$AE$11:$AG$14,3,0)),"-")</f>
        <v/>
      </c>
      <c r="G86" s="33" t="n"/>
      <c r="H86" s="33" t="n"/>
      <c r="I86" s="46" t="n"/>
      <c r="J86" s="35" t="n"/>
      <c r="K86" s="35" t="n"/>
      <c r="L86" s="36">
        <f>IF($H$4="-",0,IF($H$4="VAREJO",AW86,IF($H$4="ATACADO",AX86,0)))</f>
        <v/>
      </c>
      <c r="M86" s="33" t="n"/>
      <c r="AN86" s="47" t="n">
        <v>76</v>
      </c>
      <c r="AO86" s="117">
        <f>I86+(I86*J86)+(I86*K86)</f>
        <v/>
      </c>
      <c r="AP86" s="43">
        <f>IFERROR(VLOOKUP(E86,$AE$11:$AK$14,4,0),0)</f>
        <v/>
      </c>
      <c r="AQ86" s="117">
        <f>(I86+(I86*J86)+(I86*K86))*AP86</f>
        <v/>
      </c>
      <c r="AR86" s="118">
        <f>AO86+AQ86</f>
        <v/>
      </c>
      <c r="AT86" s="39">
        <f>IFERROR((VLOOKUP(E86,$AE$11:$AJ$14,5,0)),0)</f>
        <v/>
      </c>
      <c r="AU86" s="39">
        <f>IFERROR((VLOOKUP(E86,$AE$11:$AJ$14,6,0)),0)</f>
        <v/>
      </c>
      <c r="AW86" s="119">
        <f>AR86*AT86</f>
        <v/>
      </c>
      <c r="AX86" s="119">
        <f>AR86*AU86</f>
        <v/>
      </c>
    </row>
    <row r="87">
      <c r="A87" s="32" t="n">
        <v>77</v>
      </c>
      <c r="B87" s="33" t="n"/>
      <c r="C87" s="33" t="n"/>
      <c r="D87" s="33" t="n"/>
      <c r="E87" s="33" t="inlineStr">
        <is>
          <t>-</t>
        </is>
      </c>
      <c r="F87" s="54">
        <f>IFERROR((VLOOKUP(E87,$AE$11:$AG$14,3,0)),"-")</f>
        <v/>
      </c>
      <c r="G87" s="33" t="n"/>
      <c r="H87" s="33" t="n"/>
      <c r="I87" s="46" t="n"/>
      <c r="J87" s="35" t="n"/>
      <c r="K87" s="35" t="n"/>
      <c r="L87" s="36">
        <f>IF($H$4="-",0,IF($H$4="VAREJO",AW87,IF($H$4="ATACADO",AX87,0)))</f>
        <v/>
      </c>
      <c r="M87" s="33" t="n"/>
      <c r="AN87" s="47" t="n">
        <v>77</v>
      </c>
      <c r="AO87" s="117">
        <f>I87+(I87*J87)+(I87*K87)</f>
        <v/>
      </c>
      <c r="AP87" s="43">
        <f>IFERROR(VLOOKUP(E87,$AE$11:$AK$14,4,0),0)</f>
        <v/>
      </c>
      <c r="AQ87" s="117">
        <f>(I87+(I87*J87)+(I87*K87))*AP87</f>
        <v/>
      </c>
      <c r="AR87" s="118">
        <f>AO87+AQ87</f>
        <v/>
      </c>
      <c r="AT87" s="39">
        <f>IFERROR((VLOOKUP(E87,$AE$11:$AJ$14,5,0)),0)</f>
        <v/>
      </c>
      <c r="AU87" s="39">
        <f>IFERROR((VLOOKUP(E87,$AE$11:$AJ$14,6,0)),0)</f>
        <v/>
      </c>
      <c r="AW87" s="119">
        <f>AR87*AT87</f>
        <v/>
      </c>
      <c r="AX87" s="119">
        <f>AR87*AU87</f>
        <v/>
      </c>
    </row>
    <row r="88">
      <c r="A88" s="32" t="n">
        <v>78</v>
      </c>
      <c r="B88" s="33" t="n"/>
      <c r="C88" s="33" t="n"/>
      <c r="D88" s="33" t="n"/>
      <c r="E88" s="33" t="inlineStr">
        <is>
          <t>-</t>
        </is>
      </c>
      <c r="F88" s="54">
        <f>IFERROR((VLOOKUP(E88,$AE$11:$AG$14,3,0)),"-")</f>
        <v/>
      </c>
      <c r="G88" s="33" t="n"/>
      <c r="H88" s="33" t="n"/>
      <c r="I88" s="46" t="n"/>
      <c r="J88" s="35" t="n"/>
      <c r="K88" s="35" t="n"/>
      <c r="L88" s="36">
        <f>IF($H$4="-",0,IF($H$4="VAREJO",AW88,IF($H$4="ATACADO",AX88,0)))</f>
        <v/>
      </c>
      <c r="M88" s="33" t="n"/>
      <c r="AN88" s="47" t="n">
        <v>78</v>
      </c>
      <c r="AO88" s="117">
        <f>I88+(I88*J88)+(I88*K88)</f>
        <v/>
      </c>
      <c r="AP88" s="43">
        <f>IFERROR(VLOOKUP(E88,$AE$11:$AK$14,4,0),0)</f>
        <v/>
      </c>
      <c r="AQ88" s="117">
        <f>(I88+(I88*J88)+(I88*K88))*AP88</f>
        <v/>
      </c>
      <c r="AR88" s="118">
        <f>AO88+AQ88</f>
        <v/>
      </c>
      <c r="AT88" s="39">
        <f>IFERROR((VLOOKUP(E88,$AE$11:$AJ$14,5,0)),0)</f>
        <v/>
      </c>
      <c r="AU88" s="39">
        <f>IFERROR((VLOOKUP(E88,$AE$11:$AJ$14,6,0)),0)</f>
        <v/>
      </c>
      <c r="AW88" s="119">
        <f>AR88*AT88</f>
        <v/>
      </c>
      <c r="AX88" s="119">
        <f>AR88*AU88</f>
        <v/>
      </c>
    </row>
    <row r="89">
      <c r="A89" s="32" t="n">
        <v>79</v>
      </c>
      <c r="B89" s="33" t="n"/>
      <c r="C89" s="33" t="n"/>
      <c r="D89" s="33" t="n"/>
      <c r="E89" s="33" t="inlineStr">
        <is>
          <t>-</t>
        </is>
      </c>
      <c r="F89" s="54">
        <f>IFERROR((VLOOKUP(E89,$AE$11:$AG$14,3,0)),"-")</f>
        <v/>
      </c>
      <c r="G89" s="33" t="n"/>
      <c r="H89" s="33" t="n"/>
      <c r="I89" s="46" t="n"/>
      <c r="J89" s="35" t="n"/>
      <c r="K89" s="35" t="n"/>
      <c r="L89" s="36">
        <f>IF($H$4="-",0,IF($H$4="VAREJO",AW89,IF($H$4="ATACADO",AX89,0)))</f>
        <v/>
      </c>
      <c r="M89" s="33" t="n"/>
      <c r="AN89" s="47" t="n">
        <v>79</v>
      </c>
      <c r="AO89" s="117">
        <f>I89+(I89*J89)+(I89*K89)</f>
        <v/>
      </c>
      <c r="AP89" s="43">
        <f>IFERROR(VLOOKUP(E89,$AE$11:$AK$14,4,0),0)</f>
        <v/>
      </c>
      <c r="AQ89" s="117">
        <f>(I89+(I89*J89)+(I89*K89))*AP89</f>
        <v/>
      </c>
      <c r="AR89" s="118">
        <f>AO89+AQ89</f>
        <v/>
      </c>
      <c r="AT89" s="39">
        <f>IFERROR((VLOOKUP(E89,$AE$11:$AJ$14,5,0)),0)</f>
        <v/>
      </c>
      <c r="AU89" s="39">
        <f>IFERROR((VLOOKUP(E89,$AE$11:$AJ$14,6,0)),0)</f>
        <v/>
      </c>
      <c r="AW89" s="119">
        <f>AR89*AT89</f>
        <v/>
      </c>
      <c r="AX89" s="119">
        <f>AR89*AU89</f>
        <v/>
      </c>
    </row>
    <row r="90">
      <c r="A90" s="32" t="n">
        <v>80</v>
      </c>
      <c r="B90" s="33" t="n"/>
      <c r="C90" s="33" t="n"/>
      <c r="D90" s="33" t="n"/>
      <c r="E90" s="33" t="inlineStr">
        <is>
          <t>-</t>
        </is>
      </c>
      <c r="F90" s="54">
        <f>IFERROR((VLOOKUP(E90,$AE$11:$AG$14,3,0)),"-")</f>
        <v/>
      </c>
      <c r="G90" s="33" t="n"/>
      <c r="H90" s="33" t="n"/>
      <c r="I90" s="46" t="n"/>
      <c r="J90" s="35" t="n"/>
      <c r="K90" s="35" t="n"/>
      <c r="L90" s="36">
        <f>IF($H$4="-",0,IF($H$4="VAREJO",AW90,IF($H$4="ATACADO",AX90,0)))</f>
        <v/>
      </c>
      <c r="M90" s="33" t="n"/>
      <c r="AN90" s="47" t="n">
        <v>80</v>
      </c>
      <c r="AO90" s="117">
        <f>I90+(I90*J90)+(I90*K90)</f>
        <v/>
      </c>
      <c r="AP90" s="43">
        <f>IFERROR(VLOOKUP(E90,$AE$11:$AK$14,4,0),0)</f>
        <v/>
      </c>
      <c r="AQ90" s="117">
        <f>(I90+(I90*J90)+(I90*K90))*AP90</f>
        <v/>
      </c>
      <c r="AR90" s="118">
        <f>AO90+AQ90</f>
        <v/>
      </c>
      <c r="AT90" s="39">
        <f>IFERROR((VLOOKUP(E90,$AE$11:$AJ$14,5,0)),0)</f>
        <v/>
      </c>
      <c r="AU90" s="39">
        <f>IFERROR((VLOOKUP(E90,$AE$11:$AJ$14,6,0)),0)</f>
        <v/>
      </c>
      <c r="AW90" s="119">
        <f>AR90*AT90</f>
        <v/>
      </c>
      <c r="AX90" s="119">
        <f>AR90*AU90</f>
        <v/>
      </c>
    </row>
    <row r="91">
      <c r="A91" s="32" t="n">
        <v>81</v>
      </c>
      <c r="B91" s="33" t="n"/>
      <c r="C91" s="33" t="n"/>
      <c r="D91" s="33" t="n"/>
      <c r="E91" s="33" t="inlineStr">
        <is>
          <t>-</t>
        </is>
      </c>
      <c r="F91" s="54">
        <f>IFERROR((VLOOKUP(E91,$AE$11:$AG$14,3,0)),"-")</f>
        <v/>
      </c>
      <c r="G91" s="33" t="n"/>
      <c r="H91" s="33" t="n"/>
      <c r="I91" s="46" t="n"/>
      <c r="J91" s="35" t="n"/>
      <c r="K91" s="35" t="n"/>
      <c r="L91" s="36">
        <f>IF($H$4="-",0,IF($H$4="VAREJO",AW91,IF($H$4="ATACADO",AX91,0)))</f>
        <v/>
      </c>
      <c r="M91" s="33" t="n"/>
      <c r="AN91" s="47" t="n">
        <v>81</v>
      </c>
      <c r="AO91" s="117">
        <f>I91+(I91*J91)+(I91*K91)</f>
        <v/>
      </c>
      <c r="AP91" s="43">
        <f>IFERROR(VLOOKUP(E91,$AE$11:$AK$14,4,0),0)</f>
        <v/>
      </c>
      <c r="AQ91" s="117">
        <f>(I91+(I91*J91)+(I91*K91))*AP91</f>
        <v/>
      </c>
      <c r="AR91" s="118">
        <f>AO91+AQ91</f>
        <v/>
      </c>
      <c r="AT91" s="39">
        <f>IFERROR((VLOOKUP(E91,$AE$11:$AJ$14,5,0)),0)</f>
        <v/>
      </c>
      <c r="AU91" s="39">
        <f>IFERROR((VLOOKUP(E91,$AE$11:$AJ$14,6,0)),0)</f>
        <v/>
      </c>
      <c r="AW91" s="119">
        <f>AR91*AT91</f>
        <v/>
      </c>
      <c r="AX91" s="119">
        <f>AR91*AU91</f>
        <v/>
      </c>
    </row>
    <row r="92">
      <c r="A92" s="32" t="n">
        <v>82</v>
      </c>
      <c r="B92" s="33" t="n"/>
      <c r="C92" s="33" t="n"/>
      <c r="D92" s="33" t="n"/>
      <c r="E92" s="33" t="inlineStr">
        <is>
          <t>-</t>
        </is>
      </c>
      <c r="F92" s="54">
        <f>IFERROR((VLOOKUP(E92,$AE$11:$AG$14,3,0)),"-")</f>
        <v/>
      </c>
      <c r="G92" s="33" t="n"/>
      <c r="H92" s="33" t="n"/>
      <c r="I92" s="46" t="n"/>
      <c r="J92" s="35" t="n"/>
      <c r="K92" s="35" t="n"/>
      <c r="L92" s="36">
        <f>IF($H$4="-",0,IF($H$4="VAREJO",AW92,IF($H$4="ATACADO",AX92,0)))</f>
        <v/>
      </c>
      <c r="M92" s="33" t="n"/>
      <c r="AN92" s="47" t="n">
        <v>82</v>
      </c>
      <c r="AO92" s="117">
        <f>I92+(I92*J92)+(I92*K92)</f>
        <v/>
      </c>
      <c r="AP92" s="43">
        <f>IFERROR(VLOOKUP(E92,$AE$11:$AK$14,4,0),0)</f>
        <v/>
      </c>
      <c r="AQ92" s="117">
        <f>(I92+(I92*J92)+(I92*K92))*AP92</f>
        <v/>
      </c>
      <c r="AR92" s="118">
        <f>AO92+AQ92</f>
        <v/>
      </c>
      <c r="AT92" s="39">
        <f>IFERROR((VLOOKUP(E92,$AE$11:$AJ$14,5,0)),0)</f>
        <v/>
      </c>
      <c r="AU92" s="39">
        <f>IFERROR((VLOOKUP(E92,$AE$11:$AJ$14,6,0)),0)</f>
        <v/>
      </c>
      <c r="AW92" s="119">
        <f>AR92*AT92</f>
        <v/>
      </c>
      <c r="AX92" s="119">
        <f>AR92*AU92</f>
        <v/>
      </c>
    </row>
    <row r="93">
      <c r="A93" s="32" t="n">
        <v>83</v>
      </c>
      <c r="B93" s="33" t="n"/>
      <c r="C93" s="33" t="n"/>
      <c r="D93" s="33" t="n"/>
      <c r="E93" s="33" t="inlineStr">
        <is>
          <t>-</t>
        </is>
      </c>
      <c r="F93" s="54">
        <f>IFERROR((VLOOKUP(E93,$AE$11:$AG$14,3,0)),"-")</f>
        <v/>
      </c>
      <c r="G93" s="33" t="n"/>
      <c r="H93" s="33" t="n"/>
      <c r="I93" s="46" t="n"/>
      <c r="J93" s="35" t="n"/>
      <c r="K93" s="35" t="n"/>
      <c r="L93" s="36">
        <f>IF($H$4="-",0,IF($H$4="VAREJO",AW93,IF($H$4="ATACADO",AX93,0)))</f>
        <v/>
      </c>
      <c r="M93" s="33" t="n"/>
      <c r="AN93" s="47" t="n">
        <v>83</v>
      </c>
      <c r="AO93" s="117">
        <f>I93+(I93*J93)+(I93*K93)</f>
        <v/>
      </c>
      <c r="AP93" s="43">
        <f>IFERROR(VLOOKUP(E93,$AE$11:$AK$14,4,0),0)</f>
        <v/>
      </c>
      <c r="AQ93" s="117">
        <f>(I93+(I93*J93)+(I93*K93))*AP93</f>
        <v/>
      </c>
      <c r="AR93" s="118">
        <f>AO93+AQ93</f>
        <v/>
      </c>
      <c r="AT93" s="39">
        <f>IFERROR((VLOOKUP(E93,$AE$11:$AJ$14,5,0)),0)</f>
        <v/>
      </c>
      <c r="AU93" s="39">
        <f>IFERROR((VLOOKUP(E93,$AE$11:$AJ$14,6,0)),0)</f>
        <v/>
      </c>
      <c r="AW93" s="119">
        <f>AR93*AT93</f>
        <v/>
      </c>
      <c r="AX93" s="119">
        <f>AR93*AU93</f>
        <v/>
      </c>
    </row>
    <row r="94">
      <c r="A94" s="32" t="n">
        <v>84</v>
      </c>
      <c r="B94" s="33" t="n"/>
      <c r="C94" s="33" t="n"/>
      <c r="D94" s="33" t="n"/>
      <c r="E94" s="33" t="inlineStr">
        <is>
          <t>-</t>
        </is>
      </c>
      <c r="F94" s="54">
        <f>IFERROR((VLOOKUP(E94,$AE$11:$AG$14,3,0)),"-")</f>
        <v/>
      </c>
      <c r="G94" s="33" t="n"/>
      <c r="H94" s="33" t="n"/>
      <c r="I94" s="46" t="n"/>
      <c r="J94" s="35" t="n"/>
      <c r="K94" s="35" t="n"/>
      <c r="L94" s="36">
        <f>IF($H$4="-",0,IF($H$4="VAREJO",AW94,IF($H$4="ATACADO",AX94,0)))</f>
        <v/>
      </c>
      <c r="M94" s="33" t="n"/>
      <c r="AN94" s="47" t="n">
        <v>84</v>
      </c>
      <c r="AO94" s="117">
        <f>I94+(I94*J94)+(I94*K94)</f>
        <v/>
      </c>
      <c r="AP94" s="43">
        <f>IFERROR(VLOOKUP(E94,$AE$11:$AK$14,4,0),0)</f>
        <v/>
      </c>
      <c r="AQ94" s="117">
        <f>(I94+(I94*J94)+(I94*K94))*AP94</f>
        <v/>
      </c>
      <c r="AR94" s="118">
        <f>AO94+AQ94</f>
        <v/>
      </c>
      <c r="AT94" s="39">
        <f>IFERROR((VLOOKUP(E94,$AE$11:$AJ$14,5,0)),0)</f>
        <v/>
      </c>
      <c r="AU94" s="39">
        <f>IFERROR((VLOOKUP(E94,$AE$11:$AJ$14,6,0)),0)</f>
        <v/>
      </c>
      <c r="AW94" s="119">
        <f>AR94*AT94</f>
        <v/>
      </c>
      <c r="AX94" s="119">
        <f>AR94*AU94</f>
        <v/>
      </c>
    </row>
    <row r="95">
      <c r="A95" s="32" t="n">
        <v>85</v>
      </c>
      <c r="B95" s="33" t="n"/>
      <c r="C95" s="33" t="n"/>
      <c r="D95" s="33" t="n"/>
      <c r="E95" s="33" t="inlineStr">
        <is>
          <t>-</t>
        </is>
      </c>
      <c r="F95" s="54">
        <f>IFERROR((VLOOKUP(E95,$AE$11:$AG$14,3,0)),"-")</f>
        <v/>
      </c>
      <c r="G95" s="33" t="n"/>
      <c r="H95" s="33" t="n"/>
      <c r="I95" s="46" t="n"/>
      <c r="J95" s="35" t="n"/>
      <c r="K95" s="35" t="n"/>
      <c r="L95" s="36">
        <f>IF($H$4="-",0,IF($H$4="VAREJO",AW95,IF($H$4="ATACADO",AX95,0)))</f>
        <v/>
      </c>
      <c r="M95" s="33" t="n"/>
      <c r="AN95" s="47" t="n">
        <v>85</v>
      </c>
      <c r="AO95" s="117">
        <f>I95+(I95*J95)+(I95*K95)</f>
        <v/>
      </c>
      <c r="AP95" s="43">
        <f>IFERROR(VLOOKUP(E95,$AE$11:$AK$14,4,0),0)</f>
        <v/>
      </c>
      <c r="AQ95" s="117">
        <f>(I95+(I95*J95)+(I95*K95))*AP95</f>
        <v/>
      </c>
      <c r="AR95" s="118">
        <f>AO95+AQ95</f>
        <v/>
      </c>
      <c r="AT95" s="39">
        <f>IFERROR((VLOOKUP(E95,$AE$11:$AJ$14,5,0)),0)</f>
        <v/>
      </c>
      <c r="AU95" s="39">
        <f>IFERROR((VLOOKUP(E95,$AE$11:$AJ$14,6,0)),0)</f>
        <v/>
      </c>
      <c r="AW95" s="119">
        <f>AR95*AT95</f>
        <v/>
      </c>
      <c r="AX95" s="119">
        <f>AR95*AU95</f>
        <v/>
      </c>
    </row>
    <row r="96">
      <c r="A96" s="32" t="n">
        <v>86</v>
      </c>
      <c r="B96" s="33" t="n"/>
      <c r="C96" s="33" t="n"/>
      <c r="D96" s="33" t="n"/>
      <c r="E96" s="33" t="inlineStr">
        <is>
          <t>-</t>
        </is>
      </c>
      <c r="F96" s="54">
        <f>IFERROR((VLOOKUP(E96,$AE$11:$AG$14,3,0)),"-")</f>
        <v/>
      </c>
      <c r="G96" s="33" t="n"/>
      <c r="H96" s="33" t="n"/>
      <c r="I96" s="46" t="n"/>
      <c r="J96" s="35" t="n"/>
      <c r="K96" s="35" t="n"/>
      <c r="L96" s="36">
        <f>IF($H$4="-",0,IF($H$4="VAREJO",AW96,IF($H$4="ATACADO",AX96,0)))</f>
        <v/>
      </c>
      <c r="M96" s="33" t="n"/>
      <c r="AN96" s="47" t="n">
        <v>86</v>
      </c>
      <c r="AO96" s="117">
        <f>I96+(I96*J96)+(I96*K96)</f>
        <v/>
      </c>
      <c r="AP96" s="43">
        <f>IFERROR(VLOOKUP(E96,$AE$11:$AK$14,4,0),0)</f>
        <v/>
      </c>
      <c r="AQ96" s="117">
        <f>(I96+(I96*J96)+(I96*K96))*AP96</f>
        <v/>
      </c>
      <c r="AR96" s="118">
        <f>AO96+AQ96</f>
        <v/>
      </c>
      <c r="AT96" s="39">
        <f>IFERROR((VLOOKUP(E96,$AE$11:$AJ$14,5,0)),0)</f>
        <v/>
      </c>
      <c r="AU96" s="39">
        <f>IFERROR((VLOOKUP(E96,$AE$11:$AJ$14,6,0)),0)</f>
        <v/>
      </c>
      <c r="AW96" s="119">
        <f>AR96*AT96</f>
        <v/>
      </c>
      <c r="AX96" s="119">
        <f>AR96*AU96</f>
        <v/>
      </c>
    </row>
    <row r="97">
      <c r="A97" s="32" t="n">
        <v>87</v>
      </c>
      <c r="B97" s="33" t="n"/>
      <c r="C97" s="33" t="n"/>
      <c r="D97" s="33" t="n"/>
      <c r="E97" s="33" t="inlineStr">
        <is>
          <t>-</t>
        </is>
      </c>
      <c r="F97" s="54">
        <f>IFERROR((VLOOKUP(E97,$AE$11:$AG$14,3,0)),"-")</f>
        <v/>
      </c>
      <c r="G97" s="33" t="n"/>
      <c r="H97" s="33" t="n"/>
      <c r="I97" s="46" t="n"/>
      <c r="J97" s="35" t="n"/>
      <c r="K97" s="35" t="n"/>
      <c r="L97" s="36">
        <f>IF($H$4="-",0,IF($H$4="VAREJO",AW97,IF($H$4="ATACADO",AX97,0)))</f>
        <v/>
      </c>
      <c r="M97" s="33" t="n"/>
      <c r="AN97" s="47" t="n">
        <v>87</v>
      </c>
      <c r="AO97" s="117">
        <f>I97+(I97*J97)+(I97*K97)</f>
        <v/>
      </c>
      <c r="AP97" s="43">
        <f>IFERROR(VLOOKUP(E97,$AE$11:$AK$14,4,0),0)</f>
        <v/>
      </c>
      <c r="AQ97" s="117">
        <f>(I97+(I97*J97)+(I97*K97))*AP97</f>
        <v/>
      </c>
      <c r="AR97" s="118">
        <f>AO97+AQ97</f>
        <v/>
      </c>
      <c r="AT97" s="39">
        <f>IFERROR((VLOOKUP(E97,$AE$11:$AJ$14,5,0)),0)</f>
        <v/>
      </c>
      <c r="AU97" s="39">
        <f>IFERROR((VLOOKUP(E97,$AE$11:$AJ$14,6,0)),0)</f>
        <v/>
      </c>
      <c r="AW97" s="119">
        <f>AR97*AT97</f>
        <v/>
      </c>
      <c r="AX97" s="119">
        <f>AR97*AU97</f>
        <v/>
      </c>
    </row>
    <row r="98">
      <c r="A98" s="32" t="n">
        <v>88</v>
      </c>
      <c r="B98" s="33" t="n"/>
      <c r="C98" s="33" t="n"/>
      <c r="D98" s="33" t="n"/>
      <c r="E98" s="33" t="inlineStr">
        <is>
          <t>-</t>
        </is>
      </c>
      <c r="F98" s="54">
        <f>IFERROR((VLOOKUP(E98,$AE$11:$AG$14,3,0)),"-")</f>
        <v/>
      </c>
      <c r="G98" s="33" t="n"/>
      <c r="H98" s="33" t="n"/>
      <c r="I98" s="46" t="n"/>
      <c r="J98" s="35" t="n"/>
      <c r="K98" s="35" t="n"/>
      <c r="L98" s="36">
        <f>IF($H$4="-",0,IF($H$4="VAREJO",AW98,IF($H$4="ATACADO",AX98,0)))</f>
        <v/>
      </c>
      <c r="M98" s="33" t="n"/>
      <c r="AN98" s="47" t="n">
        <v>88</v>
      </c>
      <c r="AO98" s="117">
        <f>I98+(I98*J98)+(I98*K98)</f>
        <v/>
      </c>
      <c r="AP98" s="43">
        <f>IFERROR(VLOOKUP(E98,$AE$11:$AK$14,4,0),0)</f>
        <v/>
      </c>
      <c r="AQ98" s="117">
        <f>(I98+(I98*J98)+(I98*K98))*AP98</f>
        <v/>
      </c>
      <c r="AR98" s="118">
        <f>AO98+AQ98</f>
        <v/>
      </c>
      <c r="AT98" s="39">
        <f>IFERROR((VLOOKUP(E98,$AE$11:$AJ$14,5,0)),0)</f>
        <v/>
      </c>
      <c r="AU98" s="39">
        <f>IFERROR((VLOOKUP(E98,$AE$11:$AJ$14,6,0)),0)</f>
        <v/>
      </c>
      <c r="AW98" s="119">
        <f>AR98*AT98</f>
        <v/>
      </c>
      <c r="AX98" s="119">
        <f>AR98*AU98</f>
        <v/>
      </c>
    </row>
    <row r="99">
      <c r="A99" s="32" t="n">
        <v>89</v>
      </c>
      <c r="B99" s="33" t="n"/>
      <c r="C99" s="33" t="n"/>
      <c r="D99" s="33" t="n"/>
      <c r="E99" s="33" t="inlineStr">
        <is>
          <t>-</t>
        </is>
      </c>
      <c r="F99" s="54">
        <f>IFERROR((VLOOKUP(E99,$AE$11:$AG$14,3,0)),"-")</f>
        <v/>
      </c>
      <c r="G99" s="33" t="n"/>
      <c r="H99" s="33" t="n"/>
      <c r="I99" s="46" t="n"/>
      <c r="J99" s="35" t="n"/>
      <c r="K99" s="35" t="n"/>
      <c r="L99" s="36">
        <f>IF($H$4="-",0,IF($H$4="VAREJO",AW99,IF($H$4="ATACADO",AX99,0)))</f>
        <v/>
      </c>
      <c r="M99" s="33" t="n"/>
      <c r="AN99" s="47" t="n">
        <v>89</v>
      </c>
      <c r="AO99" s="117">
        <f>I99+(I99*J99)+(I99*K99)</f>
        <v/>
      </c>
      <c r="AP99" s="43">
        <f>IFERROR(VLOOKUP(E99,$AE$11:$AK$14,4,0),0)</f>
        <v/>
      </c>
      <c r="AQ99" s="117">
        <f>(I99+(I99*J99)+(I99*K99))*AP99</f>
        <v/>
      </c>
      <c r="AR99" s="118">
        <f>AO99+AQ99</f>
        <v/>
      </c>
      <c r="AT99" s="39">
        <f>IFERROR((VLOOKUP(E99,$AE$11:$AJ$14,5,0)),0)</f>
        <v/>
      </c>
      <c r="AU99" s="39">
        <f>IFERROR((VLOOKUP(E99,$AE$11:$AJ$14,6,0)),0)</f>
        <v/>
      </c>
      <c r="AW99" s="119">
        <f>AR99*AT99</f>
        <v/>
      </c>
      <c r="AX99" s="119">
        <f>AR99*AU99</f>
        <v/>
      </c>
    </row>
    <row r="100">
      <c r="A100" s="32" t="n">
        <v>90</v>
      </c>
      <c r="B100" s="33" t="n"/>
      <c r="C100" s="33" t="n"/>
      <c r="D100" s="33" t="n"/>
      <c r="E100" s="33" t="inlineStr">
        <is>
          <t>-</t>
        </is>
      </c>
      <c r="F100" s="54">
        <f>IFERROR((VLOOKUP(E100,$AE$11:$AG$14,3,0)),"-")</f>
        <v/>
      </c>
      <c r="G100" s="33" t="n"/>
      <c r="H100" s="33" t="n"/>
      <c r="I100" s="46" t="n"/>
      <c r="J100" s="35" t="n"/>
      <c r="K100" s="35" t="n"/>
      <c r="L100" s="36">
        <f>IF($H$4="-",0,IF($H$4="VAREJO",AW100,IF($H$4="ATACADO",AX100,0)))</f>
        <v/>
      </c>
      <c r="M100" s="33" t="n"/>
      <c r="AN100" s="47" t="n">
        <v>90</v>
      </c>
      <c r="AO100" s="117">
        <f>I100+(I100*J100)+(I100*K100)</f>
        <v/>
      </c>
      <c r="AP100" s="43">
        <f>IFERROR(VLOOKUP(E100,$AE$11:$AK$14,4,0),0)</f>
        <v/>
      </c>
      <c r="AQ100" s="117">
        <f>(I100+(I100*J100)+(I100*K100))*AP100</f>
        <v/>
      </c>
      <c r="AR100" s="118">
        <f>AO100+AQ100</f>
        <v/>
      </c>
      <c r="AT100" s="39">
        <f>IFERROR((VLOOKUP(E100,$AE$11:$AJ$14,5,0)),0)</f>
        <v/>
      </c>
      <c r="AU100" s="39">
        <f>IFERROR((VLOOKUP(E100,$AE$11:$AJ$14,6,0)),0)</f>
        <v/>
      </c>
      <c r="AW100" s="119">
        <f>AR100*AT100</f>
        <v/>
      </c>
      <c r="AX100" s="119">
        <f>AR100*AU100</f>
        <v/>
      </c>
    </row>
    <row r="101">
      <c r="A101" s="32" t="n">
        <v>91</v>
      </c>
      <c r="B101" s="33" t="n"/>
      <c r="C101" s="33" t="n"/>
      <c r="D101" s="33" t="n"/>
      <c r="E101" s="33" t="inlineStr">
        <is>
          <t>-</t>
        </is>
      </c>
      <c r="F101" s="54">
        <f>IFERROR((VLOOKUP(E101,$AE$11:$AG$14,3,0)),"-")</f>
        <v/>
      </c>
      <c r="G101" s="33" t="n"/>
      <c r="H101" s="33" t="n"/>
      <c r="I101" s="46" t="n"/>
      <c r="J101" s="35" t="n"/>
      <c r="K101" s="35" t="n"/>
      <c r="L101" s="36">
        <f>IF($H$4="-",0,IF($H$4="VAREJO",AW101,IF($H$4="ATACADO",AX101,0)))</f>
        <v/>
      </c>
      <c r="M101" s="33" t="n"/>
      <c r="AN101" s="47" t="n">
        <v>91</v>
      </c>
      <c r="AO101" s="117">
        <f>I101+(I101*J101)+(I101*K101)</f>
        <v/>
      </c>
      <c r="AP101" s="43">
        <f>IFERROR(VLOOKUP(E101,$AE$11:$AK$14,4,0),0)</f>
        <v/>
      </c>
      <c r="AQ101" s="117">
        <f>(I101+(I101*J101)+(I101*K101))*AP101</f>
        <v/>
      </c>
      <c r="AR101" s="118">
        <f>AO101+AQ101</f>
        <v/>
      </c>
      <c r="AT101" s="39">
        <f>IFERROR((VLOOKUP(E101,$AE$11:$AJ$14,5,0)),0)</f>
        <v/>
      </c>
      <c r="AU101" s="39">
        <f>IFERROR((VLOOKUP(E101,$AE$11:$AJ$14,6,0)),0)</f>
        <v/>
      </c>
      <c r="AW101" s="119">
        <f>AR101*AT101</f>
        <v/>
      </c>
      <c r="AX101" s="119">
        <f>AR101*AU101</f>
        <v/>
      </c>
    </row>
    <row r="102">
      <c r="A102" s="32" t="n">
        <v>92</v>
      </c>
      <c r="B102" s="33" t="n"/>
      <c r="C102" s="33" t="n"/>
      <c r="D102" s="33" t="n"/>
      <c r="E102" s="33" t="inlineStr">
        <is>
          <t>-</t>
        </is>
      </c>
      <c r="F102" s="54">
        <f>IFERROR((VLOOKUP(E102,$AE$11:$AG$14,3,0)),"-")</f>
        <v/>
      </c>
      <c r="G102" s="33" t="n"/>
      <c r="H102" s="33" t="n"/>
      <c r="I102" s="46" t="n"/>
      <c r="J102" s="35" t="n"/>
      <c r="K102" s="35" t="n"/>
      <c r="L102" s="36">
        <f>IF($H$4="-",0,IF($H$4="VAREJO",AW102,IF($H$4="ATACADO",AX102,0)))</f>
        <v/>
      </c>
      <c r="M102" s="33" t="n"/>
      <c r="AN102" s="47" t="n">
        <v>92</v>
      </c>
      <c r="AO102" s="117">
        <f>I102+(I102*J102)+(I102*K102)</f>
        <v/>
      </c>
      <c r="AP102" s="43">
        <f>IFERROR(VLOOKUP(E102,$AE$11:$AK$14,4,0),0)</f>
        <v/>
      </c>
      <c r="AQ102" s="117">
        <f>(I102+(I102*J102)+(I102*K102))*AP102</f>
        <v/>
      </c>
      <c r="AR102" s="118">
        <f>AO102+AQ102</f>
        <v/>
      </c>
      <c r="AT102" s="39">
        <f>IFERROR((VLOOKUP(E102,$AE$11:$AJ$14,5,0)),0)</f>
        <v/>
      </c>
      <c r="AU102" s="39">
        <f>IFERROR((VLOOKUP(E102,$AE$11:$AJ$14,6,0)),0)</f>
        <v/>
      </c>
      <c r="AW102" s="119">
        <f>AR102*AT102</f>
        <v/>
      </c>
      <c r="AX102" s="119">
        <f>AR102*AU102</f>
        <v/>
      </c>
    </row>
    <row r="103">
      <c r="A103" s="32" t="n">
        <v>93</v>
      </c>
      <c r="B103" s="33" t="n"/>
      <c r="C103" s="33" t="n"/>
      <c r="D103" s="33" t="n"/>
      <c r="E103" s="33" t="inlineStr">
        <is>
          <t>-</t>
        </is>
      </c>
      <c r="F103" s="54">
        <f>IFERROR((VLOOKUP(E103,$AE$11:$AG$14,3,0)),"-")</f>
        <v/>
      </c>
      <c r="G103" s="33" t="n"/>
      <c r="H103" s="33" t="n"/>
      <c r="I103" s="46" t="n"/>
      <c r="J103" s="35" t="n"/>
      <c r="K103" s="35" t="n"/>
      <c r="L103" s="36">
        <f>IF($H$4="-",0,IF($H$4="VAREJO",AW103,IF($H$4="ATACADO",AX103,0)))</f>
        <v/>
      </c>
      <c r="M103" s="33" t="n"/>
      <c r="AN103" s="47" t="n">
        <v>93</v>
      </c>
      <c r="AO103" s="117">
        <f>I103+(I103*J103)+(I103*K103)</f>
        <v/>
      </c>
      <c r="AP103" s="43">
        <f>IFERROR(VLOOKUP(E103,$AE$11:$AK$14,4,0),0)</f>
        <v/>
      </c>
      <c r="AQ103" s="117">
        <f>(I103+(I103*J103)+(I103*K103))*AP103</f>
        <v/>
      </c>
      <c r="AR103" s="118">
        <f>AO103+AQ103</f>
        <v/>
      </c>
      <c r="AT103" s="39">
        <f>IFERROR((VLOOKUP(E103,$AE$11:$AJ$14,5,0)),0)</f>
        <v/>
      </c>
      <c r="AU103" s="39">
        <f>IFERROR((VLOOKUP(E103,$AE$11:$AJ$14,6,0)),0)</f>
        <v/>
      </c>
      <c r="AW103" s="119">
        <f>AR103*AT103</f>
        <v/>
      </c>
      <c r="AX103" s="119">
        <f>AR103*AU103</f>
        <v/>
      </c>
    </row>
    <row r="104">
      <c r="A104" s="32" t="n">
        <v>94</v>
      </c>
      <c r="B104" s="33" t="n"/>
      <c r="C104" s="33" t="n"/>
      <c r="D104" s="33" t="n"/>
      <c r="E104" s="33" t="inlineStr">
        <is>
          <t>-</t>
        </is>
      </c>
      <c r="F104" s="54">
        <f>IFERROR((VLOOKUP(E104,$AE$11:$AG$14,3,0)),"-")</f>
        <v/>
      </c>
      <c r="G104" s="33" t="n"/>
      <c r="H104" s="33" t="n"/>
      <c r="I104" s="46" t="n"/>
      <c r="J104" s="35" t="n"/>
      <c r="K104" s="35" t="n"/>
      <c r="L104" s="36">
        <f>IF($H$4="-",0,IF($H$4="VAREJO",AW104,IF($H$4="ATACADO",AX104,0)))</f>
        <v/>
      </c>
      <c r="M104" s="33" t="n"/>
      <c r="AN104" s="47" t="n">
        <v>94</v>
      </c>
      <c r="AO104" s="117">
        <f>I104+(I104*J104)+(I104*K104)</f>
        <v/>
      </c>
      <c r="AP104" s="43">
        <f>IFERROR(VLOOKUP(E104,$AE$11:$AK$14,4,0),0)</f>
        <v/>
      </c>
      <c r="AQ104" s="117">
        <f>(I104+(I104*J104)+(I104*K104))*AP104</f>
        <v/>
      </c>
      <c r="AR104" s="118">
        <f>AO104+AQ104</f>
        <v/>
      </c>
      <c r="AT104" s="39">
        <f>IFERROR((VLOOKUP(E104,$AE$11:$AJ$14,5,0)),0)</f>
        <v/>
      </c>
      <c r="AU104" s="39">
        <f>IFERROR((VLOOKUP(E104,$AE$11:$AJ$14,6,0)),0)</f>
        <v/>
      </c>
      <c r="AW104" s="119">
        <f>AR104*AT104</f>
        <v/>
      </c>
      <c r="AX104" s="119">
        <f>AR104*AU104</f>
        <v/>
      </c>
    </row>
    <row r="105">
      <c r="A105" s="32" t="n">
        <v>95</v>
      </c>
      <c r="B105" s="33" t="n"/>
      <c r="C105" s="33" t="n"/>
      <c r="D105" s="33" t="n"/>
      <c r="E105" s="33" t="inlineStr">
        <is>
          <t>-</t>
        </is>
      </c>
      <c r="F105" s="54">
        <f>IFERROR((VLOOKUP(E105,$AE$11:$AG$14,3,0)),"-")</f>
        <v/>
      </c>
      <c r="G105" s="33" t="n"/>
      <c r="H105" s="33" t="n"/>
      <c r="I105" s="46" t="n"/>
      <c r="J105" s="35" t="n"/>
      <c r="K105" s="35" t="n"/>
      <c r="L105" s="36">
        <f>IF($H$4="-",0,IF($H$4="VAREJO",AW105,IF($H$4="ATACADO",AX105,0)))</f>
        <v/>
      </c>
      <c r="M105" s="33" t="n"/>
      <c r="AN105" s="47" t="n">
        <v>95</v>
      </c>
      <c r="AO105" s="117">
        <f>I105+(I105*J105)+(I105*K105)</f>
        <v/>
      </c>
      <c r="AP105" s="43">
        <f>IFERROR(VLOOKUP(E105,$AE$11:$AK$14,4,0),0)</f>
        <v/>
      </c>
      <c r="AQ105" s="117">
        <f>(I105+(I105*J105)+(I105*K105))*AP105</f>
        <v/>
      </c>
      <c r="AR105" s="118">
        <f>AO105+AQ105</f>
        <v/>
      </c>
      <c r="AT105" s="39">
        <f>IFERROR((VLOOKUP(E105,$AE$11:$AJ$14,5,0)),0)</f>
        <v/>
      </c>
      <c r="AU105" s="39">
        <f>IFERROR((VLOOKUP(E105,$AE$11:$AJ$14,6,0)),0)</f>
        <v/>
      </c>
      <c r="AW105" s="119">
        <f>AR105*AT105</f>
        <v/>
      </c>
      <c r="AX105" s="119">
        <f>AR105*AU105</f>
        <v/>
      </c>
    </row>
    <row r="106">
      <c r="A106" s="32" t="n">
        <v>96</v>
      </c>
      <c r="B106" s="33" t="n"/>
      <c r="C106" s="33" t="n"/>
      <c r="D106" s="33" t="n"/>
      <c r="E106" s="33" t="inlineStr">
        <is>
          <t>-</t>
        </is>
      </c>
      <c r="F106" s="54">
        <f>IFERROR((VLOOKUP(E106,$AE$11:$AG$14,3,0)),"-")</f>
        <v/>
      </c>
      <c r="G106" s="33" t="n"/>
      <c r="H106" s="33" t="n"/>
      <c r="I106" s="46" t="n"/>
      <c r="J106" s="35" t="n"/>
      <c r="K106" s="35" t="n"/>
      <c r="L106" s="36">
        <f>IF($H$4="-",0,IF($H$4="VAREJO",AW106,IF($H$4="ATACADO",AX106,0)))</f>
        <v/>
      </c>
      <c r="M106" s="33" t="n"/>
      <c r="AN106" s="47" t="n">
        <v>96</v>
      </c>
      <c r="AO106" s="117">
        <f>I106+(I106*J106)+(I106*K106)</f>
        <v/>
      </c>
      <c r="AP106" s="43">
        <f>IFERROR(VLOOKUP(E106,$AE$11:$AK$14,4,0),0)</f>
        <v/>
      </c>
      <c r="AQ106" s="117">
        <f>(I106+(I106*J106)+(I106*K106))*AP106</f>
        <v/>
      </c>
      <c r="AR106" s="118">
        <f>AO106+AQ106</f>
        <v/>
      </c>
      <c r="AT106" s="39">
        <f>IFERROR((VLOOKUP(E106,$AE$11:$AJ$14,5,0)),0)</f>
        <v/>
      </c>
      <c r="AU106" s="39">
        <f>IFERROR((VLOOKUP(E106,$AE$11:$AJ$14,6,0)),0)</f>
        <v/>
      </c>
      <c r="AW106" s="119">
        <f>AR106*AT106</f>
        <v/>
      </c>
      <c r="AX106" s="119">
        <f>AR106*AU106</f>
        <v/>
      </c>
    </row>
    <row r="107">
      <c r="A107" s="32" t="n">
        <v>97</v>
      </c>
      <c r="B107" s="33" t="n"/>
      <c r="C107" s="33" t="n"/>
      <c r="D107" s="33" t="n"/>
      <c r="E107" s="33" t="inlineStr">
        <is>
          <t>-</t>
        </is>
      </c>
      <c r="F107" s="54">
        <f>IFERROR((VLOOKUP(E107,$AE$11:$AG$14,3,0)),"-")</f>
        <v/>
      </c>
      <c r="G107" s="33" t="n"/>
      <c r="H107" s="33" t="n"/>
      <c r="I107" s="46" t="n"/>
      <c r="J107" s="35" t="n"/>
      <c r="K107" s="35" t="n"/>
      <c r="L107" s="36">
        <f>IF($H$4="-",0,IF($H$4="VAREJO",AW107,IF($H$4="ATACADO",AX107,0)))</f>
        <v/>
      </c>
      <c r="M107" s="33" t="n"/>
      <c r="AN107" s="47" t="n">
        <v>97</v>
      </c>
      <c r="AO107" s="117">
        <f>I107+(I107*J107)+(I107*K107)</f>
        <v/>
      </c>
      <c r="AP107" s="43">
        <f>IFERROR(VLOOKUP(E107,$AE$11:$AK$14,4,0),0)</f>
        <v/>
      </c>
      <c r="AQ107" s="117">
        <f>(I107+(I107*J107)+(I107*K107))*AP107</f>
        <v/>
      </c>
      <c r="AR107" s="118">
        <f>AO107+AQ107</f>
        <v/>
      </c>
      <c r="AT107" s="39">
        <f>IFERROR((VLOOKUP(E107,$AE$11:$AJ$14,5,0)),0)</f>
        <v/>
      </c>
      <c r="AU107" s="39">
        <f>IFERROR((VLOOKUP(E107,$AE$11:$AJ$14,6,0)),0)</f>
        <v/>
      </c>
      <c r="AW107" s="119">
        <f>AR107*AT107</f>
        <v/>
      </c>
      <c r="AX107" s="119">
        <f>AR107*AU107</f>
        <v/>
      </c>
    </row>
    <row r="108">
      <c r="A108" s="32" t="n">
        <v>98</v>
      </c>
      <c r="B108" s="33" t="n"/>
      <c r="C108" s="33" t="n"/>
      <c r="D108" s="33" t="n"/>
      <c r="E108" s="33" t="inlineStr">
        <is>
          <t>-</t>
        </is>
      </c>
      <c r="F108" s="54">
        <f>IFERROR((VLOOKUP(E108,$AE$11:$AG$14,3,0)),"-")</f>
        <v/>
      </c>
      <c r="G108" s="33" t="n"/>
      <c r="H108" s="33" t="n"/>
      <c r="I108" s="46" t="n"/>
      <c r="J108" s="35" t="n"/>
      <c r="K108" s="35" t="n"/>
      <c r="L108" s="36">
        <f>IF($H$4="-",0,IF($H$4="VAREJO",AW108,IF($H$4="ATACADO",AX108,0)))</f>
        <v/>
      </c>
      <c r="M108" s="33" t="n"/>
      <c r="AN108" s="47" t="n">
        <v>98</v>
      </c>
      <c r="AO108" s="117">
        <f>I108+(I108*J108)+(I108*K108)</f>
        <v/>
      </c>
      <c r="AP108" s="43">
        <f>IFERROR(VLOOKUP(E108,$AE$11:$AK$14,4,0),0)</f>
        <v/>
      </c>
      <c r="AQ108" s="117">
        <f>(I108+(I108*J108)+(I108*K108))*AP108</f>
        <v/>
      </c>
      <c r="AR108" s="118">
        <f>AO108+AQ108</f>
        <v/>
      </c>
      <c r="AT108" s="39">
        <f>IFERROR((VLOOKUP(E108,$AE$11:$AJ$14,5,0)),0)</f>
        <v/>
      </c>
      <c r="AU108" s="39">
        <f>IFERROR((VLOOKUP(E108,$AE$11:$AJ$14,6,0)),0)</f>
        <v/>
      </c>
      <c r="AW108" s="119">
        <f>AR108*AT108</f>
        <v/>
      </c>
      <c r="AX108" s="119">
        <f>AR108*AU108</f>
        <v/>
      </c>
    </row>
    <row r="109">
      <c r="A109" s="32" t="n">
        <v>99</v>
      </c>
      <c r="B109" s="33" t="n"/>
      <c r="C109" s="33" t="n"/>
      <c r="D109" s="33" t="n"/>
      <c r="E109" s="33" t="inlineStr">
        <is>
          <t>-</t>
        </is>
      </c>
      <c r="F109" s="54">
        <f>IFERROR((VLOOKUP(E109,$AE$11:$AG$14,3,0)),"-")</f>
        <v/>
      </c>
      <c r="G109" s="33" t="n"/>
      <c r="H109" s="33" t="n"/>
      <c r="I109" s="46" t="n"/>
      <c r="J109" s="35" t="n"/>
      <c r="K109" s="35" t="n"/>
      <c r="L109" s="36">
        <f>IF($H$4="-",0,IF($H$4="VAREJO",AW109,IF($H$4="ATACADO",AX109,0)))</f>
        <v/>
      </c>
      <c r="M109" s="33" t="n"/>
      <c r="AN109" s="47" t="n">
        <v>99</v>
      </c>
      <c r="AO109" s="117">
        <f>I109+(I109*J109)+(I109*K109)</f>
        <v/>
      </c>
      <c r="AP109" s="43">
        <f>IFERROR(VLOOKUP(E109,$AE$11:$AK$14,4,0),0)</f>
        <v/>
      </c>
      <c r="AQ109" s="117">
        <f>(I109+(I109*J109)+(I109*K109))*AP109</f>
        <v/>
      </c>
      <c r="AR109" s="118">
        <f>AO109+AQ109</f>
        <v/>
      </c>
      <c r="AT109" s="39">
        <f>IFERROR((VLOOKUP(E109,$AE$11:$AJ$14,5,0)),0)</f>
        <v/>
      </c>
      <c r="AU109" s="39">
        <f>IFERROR((VLOOKUP(E109,$AE$11:$AJ$14,6,0)),0)</f>
        <v/>
      </c>
      <c r="AW109" s="119">
        <f>AR109*AT109</f>
        <v/>
      </c>
      <c r="AX109" s="119">
        <f>AR109*AU109</f>
        <v/>
      </c>
    </row>
    <row r="110">
      <c r="A110" s="32" t="n">
        <v>100</v>
      </c>
      <c r="B110" s="33" t="n"/>
      <c r="C110" s="33" t="n"/>
      <c r="D110" s="33" t="n"/>
      <c r="E110" s="33" t="inlineStr">
        <is>
          <t>-</t>
        </is>
      </c>
      <c r="F110" s="54">
        <f>IFERROR((VLOOKUP(E110,$AE$11:$AG$14,3,0)),"-")</f>
        <v/>
      </c>
      <c r="G110" s="33" t="n"/>
      <c r="H110" s="33" t="n"/>
      <c r="I110" s="46" t="n"/>
      <c r="J110" s="35" t="n"/>
      <c r="K110" s="35" t="n"/>
      <c r="L110" s="36">
        <f>IF($H$4="-",0,IF($H$4="VAREJO",AW110,IF($H$4="ATACADO",AX110,0)))</f>
        <v/>
      </c>
      <c r="M110" s="33" t="n"/>
      <c r="AN110" s="47" t="n">
        <v>100</v>
      </c>
      <c r="AO110" s="117">
        <f>I110+(I110*J110)+(I110*K110)</f>
        <v/>
      </c>
      <c r="AP110" s="43">
        <f>IFERROR(VLOOKUP(E110,$AE$11:$AK$14,4,0),0)</f>
        <v/>
      </c>
      <c r="AQ110" s="117">
        <f>(I110+(I110*J110)+(I110*K110))*AP110</f>
        <v/>
      </c>
      <c r="AR110" s="118">
        <f>AO110+AQ110</f>
        <v/>
      </c>
      <c r="AT110" s="39">
        <f>IFERROR((VLOOKUP(E110,$AE$11:$AJ$14,5,0)),0)</f>
        <v/>
      </c>
      <c r="AU110" s="39">
        <f>IFERROR((VLOOKUP(E110,$AE$11:$AJ$14,6,0)),0)</f>
        <v/>
      </c>
      <c r="AW110" s="119">
        <f>AR110*AT110</f>
        <v/>
      </c>
      <c r="AX110" s="119">
        <f>AR110*AU110</f>
        <v/>
      </c>
    </row>
    <row r="111">
      <c r="A111" s="32" t="n">
        <v>101</v>
      </c>
      <c r="B111" s="33" t="n"/>
      <c r="C111" s="33" t="n"/>
      <c r="D111" s="33" t="n"/>
      <c r="E111" s="33" t="inlineStr">
        <is>
          <t>-</t>
        </is>
      </c>
      <c r="F111" s="54">
        <f>IFERROR((VLOOKUP(E111,$AE$11:$AG$14,3,0)),"-")</f>
        <v/>
      </c>
      <c r="G111" s="33" t="n"/>
      <c r="H111" s="33" t="n"/>
      <c r="I111" s="46" t="n"/>
      <c r="J111" s="35" t="n"/>
      <c r="K111" s="35" t="n"/>
      <c r="L111" s="36">
        <f>IF($H$4="-",0,IF($H$4="VAREJO",AW111,IF($H$4="ATACADO",AX111,0)))</f>
        <v/>
      </c>
      <c r="M111" s="33" t="n"/>
      <c r="AN111" s="47" t="n">
        <v>101</v>
      </c>
      <c r="AO111" s="117">
        <f>I111+(I111*J111)+(I111*K111)</f>
        <v/>
      </c>
      <c r="AP111" s="43">
        <f>IFERROR(VLOOKUP(E111,$AE$11:$AK$14,4,0),0)</f>
        <v/>
      </c>
      <c r="AQ111" s="117">
        <f>(I111+(I111*J111)+(I111*K111))*AP111</f>
        <v/>
      </c>
      <c r="AR111" s="118">
        <f>AO111+AQ111</f>
        <v/>
      </c>
      <c r="AT111" s="39">
        <f>IFERROR((VLOOKUP(E111,$AE$11:$AJ$14,5,0)),0)</f>
        <v/>
      </c>
      <c r="AU111" s="39">
        <f>IFERROR((VLOOKUP(E111,$AE$11:$AJ$14,6,0)),0)</f>
        <v/>
      </c>
      <c r="AW111" s="119">
        <f>AR111*AT111</f>
        <v/>
      </c>
      <c r="AX111" s="119">
        <f>AR111*AU111</f>
        <v/>
      </c>
    </row>
    <row r="112">
      <c r="A112" s="32" t="n">
        <v>102</v>
      </c>
      <c r="B112" s="33" t="n"/>
      <c r="C112" s="33" t="n"/>
      <c r="D112" s="33" t="n"/>
      <c r="E112" s="33" t="inlineStr">
        <is>
          <t>-</t>
        </is>
      </c>
      <c r="F112" s="54">
        <f>IFERROR((VLOOKUP(E112,$AE$11:$AG$14,3,0)),"-")</f>
        <v/>
      </c>
      <c r="G112" s="33" t="n"/>
      <c r="H112" s="33" t="n"/>
      <c r="I112" s="46" t="n"/>
      <c r="J112" s="35" t="n"/>
      <c r="K112" s="35" t="n"/>
      <c r="L112" s="36">
        <f>IF($H$4="-",0,IF($H$4="VAREJO",AW112,IF($H$4="ATACADO",AX112,0)))</f>
        <v/>
      </c>
      <c r="M112" s="33" t="n"/>
      <c r="AN112" s="47" t="n">
        <v>102</v>
      </c>
      <c r="AO112" s="117">
        <f>I112+(I112*J112)+(I112*K112)</f>
        <v/>
      </c>
      <c r="AP112" s="43">
        <f>IFERROR(VLOOKUP(E112,$AE$11:$AK$14,4,0),0)</f>
        <v/>
      </c>
      <c r="AQ112" s="117">
        <f>(I112+(I112*J112)+(I112*K112))*AP112</f>
        <v/>
      </c>
      <c r="AR112" s="118">
        <f>AO112+AQ112</f>
        <v/>
      </c>
      <c r="AT112" s="39">
        <f>IFERROR((VLOOKUP(E112,$AE$11:$AJ$14,5,0)),0)</f>
        <v/>
      </c>
      <c r="AU112" s="39">
        <f>IFERROR((VLOOKUP(E112,$AE$11:$AJ$14,6,0)),0)</f>
        <v/>
      </c>
      <c r="AW112" s="119">
        <f>AR112*AT112</f>
        <v/>
      </c>
      <c r="AX112" s="119">
        <f>AR112*AU112</f>
        <v/>
      </c>
    </row>
    <row r="113">
      <c r="A113" s="32" t="n">
        <v>103</v>
      </c>
      <c r="B113" s="33" t="n"/>
      <c r="C113" s="33" t="n"/>
      <c r="D113" s="33" t="n"/>
      <c r="E113" s="33" t="inlineStr">
        <is>
          <t>-</t>
        </is>
      </c>
      <c r="F113" s="54">
        <f>IFERROR((VLOOKUP(E113,$AE$11:$AG$14,3,0)),"-")</f>
        <v/>
      </c>
      <c r="G113" s="33" t="n"/>
      <c r="H113" s="33" t="n"/>
      <c r="I113" s="46" t="n"/>
      <c r="J113" s="35" t="n"/>
      <c r="K113" s="35" t="n"/>
      <c r="L113" s="36">
        <f>IF($H$4="-",0,IF($H$4="VAREJO",AW113,IF($H$4="ATACADO",AX113,0)))</f>
        <v/>
      </c>
      <c r="M113" s="33" t="n"/>
      <c r="AN113" s="47" t="n">
        <v>103</v>
      </c>
      <c r="AO113" s="117">
        <f>I113+(I113*J113)+(I113*K113)</f>
        <v/>
      </c>
      <c r="AP113" s="43">
        <f>IFERROR(VLOOKUP(E113,$AE$11:$AK$14,4,0),0)</f>
        <v/>
      </c>
      <c r="AQ113" s="117">
        <f>(I113+(I113*J113)+(I113*K113))*AP113</f>
        <v/>
      </c>
      <c r="AR113" s="118">
        <f>AO113+AQ113</f>
        <v/>
      </c>
      <c r="AT113" s="39">
        <f>IFERROR((VLOOKUP(E113,$AE$11:$AJ$14,5,0)),0)</f>
        <v/>
      </c>
      <c r="AU113" s="39">
        <f>IFERROR((VLOOKUP(E113,$AE$11:$AJ$14,6,0)),0)</f>
        <v/>
      </c>
      <c r="AW113" s="119">
        <f>AR113*AT113</f>
        <v/>
      </c>
      <c r="AX113" s="119">
        <f>AR113*AU113</f>
        <v/>
      </c>
    </row>
    <row r="114">
      <c r="A114" s="32" t="n">
        <v>104</v>
      </c>
      <c r="B114" s="33" t="n"/>
      <c r="C114" s="33" t="n"/>
      <c r="D114" s="33" t="n"/>
      <c r="E114" s="33" t="inlineStr">
        <is>
          <t>-</t>
        </is>
      </c>
      <c r="F114" s="54">
        <f>IFERROR((VLOOKUP(E114,$AE$11:$AG$14,3,0)),"-")</f>
        <v/>
      </c>
      <c r="G114" s="33" t="n"/>
      <c r="H114" s="33" t="n"/>
      <c r="I114" s="46" t="n"/>
      <c r="J114" s="35" t="n"/>
      <c r="K114" s="35" t="n"/>
      <c r="L114" s="36">
        <f>IF($H$4="-",0,IF($H$4="VAREJO",AW114,IF($H$4="ATACADO",AX114,0)))</f>
        <v/>
      </c>
      <c r="M114" s="33" t="n"/>
      <c r="AN114" s="47" t="n">
        <v>104</v>
      </c>
      <c r="AO114" s="117">
        <f>I114+(I114*J114)+(I114*K114)</f>
        <v/>
      </c>
      <c r="AP114" s="43">
        <f>IFERROR(VLOOKUP(E114,$AE$11:$AK$14,4,0),0)</f>
        <v/>
      </c>
      <c r="AQ114" s="117">
        <f>(I114+(I114*J114)+(I114*K114))*AP114</f>
        <v/>
      </c>
      <c r="AR114" s="118">
        <f>AO114+AQ114</f>
        <v/>
      </c>
      <c r="AT114" s="39">
        <f>IFERROR((VLOOKUP(E114,$AE$11:$AJ$14,5,0)),0)</f>
        <v/>
      </c>
      <c r="AU114" s="39">
        <f>IFERROR((VLOOKUP(E114,$AE$11:$AJ$14,6,0)),0)</f>
        <v/>
      </c>
      <c r="AW114" s="119">
        <f>AR114*AT114</f>
        <v/>
      </c>
      <c r="AX114" s="119">
        <f>AR114*AU114</f>
        <v/>
      </c>
    </row>
    <row r="115">
      <c r="A115" s="32" t="n">
        <v>105</v>
      </c>
      <c r="B115" s="33" t="n"/>
      <c r="C115" s="33" t="n"/>
      <c r="D115" s="33" t="n"/>
      <c r="E115" s="33" t="inlineStr">
        <is>
          <t>-</t>
        </is>
      </c>
      <c r="F115" s="54">
        <f>IFERROR((VLOOKUP(E115,$AE$11:$AG$14,3,0)),"-")</f>
        <v/>
      </c>
      <c r="G115" s="33" t="n"/>
      <c r="H115" s="33" t="n"/>
      <c r="I115" s="46" t="n"/>
      <c r="J115" s="35" t="n"/>
      <c r="K115" s="35" t="n"/>
      <c r="L115" s="36">
        <f>IF($H$4="-",0,IF($H$4="VAREJO",AW115,IF($H$4="ATACADO",AX115,0)))</f>
        <v/>
      </c>
      <c r="M115" s="33" t="n"/>
      <c r="AN115" s="47" t="n">
        <v>105</v>
      </c>
      <c r="AO115" s="117">
        <f>I115+(I115*J115)+(I115*K115)</f>
        <v/>
      </c>
      <c r="AP115" s="43">
        <f>IFERROR(VLOOKUP(E115,$AE$11:$AK$14,4,0),0)</f>
        <v/>
      </c>
      <c r="AQ115" s="117">
        <f>(I115+(I115*J115)+(I115*K115))*AP115</f>
        <v/>
      </c>
      <c r="AR115" s="118">
        <f>AO115+AQ115</f>
        <v/>
      </c>
      <c r="AT115" s="39">
        <f>IFERROR((VLOOKUP(E115,$AE$11:$AJ$14,5,0)),0)</f>
        <v/>
      </c>
      <c r="AU115" s="39">
        <f>IFERROR((VLOOKUP(E115,$AE$11:$AJ$14,6,0)),0)</f>
        <v/>
      </c>
      <c r="AW115" s="119">
        <f>AR115*AT115</f>
        <v/>
      </c>
      <c r="AX115" s="119">
        <f>AR115*AU115</f>
        <v/>
      </c>
    </row>
    <row r="116">
      <c r="A116" s="32" t="n">
        <v>106</v>
      </c>
      <c r="B116" s="33" t="n"/>
      <c r="C116" s="33" t="n"/>
      <c r="D116" s="33" t="n"/>
      <c r="E116" s="33" t="inlineStr">
        <is>
          <t>-</t>
        </is>
      </c>
      <c r="F116" s="54">
        <f>IFERROR((VLOOKUP(E116,$AE$11:$AG$14,3,0)),"-")</f>
        <v/>
      </c>
      <c r="G116" s="33" t="n"/>
      <c r="H116" s="33" t="n"/>
      <c r="I116" s="46" t="n"/>
      <c r="J116" s="35" t="n"/>
      <c r="K116" s="35" t="n"/>
      <c r="L116" s="36">
        <f>IF($H$4="-",0,IF($H$4="VAREJO",AW116,IF($H$4="ATACADO",AX116,0)))</f>
        <v/>
      </c>
      <c r="M116" s="33" t="n"/>
      <c r="AN116" s="47" t="n">
        <v>106</v>
      </c>
      <c r="AO116" s="117">
        <f>I116+(I116*J116)+(I116*K116)</f>
        <v/>
      </c>
      <c r="AP116" s="43">
        <f>IFERROR(VLOOKUP(E116,$AE$11:$AK$14,4,0),0)</f>
        <v/>
      </c>
      <c r="AQ116" s="117">
        <f>(I116+(I116*J116)+(I116*K116))*AP116</f>
        <v/>
      </c>
      <c r="AR116" s="118">
        <f>AO116+AQ116</f>
        <v/>
      </c>
      <c r="AT116" s="39">
        <f>IFERROR((VLOOKUP(E116,$AE$11:$AJ$14,5,0)),0)</f>
        <v/>
      </c>
      <c r="AU116" s="39">
        <f>IFERROR((VLOOKUP(E116,$AE$11:$AJ$14,6,0)),0)</f>
        <v/>
      </c>
      <c r="AW116" s="119">
        <f>AR116*AT116</f>
        <v/>
      </c>
      <c r="AX116" s="119">
        <f>AR116*AU116</f>
        <v/>
      </c>
    </row>
    <row r="117">
      <c r="A117" s="32" t="n">
        <v>107</v>
      </c>
      <c r="B117" s="33" t="n"/>
      <c r="C117" s="33" t="n"/>
      <c r="D117" s="33" t="n"/>
      <c r="E117" s="33" t="inlineStr">
        <is>
          <t>-</t>
        </is>
      </c>
      <c r="F117" s="54">
        <f>IFERROR((VLOOKUP(E117,$AE$11:$AG$14,3,0)),"-")</f>
        <v/>
      </c>
      <c r="G117" s="33" t="n"/>
      <c r="H117" s="33" t="n"/>
      <c r="I117" s="46" t="n"/>
      <c r="J117" s="35" t="n"/>
      <c r="K117" s="35" t="n"/>
      <c r="L117" s="36">
        <f>IF($H$4="-",0,IF($H$4="VAREJO",AW117,IF($H$4="ATACADO",AX117,0)))</f>
        <v/>
      </c>
      <c r="M117" s="33" t="n"/>
      <c r="AN117" s="47" t="n">
        <v>107</v>
      </c>
      <c r="AO117" s="117">
        <f>I117+(I117*J117)+(I117*K117)</f>
        <v/>
      </c>
      <c r="AP117" s="43">
        <f>IFERROR(VLOOKUP(E117,$AE$11:$AK$14,4,0),0)</f>
        <v/>
      </c>
      <c r="AQ117" s="117">
        <f>(I117+(I117*J117)+(I117*K117))*AP117</f>
        <v/>
      </c>
      <c r="AR117" s="118">
        <f>AO117+AQ117</f>
        <v/>
      </c>
      <c r="AT117" s="39">
        <f>IFERROR((VLOOKUP(E117,$AE$11:$AJ$14,5,0)),0)</f>
        <v/>
      </c>
      <c r="AU117" s="39">
        <f>IFERROR((VLOOKUP(E117,$AE$11:$AJ$14,6,0)),0)</f>
        <v/>
      </c>
      <c r="AW117" s="119">
        <f>AR117*AT117</f>
        <v/>
      </c>
      <c r="AX117" s="119">
        <f>AR117*AU117</f>
        <v/>
      </c>
    </row>
    <row r="118">
      <c r="A118" s="32" t="n">
        <v>108</v>
      </c>
      <c r="B118" s="33" t="n"/>
      <c r="C118" s="33" t="n"/>
      <c r="D118" s="33" t="n"/>
      <c r="E118" s="33" t="inlineStr">
        <is>
          <t>-</t>
        </is>
      </c>
      <c r="F118" s="54">
        <f>IFERROR((VLOOKUP(E118,$AE$11:$AG$14,3,0)),"-")</f>
        <v/>
      </c>
      <c r="G118" s="33" t="n"/>
      <c r="H118" s="33" t="n"/>
      <c r="I118" s="46" t="n"/>
      <c r="J118" s="35" t="n"/>
      <c r="K118" s="35" t="n"/>
      <c r="L118" s="36">
        <f>IF($H$4="-",0,IF($H$4="VAREJO",AW118,IF($H$4="ATACADO",AX118,0)))</f>
        <v/>
      </c>
      <c r="M118" s="33" t="n"/>
      <c r="AN118" s="47" t="n">
        <v>108</v>
      </c>
      <c r="AO118" s="117">
        <f>I118+(I118*J118)+(I118*K118)</f>
        <v/>
      </c>
      <c r="AP118" s="43">
        <f>IFERROR(VLOOKUP(E118,$AE$11:$AK$14,4,0),0)</f>
        <v/>
      </c>
      <c r="AQ118" s="117">
        <f>(I118+(I118*J118)+(I118*K118))*AP118</f>
        <v/>
      </c>
      <c r="AR118" s="118">
        <f>AO118+AQ118</f>
        <v/>
      </c>
      <c r="AT118" s="39">
        <f>IFERROR((VLOOKUP(E118,$AE$11:$AJ$14,5,0)),0)</f>
        <v/>
      </c>
      <c r="AU118" s="39">
        <f>IFERROR((VLOOKUP(E118,$AE$11:$AJ$14,6,0)),0)</f>
        <v/>
      </c>
      <c r="AW118" s="119">
        <f>AR118*AT118</f>
        <v/>
      </c>
      <c r="AX118" s="119">
        <f>AR118*AU118</f>
        <v/>
      </c>
    </row>
    <row r="119">
      <c r="A119" s="32" t="n">
        <v>109</v>
      </c>
      <c r="B119" s="33" t="n"/>
      <c r="C119" s="33" t="n"/>
      <c r="D119" s="33" t="n"/>
      <c r="E119" s="33" t="inlineStr">
        <is>
          <t>-</t>
        </is>
      </c>
      <c r="F119" s="54">
        <f>IFERROR((VLOOKUP(E119,$AE$11:$AG$14,3,0)),"-")</f>
        <v/>
      </c>
      <c r="G119" s="33" t="n"/>
      <c r="H119" s="33" t="n"/>
      <c r="I119" s="46" t="n"/>
      <c r="J119" s="35" t="n"/>
      <c r="K119" s="35" t="n"/>
      <c r="L119" s="36">
        <f>IF($H$4="-",0,IF($H$4="VAREJO",AW119,IF($H$4="ATACADO",AX119,0)))</f>
        <v/>
      </c>
      <c r="M119" s="33" t="n"/>
      <c r="AN119" s="47" t="n">
        <v>109</v>
      </c>
      <c r="AO119" s="117">
        <f>I119+(I119*J119)+(I119*K119)</f>
        <v/>
      </c>
      <c r="AP119" s="43">
        <f>IFERROR(VLOOKUP(E119,$AE$11:$AK$14,4,0),0)</f>
        <v/>
      </c>
      <c r="AQ119" s="117">
        <f>(I119+(I119*J119)+(I119*K119))*AP119</f>
        <v/>
      </c>
      <c r="AR119" s="118">
        <f>AO119+AQ119</f>
        <v/>
      </c>
      <c r="AT119" s="39">
        <f>IFERROR((VLOOKUP(E119,$AE$11:$AJ$14,5,0)),0)</f>
        <v/>
      </c>
      <c r="AU119" s="39">
        <f>IFERROR((VLOOKUP(E119,$AE$11:$AJ$14,6,0)),0)</f>
        <v/>
      </c>
      <c r="AW119" s="119">
        <f>AR119*AT119</f>
        <v/>
      </c>
      <c r="AX119" s="119">
        <f>AR119*AU119</f>
        <v/>
      </c>
    </row>
    <row r="120">
      <c r="A120" s="32" t="n">
        <v>110</v>
      </c>
      <c r="B120" s="33" t="n"/>
      <c r="C120" s="33" t="n"/>
      <c r="D120" s="33" t="n"/>
      <c r="E120" s="33" t="inlineStr">
        <is>
          <t>-</t>
        </is>
      </c>
      <c r="F120" s="54">
        <f>IFERROR((VLOOKUP(E120,$AE$11:$AG$14,3,0)),"-")</f>
        <v/>
      </c>
      <c r="G120" s="33" t="n"/>
      <c r="H120" s="33" t="n"/>
      <c r="I120" s="46" t="n"/>
      <c r="J120" s="35" t="n"/>
      <c r="K120" s="35" t="n"/>
      <c r="L120" s="36">
        <f>IF($H$4="-",0,IF($H$4="VAREJO",AW120,IF($H$4="ATACADO",AX120,0)))</f>
        <v/>
      </c>
      <c r="M120" s="33" t="n"/>
      <c r="AN120" s="47" t="n">
        <v>110</v>
      </c>
      <c r="AO120" s="117">
        <f>I120+(I120*J120)+(I120*K120)</f>
        <v/>
      </c>
      <c r="AP120" s="43">
        <f>IFERROR(VLOOKUP(E120,$AE$11:$AK$14,4,0),0)</f>
        <v/>
      </c>
      <c r="AQ120" s="117">
        <f>(I120+(I120*J120)+(I120*K120))*AP120</f>
        <v/>
      </c>
      <c r="AR120" s="118">
        <f>AO120+AQ120</f>
        <v/>
      </c>
      <c r="AT120" s="39">
        <f>IFERROR((VLOOKUP(E120,$AE$11:$AJ$14,5,0)),0)</f>
        <v/>
      </c>
      <c r="AU120" s="39">
        <f>IFERROR((VLOOKUP(E120,$AE$11:$AJ$14,6,0)),0)</f>
        <v/>
      </c>
      <c r="AW120" s="119">
        <f>AR120*AT120</f>
        <v/>
      </c>
      <c r="AX120" s="119">
        <f>AR120*AU120</f>
        <v/>
      </c>
    </row>
    <row r="121">
      <c r="A121" s="32" t="n">
        <v>111</v>
      </c>
      <c r="B121" s="33" t="n"/>
      <c r="C121" s="33" t="n"/>
      <c r="D121" s="33" t="n"/>
      <c r="E121" s="33" t="inlineStr">
        <is>
          <t>-</t>
        </is>
      </c>
      <c r="F121" s="54">
        <f>IFERROR((VLOOKUP(E121,$AE$11:$AG$14,3,0)),"-")</f>
        <v/>
      </c>
      <c r="G121" s="33" t="n"/>
      <c r="H121" s="33" t="n"/>
      <c r="I121" s="46" t="n"/>
      <c r="J121" s="35" t="n"/>
      <c r="K121" s="35" t="n"/>
      <c r="L121" s="36">
        <f>IF($H$4="-",0,IF($H$4="VAREJO",AW121,IF($H$4="ATACADO",AX121,0)))</f>
        <v/>
      </c>
      <c r="M121" s="33" t="n"/>
      <c r="AN121" s="47" t="n">
        <v>111</v>
      </c>
      <c r="AO121" s="117">
        <f>I121+(I121*J121)+(I121*K121)</f>
        <v/>
      </c>
      <c r="AP121" s="43">
        <f>IFERROR(VLOOKUP(E121,$AE$11:$AK$14,4,0),0)</f>
        <v/>
      </c>
      <c r="AQ121" s="117">
        <f>(I121+(I121*J121)+(I121*K121))*AP121</f>
        <v/>
      </c>
      <c r="AR121" s="118">
        <f>AO121+AQ121</f>
        <v/>
      </c>
      <c r="AT121" s="39">
        <f>IFERROR((VLOOKUP(E121,$AE$11:$AJ$14,5,0)),0)</f>
        <v/>
      </c>
      <c r="AU121" s="39">
        <f>IFERROR((VLOOKUP(E121,$AE$11:$AJ$14,6,0)),0)</f>
        <v/>
      </c>
      <c r="AW121" s="119">
        <f>AR121*AT121</f>
        <v/>
      </c>
      <c r="AX121" s="119">
        <f>AR121*AU121</f>
        <v/>
      </c>
    </row>
    <row r="122">
      <c r="A122" s="32" t="n">
        <v>112</v>
      </c>
      <c r="B122" s="33" t="n"/>
      <c r="C122" s="33" t="n"/>
      <c r="D122" s="33" t="n"/>
      <c r="E122" s="33" t="inlineStr">
        <is>
          <t>-</t>
        </is>
      </c>
      <c r="F122" s="54">
        <f>IFERROR((VLOOKUP(E122,$AE$11:$AG$14,3,0)),"-")</f>
        <v/>
      </c>
      <c r="G122" s="33" t="n"/>
      <c r="H122" s="33" t="n"/>
      <c r="I122" s="46" t="n"/>
      <c r="J122" s="35" t="n"/>
      <c r="K122" s="35" t="n"/>
      <c r="L122" s="36">
        <f>IF($H$4="-",0,IF($H$4="VAREJO",AW122,IF($H$4="ATACADO",AX122,0)))</f>
        <v/>
      </c>
      <c r="M122" s="33" t="n"/>
      <c r="AN122" s="47" t="n">
        <v>112</v>
      </c>
      <c r="AO122" s="117">
        <f>I122+(I122*J122)+(I122*K122)</f>
        <v/>
      </c>
      <c r="AP122" s="43">
        <f>IFERROR(VLOOKUP(E122,$AE$11:$AK$14,4,0),0)</f>
        <v/>
      </c>
      <c r="AQ122" s="117">
        <f>(I122+(I122*J122)+(I122*K122))*AP122</f>
        <v/>
      </c>
      <c r="AR122" s="118">
        <f>AO122+AQ122</f>
        <v/>
      </c>
      <c r="AT122" s="39">
        <f>IFERROR((VLOOKUP(E122,$AE$11:$AJ$14,5,0)),0)</f>
        <v/>
      </c>
      <c r="AU122" s="39">
        <f>IFERROR((VLOOKUP(E122,$AE$11:$AJ$14,6,0)),0)</f>
        <v/>
      </c>
      <c r="AW122" s="119">
        <f>AR122*AT122</f>
        <v/>
      </c>
      <c r="AX122" s="119">
        <f>AR122*AU122</f>
        <v/>
      </c>
    </row>
    <row r="123">
      <c r="A123" s="32" t="n">
        <v>113</v>
      </c>
      <c r="B123" s="33" t="n"/>
      <c r="C123" s="33" t="n"/>
      <c r="D123" s="33" t="n"/>
      <c r="E123" s="33" t="inlineStr">
        <is>
          <t>-</t>
        </is>
      </c>
      <c r="F123" s="54">
        <f>IFERROR((VLOOKUP(E123,$AE$11:$AG$14,3,0)),"-")</f>
        <v/>
      </c>
      <c r="G123" s="33" t="n"/>
      <c r="H123" s="33" t="n"/>
      <c r="I123" s="46" t="n"/>
      <c r="J123" s="35" t="n"/>
      <c r="K123" s="35" t="n"/>
      <c r="L123" s="36">
        <f>IF($H$4="-",0,IF($H$4="VAREJO",AW123,IF($H$4="ATACADO",AX123,0)))</f>
        <v/>
      </c>
      <c r="M123" s="33" t="n"/>
      <c r="AN123" s="47" t="n">
        <v>113</v>
      </c>
      <c r="AO123" s="117">
        <f>I123+(I123*J123)+(I123*K123)</f>
        <v/>
      </c>
      <c r="AP123" s="43">
        <f>IFERROR(VLOOKUP(E123,$AE$11:$AK$14,4,0),0)</f>
        <v/>
      </c>
      <c r="AQ123" s="117">
        <f>(I123+(I123*J123)+(I123*K123))*AP123</f>
        <v/>
      </c>
      <c r="AR123" s="118">
        <f>AO123+AQ123</f>
        <v/>
      </c>
      <c r="AT123" s="39">
        <f>IFERROR((VLOOKUP(E123,$AE$11:$AJ$14,5,0)),0)</f>
        <v/>
      </c>
      <c r="AU123" s="39">
        <f>IFERROR((VLOOKUP(E123,$AE$11:$AJ$14,6,0)),0)</f>
        <v/>
      </c>
      <c r="AW123" s="119">
        <f>AR123*AT123</f>
        <v/>
      </c>
      <c r="AX123" s="119">
        <f>AR123*AU123</f>
        <v/>
      </c>
    </row>
    <row r="124">
      <c r="A124" s="32" t="n">
        <v>114</v>
      </c>
      <c r="B124" s="33" t="n"/>
      <c r="C124" s="33" t="n"/>
      <c r="D124" s="33" t="n"/>
      <c r="E124" s="33" t="inlineStr">
        <is>
          <t>-</t>
        </is>
      </c>
      <c r="F124" s="54">
        <f>IFERROR((VLOOKUP(E124,$AE$11:$AG$14,3,0)),"-")</f>
        <v/>
      </c>
      <c r="G124" s="33" t="n"/>
      <c r="H124" s="33" t="n"/>
      <c r="I124" s="46" t="n"/>
      <c r="J124" s="35" t="n"/>
      <c r="K124" s="35" t="n"/>
      <c r="L124" s="36">
        <f>IF($H$4="-",0,IF($H$4="VAREJO",AW124,IF($H$4="ATACADO",AX124,0)))</f>
        <v/>
      </c>
      <c r="M124" s="33" t="n"/>
      <c r="AN124" s="47" t="n">
        <v>114</v>
      </c>
      <c r="AO124" s="117">
        <f>I124+(I124*J124)+(I124*K124)</f>
        <v/>
      </c>
      <c r="AP124" s="43">
        <f>IFERROR(VLOOKUP(E124,$AE$11:$AK$14,4,0),0)</f>
        <v/>
      </c>
      <c r="AQ124" s="117">
        <f>(I124+(I124*J124)+(I124*K124))*AP124</f>
        <v/>
      </c>
      <c r="AR124" s="118">
        <f>AO124+AQ124</f>
        <v/>
      </c>
      <c r="AT124" s="39">
        <f>IFERROR((VLOOKUP(E124,$AE$11:$AJ$14,5,0)),0)</f>
        <v/>
      </c>
      <c r="AU124" s="39">
        <f>IFERROR((VLOOKUP(E124,$AE$11:$AJ$14,6,0)),0)</f>
        <v/>
      </c>
      <c r="AW124" s="119">
        <f>AR124*AT124</f>
        <v/>
      </c>
      <c r="AX124" s="119">
        <f>AR124*AU124</f>
        <v/>
      </c>
    </row>
    <row r="125">
      <c r="A125" s="32" t="n">
        <v>115</v>
      </c>
      <c r="B125" s="33" t="n"/>
      <c r="C125" s="33" t="n"/>
      <c r="D125" s="33" t="n"/>
      <c r="E125" s="33" t="inlineStr">
        <is>
          <t>-</t>
        </is>
      </c>
      <c r="F125" s="54">
        <f>IFERROR((VLOOKUP(E125,$AE$11:$AG$14,3,0)),"-")</f>
        <v/>
      </c>
      <c r="G125" s="33" t="n"/>
      <c r="H125" s="33" t="n"/>
      <c r="I125" s="46" t="n"/>
      <c r="J125" s="35" t="n"/>
      <c r="K125" s="35" t="n"/>
      <c r="L125" s="36">
        <f>IF($H$4="-",0,IF($H$4="VAREJO",AW125,IF($H$4="ATACADO",AX125,0)))</f>
        <v/>
      </c>
      <c r="M125" s="33" t="n"/>
      <c r="AN125" s="47" t="n">
        <v>115</v>
      </c>
      <c r="AO125" s="117">
        <f>I125+(I125*J125)+(I125*K125)</f>
        <v/>
      </c>
      <c r="AP125" s="43">
        <f>IFERROR(VLOOKUP(E125,$AE$11:$AK$14,4,0),0)</f>
        <v/>
      </c>
      <c r="AQ125" s="117">
        <f>(I125+(I125*J125)+(I125*K125))*AP125</f>
        <v/>
      </c>
      <c r="AR125" s="118">
        <f>AO125+AQ125</f>
        <v/>
      </c>
      <c r="AT125" s="39">
        <f>IFERROR((VLOOKUP(E125,$AE$11:$AJ$14,5,0)),0)</f>
        <v/>
      </c>
      <c r="AU125" s="39">
        <f>IFERROR((VLOOKUP(E125,$AE$11:$AJ$14,6,0)),0)</f>
        <v/>
      </c>
      <c r="AW125" s="119">
        <f>AR125*AT125</f>
        <v/>
      </c>
      <c r="AX125" s="119">
        <f>AR125*AU125</f>
        <v/>
      </c>
    </row>
    <row r="126">
      <c r="A126" s="32" t="n">
        <v>116</v>
      </c>
      <c r="B126" s="33" t="n"/>
      <c r="C126" s="33" t="n"/>
      <c r="D126" s="33" t="n"/>
      <c r="E126" s="33" t="inlineStr">
        <is>
          <t>-</t>
        </is>
      </c>
      <c r="F126" s="54">
        <f>IFERROR((VLOOKUP(E126,$AE$11:$AG$14,3,0)),"-")</f>
        <v/>
      </c>
      <c r="G126" s="33" t="n"/>
      <c r="H126" s="33" t="n"/>
      <c r="I126" s="46" t="n"/>
      <c r="J126" s="35" t="n"/>
      <c r="K126" s="35" t="n"/>
      <c r="L126" s="36">
        <f>IF($H$4="-",0,IF($H$4="VAREJO",AW126,IF($H$4="ATACADO",AX126,0)))</f>
        <v/>
      </c>
      <c r="M126" s="33" t="n"/>
      <c r="AN126" s="47" t="n">
        <v>116</v>
      </c>
      <c r="AO126" s="117">
        <f>I126+(I126*J126)+(I126*K126)</f>
        <v/>
      </c>
      <c r="AP126" s="43">
        <f>IFERROR(VLOOKUP(E126,$AE$11:$AK$14,4,0),0)</f>
        <v/>
      </c>
      <c r="AQ126" s="117">
        <f>(I126+(I126*J126)+(I126*K126))*AP126</f>
        <v/>
      </c>
      <c r="AR126" s="118">
        <f>AO126+AQ126</f>
        <v/>
      </c>
      <c r="AT126" s="39">
        <f>IFERROR((VLOOKUP(E126,$AE$11:$AJ$14,5,0)),0)</f>
        <v/>
      </c>
      <c r="AU126" s="39">
        <f>IFERROR((VLOOKUP(E126,$AE$11:$AJ$14,6,0)),0)</f>
        <v/>
      </c>
      <c r="AW126" s="119">
        <f>AR126*AT126</f>
        <v/>
      </c>
      <c r="AX126" s="119">
        <f>AR126*AU126</f>
        <v/>
      </c>
    </row>
    <row r="127">
      <c r="A127" s="32" t="n">
        <v>117</v>
      </c>
      <c r="B127" s="33" t="n"/>
      <c r="C127" s="33" t="n"/>
      <c r="D127" s="33" t="n"/>
      <c r="E127" s="33" t="inlineStr">
        <is>
          <t>-</t>
        </is>
      </c>
      <c r="F127" s="54">
        <f>IFERROR((VLOOKUP(E127,$AE$11:$AG$14,3,0)),"-")</f>
        <v/>
      </c>
      <c r="G127" s="33" t="n"/>
      <c r="H127" s="33" t="n"/>
      <c r="I127" s="46" t="n"/>
      <c r="J127" s="35" t="n"/>
      <c r="K127" s="35" t="n"/>
      <c r="L127" s="36">
        <f>IF($H$4="-",0,IF($H$4="VAREJO",AW127,IF($H$4="ATACADO",AX127,0)))</f>
        <v/>
      </c>
      <c r="M127" s="33" t="n"/>
      <c r="AN127" s="47" t="n">
        <v>117</v>
      </c>
      <c r="AO127" s="117">
        <f>I127+(I127*J127)+(I127*K127)</f>
        <v/>
      </c>
      <c r="AP127" s="43">
        <f>IFERROR(VLOOKUP(E127,$AE$11:$AK$14,4,0),0)</f>
        <v/>
      </c>
      <c r="AQ127" s="117">
        <f>(I127+(I127*J127)+(I127*K127))*AP127</f>
        <v/>
      </c>
      <c r="AR127" s="118">
        <f>AO127+AQ127</f>
        <v/>
      </c>
      <c r="AT127" s="39">
        <f>IFERROR((VLOOKUP(E127,$AE$11:$AJ$14,5,0)),0)</f>
        <v/>
      </c>
      <c r="AU127" s="39">
        <f>IFERROR((VLOOKUP(E127,$AE$11:$AJ$14,6,0)),0)</f>
        <v/>
      </c>
      <c r="AW127" s="119">
        <f>AR127*AT127</f>
        <v/>
      </c>
      <c r="AX127" s="119">
        <f>AR127*AU127</f>
        <v/>
      </c>
    </row>
    <row r="128">
      <c r="A128" s="32" t="n">
        <v>118</v>
      </c>
      <c r="B128" s="33" t="n"/>
      <c r="C128" s="33" t="n"/>
      <c r="D128" s="33" t="n"/>
      <c r="E128" s="33" t="inlineStr">
        <is>
          <t>-</t>
        </is>
      </c>
      <c r="F128" s="54">
        <f>IFERROR((VLOOKUP(E128,$AE$11:$AG$14,3,0)),"-")</f>
        <v/>
      </c>
      <c r="G128" s="33" t="n"/>
      <c r="H128" s="33" t="n"/>
      <c r="I128" s="46" t="n"/>
      <c r="J128" s="35" t="n"/>
      <c r="K128" s="35" t="n"/>
      <c r="L128" s="36">
        <f>IF($H$4="-",0,IF($H$4="VAREJO",AW128,IF($H$4="ATACADO",AX128,0)))</f>
        <v/>
      </c>
      <c r="M128" s="33" t="n"/>
      <c r="AN128" s="47" t="n">
        <v>118</v>
      </c>
      <c r="AO128" s="117">
        <f>I128+(I128*J128)+(I128*K128)</f>
        <v/>
      </c>
      <c r="AP128" s="43">
        <f>IFERROR(VLOOKUP(E128,$AE$11:$AK$14,4,0),0)</f>
        <v/>
      </c>
      <c r="AQ128" s="117">
        <f>(I128+(I128*J128)+(I128*K128))*AP128</f>
        <v/>
      </c>
      <c r="AR128" s="118">
        <f>AO128+AQ128</f>
        <v/>
      </c>
      <c r="AT128" s="39">
        <f>IFERROR((VLOOKUP(E128,$AE$11:$AJ$14,5,0)),0)</f>
        <v/>
      </c>
      <c r="AU128" s="39">
        <f>IFERROR((VLOOKUP(E128,$AE$11:$AJ$14,6,0)),0)</f>
        <v/>
      </c>
      <c r="AW128" s="119">
        <f>AR128*AT128</f>
        <v/>
      </c>
      <c r="AX128" s="119">
        <f>AR128*AU128</f>
        <v/>
      </c>
    </row>
    <row r="129">
      <c r="A129" s="32" t="n">
        <v>119</v>
      </c>
      <c r="B129" s="33" t="n"/>
      <c r="C129" s="33" t="n"/>
      <c r="D129" s="33" t="n"/>
      <c r="E129" s="33" t="inlineStr">
        <is>
          <t>-</t>
        </is>
      </c>
      <c r="F129" s="54">
        <f>IFERROR((VLOOKUP(E129,$AE$11:$AG$14,3,0)),"-")</f>
        <v/>
      </c>
      <c r="G129" s="33" t="n"/>
      <c r="H129" s="33" t="n"/>
      <c r="I129" s="46" t="n"/>
      <c r="J129" s="35" t="n"/>
      <c r="K129" s="35" t="n"/>
      <c r="L129" s="36">
        <f>IF($H$4="-",0,IF($H$4="VAREJO",AW129,IF($H$4="ATACADO",AX129,0)))</f>
        <v/>
      </c>
      <c r="M129" s="33" t="n"/>
      <c r="AN129" s="47" t="n">
        <v>119</v>
      </c>
      <c r="AO129" s="117">
        <f>I129+(I129*J129)+(I129*K129)</f>
        <v/>
      </c>
      <c r="AP129" s="43">
        <f>IFERROR(VLOOKUP(E129,$AE$11:$AK$14,4,0),0)</f>
        <v/>
      </c>
      <c r="AQ129" s="117">
        <f>(I129+(I129*J129)+(I129*K129))*AP129</f>
        <v/>
      </c>
      <c r="AR129" s="118">
        <f>AO129+AQ129</f>
        <v/>
      </c>
      <c r="AT129" s="39">
        <f>IFERROR((VLOOKUP(E129,$AE$11:$AJ$14,5,0)),0)</f>
        <v/>
      </c>
      <c r="AU129" s="39">
        <f>IFERROR((VLOOKUP(E129,$AE$11:$AJ$14,6,0)),0)</f>
        <v/>
      </c>
      <c r="AW129" s="119">
        <f>AR129*AT129</f>
        <v/>
      </c>
      <c r="AX129" s="119">
        <f>AR129*AU129</f>
        <v/>
      </c>
    </row>
    <row r="130">
      <c r="A130" s="32" t="n">
        <v>120</v>
      </c>
      <c r="B130" s="33" t="n"/>
      <c r="C130" s="33" t="n"/>
      <c r="D130" s="33" t="n"/>
      <c r="E130" s="33" t="inlineStr">
        <is>
          <t>-</t>
        </is>
      </c>
      <c r="F130" s="54">
        <f>IFERROR((VLOOKUP(E130,$AE$11:$AG$14,3,0)),"-")</f>
        <v/>
      </c>
      <c r="G130" s="33" t="n"/>
      <c r="H130" s="33" t="n"/>
      <c r="I130" s="46" t="n"/>
      <c r="J130" s="35" t="n"/>
      <c r="K130" s="35" t="n"/>
      <c r="L130" s="36">
        <f>IF($H$4="-",0,IF($H$4="VAREJO",AW130,IF($H$4="ATACADO",AX130,0)))</f>
        <v/>
      </c>
      <c r="M130" s="33" t="n"/>
      <c r="AN130" s="47" t="n">
        <v>120</v>
      </c>
      <c r="AO130" s="117">
        <f>I130+(I130*J130)+(I130*K130)</f>
        <v/>
      </c>
      <c r="AP130" s="43">
        <f>IFERROR(VLOOKUP(E130,$AE$11:$AK$14,4,0),0)</f>
        <v/>
      </c>
      <c r="AQ130" s="117">
        <f>(I130+(I130*J130)+(I130*K130))*AP130</f>
        <v/>
      </c>
      <c r="AR130" s="118">
        <f>AO130+AQ130</f>
        <v/>
      </c>
      <c r="AT130" s="39">
        <f>IFERROR((VLOOKUP(E130,$AE$11:$AJ$14,5,0)),0)</f>
        <v/>
      </c>
      <c r="AU130" s="39">
        <f>IFERROR((VLOOKUP(E130,$AE$11:$AJ$14,6,0)),0)</f>
        <v/>
      </c>
      <c r="AW130" s="119">
        <f>AR130*AT130</f>
        <v/>
      </c>
      <c r="AX130" s="119">
        <f>AR130*AU130</f>
        <v/>
      </c>
    </row>
    <row r="131">
      <c r="A131" s="32" t="n">
        <v>121</v>
      </c>
      <c r="B131" s="33" t="n"/>
      <c r="C131" s="33" t="n"/>
      <c r="D131" s="33" t="n"/>
      <c r="E131" s="33" t="inlineStr">
        <is>
          <t>-</t>
        </is>
      </c>
      <c r="F131" s="54">
        <f>IFERROR((VLOOKUP(E131,$AE$11:$AG$14,3,0)),"-")</f>
        <v/>
      </c>
      <c r="G131" s="33" t="n"/>
      <c r="H131" s="33" t="n"/>
      <c r="I131" s="46" t="n"/>
      <c r="J131" s="35" t="n"/>
      <c r="K131" s="35" t="n"/>
      <c r="L131" s="36">
        <f>IF($H$4="-",0,IF($H$4="VAREJO",AW131,IF($H$4="ATACADO",AX131,0)))</f>
        <v/>
      </c>
      <c r="M131" s="33" t="n"/>
      <c r="AN131" s="47" t="n">
        <v>121</v>
      </c>
      <c r="AO131" s="117">
        <f>I131+(I131*J131)+(I131*K131)</f>
        <v/>
      </c>
      <c r="AP131" s="43">
        <f>IFERROR(VLOOKUP(E131,$AE$11:$AK$14,4,0),0)</f>
        <v/>
      </c>
      <c r="AQ131" s="117">
        <f>(I131+(I131*J131)+(I131*K131))*AP131</f>
        <v/>
      </c>
      <c r="AR131" s="118">
        <f>AO131+AQ131</f>
        <v/>
      </c>
      <c r="AT131" s="39">
        <f>IFERROR((VLOOKUP(E131,$AE$11:$AJ$14,5,0)),0)</f>
        <v/>
      </c>
      <c r="AU131" s="39">
        <f>IFERROR((VLOOKUP(E131,$AE$11:$AJ$14,6,0)),0)</f>
        <v/>
      </c>
      <c r="AW131" s="119">
        <f>AR131*AT131</f>
        <v/>
      </c>
      <c r="AX131" s="119">
        <f>AR131*AU131</f>
        <v/>
      </c>
    </row>
    <row r="132">
      <c r="A132" s="32" t="n">
        <v>122</v>
      </c>
      <c r="B132" s="33" t="n"/>
      <c r="C132" s="33" t="n"/>
      <c r="D132" s="33" t="n"/>
      <c r="E132" s="33" t="inlineStr">
        <is>
          <t>-</t>
        </is>
      </c>
      <c r="F132" s="54">
        <f>IFERROR((VLOOKUP(E132,$AE$11:$AG$14,3,0)),"-")</f>
        <v/>
      </c>
      <c r="G132" s="33" t="n"/>
      <c r="H132" s="33" t="n"/>
      <c r="I132" s="46" t="n"/>
      <c r="J132" s="35" t="n"/>
      <c r="K132" s="35" t="n"/>
      <c r="L132" s="36">
        <f>IF($H$4="-",0,IF($H$4="VAREJO",AW132,IF($H$4="ATACADO",AX132,0)))</f>
        <v/>
      </c>
      <c r="M132" s="33" t="n"/>
      <c r="AN132" s="47" t="n">
        <v>122</v>
      </c>
      <c r="AO132" s="117">
        <f>I132+(I132*J132)+(I132*K132)</f>
        <v/>
      </c>
      <c r="AP132" s="43">
        <f>IFERROR(VLOOKUP(E132,$AE$11:$AK$14,4,0),0)</f>
        <v/>
      </c>
      <c r="AQ132" s="117">
        <f>(I132+(I132*J132)+(I132*K132))*AP132</f>
        <v/>
      </c>
      <c r="AR132" s="118">
        <f>AO132+AQ132</f>
        <v/>
      </c>
      <c r="AT132" s="39">
        <f>IFERROR((VLOOKUP(E132,$AE$11:$AJ$14,5,0)),0)</f>
        <v/>
      </c>
      <c r="AU132" s="39">
        <f>IFERROR((VLOOKUP(E132,$AE$11:$AJ$14,6,0)),0)</f>
        <v/>
      </c>
      <c r="AW132" s="119">
        <f>AR132*AT132</f>
        <v/>
      </c>
      <c r="AX132" s="119">
        <f>AR132*AU132</f>
        <v/>
      </c>
    </row>
    <row r="133">
      <c r="A133" s="32" t="n">
        <v>123</v>
      </c>
      <c r="B133" s="33" t="n"/>
      <c r="C133" s="33" t="n"/>
      <c r="D133" s="33" t="n"/>
      <c r="E133" s="33" t="inlineStr">
        <is>
          <t>-</t>
        </is>
      </c>
      <c r="F133" s="54">
        <f>IFERROR((VLOOKUP(E133,$AE$11:$AG$14,3,0)),"-")</f>
        <v/>
      </c>
      <c r="G133" s="33" t="n"/>
      <c r="H133" s="33" t="n"/>
      <c r="I133" s="46" t="n"/>
      <c r="J133" s="35" t="n"/>
      <c r="K133" s="35" t="n"/>
      <c r="L133" s="36">
        <f>IF($H$4="-",0,IF($H$4="VAREJO",AW133,IF($H$4="ATACADO",AX133,0)))</f>
        <v/>
      </c>
      <c r="M133" s="33" t="n"/>
      <c r="AN133" s="47" t="n">
        <v>123</v>
      </c>
      <c r="AO133" s="117">
        <f>I133+(I133*J133)+(I133*K133)</f>
        <v/>
      </c>
      <c r="AP133" s="43">
        <f>IFERROR(VLOOKUP(E133,$AE$11:$AK$14,4,0),0)</f>
        <v/>
      </c>
      <c r="AQ133" s="117">
        <f>(I133+(I133*J133)+(I133*K133))*AP133</f>
        <v/>
      </c>
      <c r="AR133" s="118">
        <f>AO133+AQ133</f>
        <v/>
      </c>
      <c r="AT133" s="39">
        <f>IFERROR((VLOOKUP(E133,$AE$11:$AJ$14,5,0)),0)</f>
        <v/>
      </c>
      <c r="AU133" s="39">
        <f>IFERROR((VLOOKUP(E133,$AE$11:$AJ$14,6,0)),0)</f>
        <v/>
      </c>
      <c r="AW133" s="119">
        <f>AR133*AT133</f>
        <v/>
      </c>
      <c r="AX133" s="119">
        <f>AR133*AU133</f>
        <v/>
      </c>
    </row>
    <row r="134">
      <c r="A134" s="32" t="n">
        <v>124</v>
      </c>
      <c r="B134" s="33" t="n"/>
      <c r="C134" s="33" t="n"/>
      <c r="D134" s="33" t="n"/>
      <c r="E134" s="33" t="inlineStr">
        <is>
          <t>-</t>
        </is>
      </c>
      <c r="F134" s="54">
        <f>IFERROR((VLOOKUP(E134,$AE$11:$AG$14,3,0)),"-")</f>
        <v/>
      </c>
      <c r="G134" s="33" t="n"/>
      <c r="H134" s="33" t="n"/>
      <c r="I134" s="46" t="n"/>
      <c r="J134" s="35" t="n"/>
      <c r="K134" s="35" t="n"/>
      <c r="L134" s="36">
        <f>IF($H$4="-",0,IF($H$4="VAREJO",AW134,IF($H$4="ATACADO",AX134,0)))</f>
        <v/>
      </c>
      <c r="M134" s="33" t="n"/>
      <c r="AN134" s="47" t="n">
        <v>124</v>
      </c>
      <c r="AO134" s="117">
        <f>I134+(I134*J134)+(I134*K134)</f>
        <v/>
      </c>
      <c r="AP134" s="43">
        <f>IFERROR(VLOOKUP(E134,$AE$11:$AK$14,4,0),0)</f>
        <v/>
      </c>
      <c r="AQ134" s="117">
        <f>(I134+(I134*J134)+(I134*K134))*AP134</f>
        <v/>
      </c>
      <c r="AR134" s="118">
        <f>AO134+AQ134</f>
        <v/>
      </c>
      <c r="AT134" s="39">
        <f>IFERROR((VLOOKUP(E134,$AE$11:$AJ$14,5,0)),0)</f>
        <v/>
      </c>
      <c r="AU134" s="39">
        <f>IFERROR((VLOOKUP(E134,$AE$11:$AJ$14,6,0)),0)</f>
        <v/>
      </c>
      <c r="AW134" s="119">
        <f>AR134*AT134</f>
        <v/>
      </c>
      <c r="AX134" s="119">
        <f>AR134*AU134</f>
        <v/>
      </c>
    </row>
    <row r="135">
      <c r="A135" s="32" t="n">
        <v>125</v>
      </c>
      <c r="B135" s="33" t="n"/>
      <c r="C135" s="33" t="n"/>
      <c r="D135" s="33" t="n"/>
      <c r="E135" s="33" t="inlineStr">
        <is>
          <t>-</t>
        </is>
      </c>
      <c r="F135" s="54">
        <f>IFERROR((VLOOKUP(E135,$AE$11:$AG$14,3,0)),"-")</f>
        <v/>
      </c>
      <c r="G135" s="33" t="n"/>
      <c r="H135" s="33" t="n"/>
      <c r="I135" s="46" t="n"/>
      <c r="J135" s="35" t="n"/>
      <c r="K135" s="35" t="n"/>
      <c r="L135" s="36">
        <f>IF($H$4="-",0,IF($H$4="VAREJO",AW135,IF($H$4="ATACADO",AX135,0)))</f>
        <v/>
      </c>
      <c r="M135" s="33" t="n"/>
      <c r="AN135" s="47" t="n">
        <v>125</v>
      </c>
      <c r="AO135" s="117">
        <f>I135+(I135*J135)+(I135*K135)</f>
        <v/>
      </c>
      <c r="AP135" s="43">
        <f>IFERROR(VLOOKUP(E135,$AE$11:$AK$14,4,0),0)</f>
        <v/>
      </c>
      <c r="AQ135" s="117">
        <f>(I135+(I135*J135)+(I135*K135))*AP135</f>
        <v/>
      </c>
      <c r="AR135" s="118">
        <f>AO135+AQ135</f>
        <v/>
      </c>
      <c r="AT135" s="39">
        <f>IFERROR((VLOOKUP(E135,$AE$11:$AJ$14,5,0)),0)</f>
        <v/>
      </c>
      <c r="AU135" s="39">
        <f>IFERROR((VLOOKUP(E135,$AE$11:$AJ$14,6,0)),0)</f>
        <v/>
      </c>
      <c r="AW135" s="119">
        <f>AR135*AT135</f>
        <v/>
      </c>
      <c r="AX135" s="119">
        <f>AR135*AU135</f>
        <v/>
      </c>
    </row>
    <row r="136">
      <c r="A136" s="32" t="n">
        <v>126</v>
      </c>
      <c r="B136" s="33" t="n"/>
      <c r="C136" s="33" t="n"/>
      <c r="D136" s="33" t="n"/>
      <c r="E136" s="33" t="inlineStr">
        <is>
          <t>-</t>
        </is>
      </c>
      <c r="F136" s="54">
        <f>IFERROR((VLOOKUP(E136,$AE$11:$AG$14,3,0)),"-")</f>
        <v/>
      </c>
      <c r="G136" s="33" t="n"/>
      <c r="H136" s="33" t="n"/>
      <c r="I136" s="46" t="n"/>
      <c r="J136" s="35" t="n"/>
      <c r="K136" s="35" t="n"/>
      <c r="L136" s="36">
        <f>IF($H$4="-",0,IF($H$4="VAREJO",AW136,IF($H$4="ATACADO",AX136,0)))</f>
        <v/>
      </c>
      <c r="M136" s="33" t="n"/>
      <c r="AN136" s="47" t="n">
        <v>126</v>
      </c>
      <c r="AO136" s="117">
        <f>I136+(I136*J136)+(I136*K136)</f>
        <v/>
      </c>
      <c r="AP136" s="43">
        <f>IFERROR(VLOOKUP(E136,$AE$11:$AK$14,4,0),0)</f>
        <v/>
      </c>
      <c r="AQ136" s="117">
        <f>(I136+(I136*J136)+(I136*K136))*AP136</f>
        <v/>
      </c>
      <c r="AR136" s="118">
        <f>AO136+AQ136</f>
        <v/>
      </c>
      <c r="AT136" s="39">
        <f>IFERROR((VLOOKUP(E136,$AE$11:$AJ$14,5,0)),0)</f>
        <v/>
      </c>
      <c r="AU136" s="39">
        <f>IFERROR((VLOOKUP(E136,$AE$11:$AJ$14,6,0)),0)</f>
        <v/>
      </c>
      <c r="AW136" s="119">
        <f>AR136*AT136</f>
        <v/>
      </c>
      <c r="AX136" s="119">
        <f>AR136*AU136</f>
        <v/>
      </c>
    </row>
    <row r="137">
      <c r="A137" s="32" t="n">
        <v>127</v>
      </c>
      <c r="B137" s="33" t="n"/>
      <c r="C137" s="33" t="n"/>
      <c r="D137" s="33" t="n"/>
      <c r="E137" s="33" t="inlineStr">
        <is>
          <t>-</t>
        </is>
      </c>
      <c r="F137" s="54">
        <f>IFERROR((VLOOKUP(E137,$AE$11:$AG$14,3,0)),"-")</f>
        <v/>
      </c>
      <c r="G137" s="33" t="n"/>
      <c r="H137" s="33" t="n"/>
      <c r="I137" s="46" t="n"/>
      <c r="J137" s="35" t="n"/>
      <c r="K137" s="35" t="n"/>
      <c r="L137" s="36">
        <f>IF($H$4="-",0,IF($H$4="VAREJO",AW137,IF($H$4="ATACADO",AX137,0)))</f>
        <v/>
      </c>
      <c r="M137" s="33" t="n"/>
      <c r="AN137" s="47" t="n">
        <v>127</v>
      </c>
      <c r="AO137" s="117">
        <f>I137+(I137*J137)+(I137*K137)</f>
        <v/>
      </c>
      <c r="AP137" s="43">
        <f>IFERROR(VLOOKUP(E137,$AE$11:$AK$14,4,0),0)</f>
        <v/>
      </c>
      <c r="AQ137" s="117">
        <f>(I137+(I137*J137)+(I137*K137))*AP137</f>
        <v/>
      </c>
      <c r="AR137" s="118">
        <f>AO137+AQ137</f>
        <v/>
      </c>
      <c r="AT137" s="39">
        <f>IFERROR((VLOOKUP(E137,$AE$11:$AJ$14,5,0)),0)</f>
        <v/>
      </c>
      <c r="AU137" s="39">
        <f>IFERROR((VLOOKUP(E137,$AE$11:$AJ$14,6,0)),0)</f>
        <v/>
      </c>
      <c r="AW137" s="119">
        <f>AR137*AT137</f>
        <v/>
      </c>
      <c r="AX137" s="119">
        <f>AR137*AU137</f>
        <v/>
      </c>
    </row>
    <row r="138">
      <c r="A138" s="32" t="n">
        <v>128</v>
      </c>
      <c r="B138" s="33" t="n"/>
      <c r="C138" s="33" t="n"/>
      <c r="D138" s="33" t="n"/>
      <c r="E138" s="33" t="inlineStr">
        <is>
          <t>-</t>
        </is>
      </c>
      <c r="F138" s="54">
        <f>IFERROR((VLOOKUP(E138,$AE$11:$AG$14,3,0)),"-")</f>
        <v/>
      </c>
      <c r="G138" s="33" t="n"/>
      <c r="H138" s="33" t="n"/>
      <c r="I138" s="46" t="n"/>
      <c r="J138" s="35" t="n"/>
      <c r="K138" s="35" t="n"/>
      <c r="L138" s="36">
        <f>IF($H$4="-",0,IF($H$4="VAREJO",AW138,IF($H$4="ATACADO",AX138,0)))</f>
        <v/>
      </c>
      <c r="M138" s="33" t="n"/>
      <c r="AN138" s="47" t="n">
        <v>128</v>
      </c>
      <c r="AO138" s="117">
        <f>I138+(I138*J138)+(I138*K138)</f>
        <v/>
      </c>
      <c r="AP138" s="43">
        <f>IFERROR(VLOOKUP(E138,$AE$11:$AK$14,4,0),0)</f>
        <v/>
      </c>
      <c r="AQ138" s="117">
        <f>(I138+(I138*J138)+(I138*K138))*AP138</f>
        <v/>
      </c>
      <c r="AR138" s="118">
        <f>AO138+AQ138</f>
        <v/>
      </c>
      <c r="AT138" s="39">
        <f>IFERROR((VLOOKUP(E138,$AE$11:$AJ$14,5,0)),0)</f>
        <v/>
      </c>
      <c r="AU138" s="39">
        <f>IFERROR((VLOOKUP(E138,$AE$11:$AJ$14,6,0)),0)</f>
        <v/>
      </c>
      <c r="AW138" s="119">
        <f>AR138*AT138</f>
        <v/>
      </c>
      <c r="AX138" s="119">
        <f>AR138*AU138</f>
        <v/>
      </c>
    </row>
    <row r="139">
      <c r="A139" s="32" t="n">
        <v>129</v>
      </c>
      <c r="B139" s="33" t="n"/>
      <c r="C139" s="33" t="n"/>
      <c r="D139" s="33" t="n"/>
      <c r="E139" s="33" t="inlineStr">
        <is>
          <t>-</t>
        </is>
      </c>
      <c r="F139" s="54">
        <f>IFERROR((VLOOKUP(E139,$AE$11:$AG$14,3,0)),"-")</f>
        <v/>
      </c>
      <c r="G139" s="33" t="n"/>
      <c r="H139" s="33" t="n"/>
      <c r="I139" s="46" t="n"/>
      <c r="J139" s="35" t="n"/>
      <c r="K139" s="35" t="n"/>
      <c r="L139" s="36">
        <f>IF($H$4="-",0,IF($H$4="VAREJO",AW139,IF($H$4="ATACADO",AX139,0)))</f>
        <v/>
      </c>
      <c r="M139" s="33" t="n"/>
      <c r="AN139" s="47" t="n">
        <v>129</v>
      </c>
      <c r="AO139" s="117">
        <f>I139+(I139*J139)+(I139*K139)</f>
        <v/>
      </c>
      <c r="AP139" s="43">
        <f>IFERROR(VLOOKUP(E139,$AE$11:$AK$14,4,0),0)</f>
        <v/>
      </c>
      <c r="AQ139" s="117">
        <f>(I139+(I139*J139)+(I139*K139))*AP139</f>
        <v/>
      </c>
      <c r="AR139" s="118">
        <f>AO139+AQ139</f>
        <v/>
      </c>
      <c r="AT139" s="39">
        <f>IFERROR((VLOOKUP(E139,$AE$11:$AJ$14,5,0)),0)</f>
        <v/>
      </c>
      <c r="AU139" s="39">
        <f>IFERROR((VLOOKUP(E139,$AE$11:$AJ$14,6,0)),0)</f>
        <v/>
      </c>
      <c r="AW139" s="119">
        <f>AR139*AT139</f>
        <v/>
      </c>
      <c r="AX139" s="119">
        <f>AR139*AU139</f>
        <v/>
      </c>
    </row>
    <row r="140">
      <c r="A140" s="32" t="n">
        <v>130</v>
      </c>
      <c r="B140" s="33" t="n"/>
      <c r="C140" s="33" t="n"/>
      <c r="D140" s="33" t="n"/>
      <c r="E140" s="33" t="inlineStr">
        <is>
          <t>-</t>
        </is>
      </c>
      <c r="F140" s="54">
        <f>IFERROR((VLOOKUP(E140,$AE$11:$AG$14,3,0)),"-")</f>
        <v/>
      </c>
      <c r="G140" s="33" t="n"/>
      <c r="H140" s="33" t="n"/>
      <c r="I140" s="46" t="n"/>
      <c r="J140" s="35" t="n"/>
      <c r="K140" s="35" t="n"/>
      <c r="L140" s="36">
        <f>IF($H$4="-",0,IF($H$4="VAREJO",AW140,IF($H$4="ATACADO",AX140,0)))</f>
        <v/>
      </c>
      <c r="M140" s="33" t="n"/>
      <c r="AN140" s="47" t="n">
        <v>130</v>
      </c>
      <c r="AO140" s="117">
        <f>I140+(I140*J140)+(I140*K140)</f>
        <v/>
      </c>
      <c r="AP140" s="43">
        <f>IFERROR(VLOOKUP(E140,$AE$11:$AK$14,4,0),0)</f>
        <v/>
      </c>
      <c r="AQ140" s="117">
        <f>(I140+(I140*J140)+(I140*K140))*AP140</f>
        <v/>
      </c>
      <c r="AR140" s="118">
        <f>AO140+AQ140</f>
        <v/>
      </c>
      <c r="AT140" s="39">
        <f>IFERROR((VLOOKUP(E140,$AE$11:$AJ$14,5,0)),0)</f>
        <v/>
      </c>
      <c r="AU140" s="39">
        <f>IFERROR((VLOOKUP(E140,$AE$11:$AJ$14,6,0)),0)</f>
        <v/>
      </c>
      <c r="AW140" s="119">
        <f>AR140*AT140</f>
        <v/>
      </c>
      <c r="AX140" s="119">
        <f>AR140*AU140</f>
        <v/>
      </c>
    </row>
    <row r="141">
      <c r="A141" s="32" t="n">
        <v>131</v>
      </c>
      <c r="B141" s="33" t="n"/>
      <c r="C141" s="33" t="n"/>
      <c r="D141" s="33" t="n"/>
      <c r="E141" s="33" t="inlineStr">
        <is>
          <t>-</t>
        </is>
      </c>
      <c r="F141" s="54">
        <f>IFERROR((VLOOKUP(E141,$AE$11:$AG$14,3,0)),"-")</f>
        <v/>
      </c>
      <c r="G141" s="33" t="n"/>
      <c r="H141" s="33" t="n"/>
      <c r="I141" s="46" t="n"/>
      <c r="J141" s="35" t="n"/>
      <c r="K141" s="35" t="n"/>
      <c r="L141" s="36">
        <f>IF($H$4="-",0,IF($H$4="VAREJO",AW141,IF($H$4="ATACADO",AX141,0)))</f>
        <v/>
      </c>
      <c r="M141" s="33" t="n"/>
      <c r="AN141" s="47" t="n">
        <v>131</v>
      </c>
      <c r="AO141" s="117">
        <f>I141+(I141*J141)+(I141*K141)</f>
        <v/>
      </c>
      <c r="AP141" s="43">
        <f>IFERROR(VLOOKUP(E141,$AE$11:$AK$14,4,0),0)</f>
        <v/>
      </c>
      <c r="AQ141" s="117">
        <f>(I141+(I141*J141)+(I141*K141))*AP141</f>
        <v/>
      </c>
      <c r="AR141" s="118">
        <f>AO141+AQ141</f>
        <v/>
      </c>
      <c r="AT141" s="39">
        <f>IFERROR((VLOOKUP(E141,$AE$11:$AJ$14,5,0)),0)</f>
        <v/>
      </c>
      <c r="AU141" s="39">
        <f>IFERROR((VLOOKUP(E141,$AE$11:$AJ$14,6,0)),0)</f>
        <v/>
      </c>
      <c r="AW141" s="119">
        <f>AR141*AT141</f>
        <v/>
      </c>
      <c r="AX141" s="119">
        <f>AR141*AU141</f>
        <v/>
      </c>
    </row>
    <row r="142">
      <c r="A142" s="32" t="n">
        <v>132</v>
      </c>
      <c r="B142" s="33" t="n"/>
      <c r="C142" s="33" t="n"/>
      <c r="D142" s="33" t="n"/>
      <c r="E142" s="33" t="inlineStr">
        <is>
          <t>-</t>
        </is>
      </c>
      <c r="F142" s="54">
        <f>IFERROR((VLOOKUP(E142,$AE$11:$AG$14,3,0)),"-")</f>
        <v/>
      </c>
      <c r="G142" s="33" t="n"/>
      <c r="H142" s="33" t="n"/>
      <c r="I142" s="46" t="n"/>
      <c r="J142" s="35" t="n"/>
      <c r="K142" s="35" t="n"/>
      <c r="L142" s="36">
        <f>IF($H$4="-",0,IF($H$4="VAREJO",AW142,IF($H$4="ATACADO",AX142,0)))</f>
        <v/>
      </c>
      <c r="M142" s="33" t="n"/>
      <c r="AN142" s="47" t="n">
        <v>132</v>
      </c>
      <c r="AO142" s="117">
        <f>I142+(I142*J142)+(I142*K142)</f>
        <v/>
      </c>
      <c r="AP142" s="43">
        <f>IFERROR(VLOOKUP(E142,$AE$11:$AK$14,4,0),0)</f>
        <v/>
      </c>
      <c r="AQ142" s="117">
        <f>(I142+(I142*J142)+(I142*K142))*AP142</f>
        <v/>
      </c>
      <c r="AR142" s="118">
        <f>AO142+AQ142</f>
        <v/>
      </c>
      <c r="AT142" s="39">
        <f>IFERROR((VLOOKUP(E142,$AE$11:$AJ$14,5,0)),0)</f>
        <v/>
      </c>
      <c r="AU142" s="39">
        <f>IFERROR((VLOOKUP(E142,$AE$11:$AJ$14,6,0)),0)</f>
        <v/>
      </c>
      <c r="AW142" s="119">
        <f>AR142*AT142</f>
        <v/>
      </c>
      <c r="AX142" s="119">
        <f>AR142*AU142</f>
        <v/>
      </c>
    </row>
    <row r="143">
      <c r="A143" s="32" t="n">
        <v>133</v>
      </c>
      <c r="B143" s="33" t="n"/>
      <c r="C143" s="33" t="n"/>
      <c r="D143" s="33" t="n"/>
      <c r="E143" s="33" t="inlineStr">
        <is>
          <t>-</t>
        </is>
      </c>
      <c r="F143" s="54">
        <f>IFERROR((VLOOKUP(E143,$AE$11:$AG$14,3,0)),"-")</f>
        <v/>
      </c>
      <c r="G143" s="33" t="n"/>
      <c r="H143" s="33" t="n"/>
      <c r="I143" s="46" t="n"/>
      <c r="J143" s="35" t="n"/>
      <c r="K143" s="35" t="n"/>
      <c r="L143" s="36">
        <f>IF($H$4="-",0,IF($H$4="VAREJO",AW143,IF($H$4="ATACADO",AX143,0)))</f>
        <v/>
      </c>
      <c r="M143" s="33" t="n"/>
      <c r="AN143" s="47" t="n">
        <v>133</v>
      </c>
      <c r="AO143" s="117">
        <f>I143+(I143*J143)+(I143*K143)</f>
        <v/>
      </c>
      <c r="AP143" s="43">
        <f>IFERROR(VLOOKUP(E143,$AE$11:$AK$14,4,0),0)</f>
        <v/>
      </c>
      <c r="AQ143" s="117">
        <f>(I143+(I143*J143)+(I143*K143))*AP143</f>
        <v/>
      </c>
      <c r="AR143" s="118">
        <f>AO143+AQ143</f>
        <v/>
      </c>
      <c r="AT143" s="39">
        <f>IFERROR((VLOOKUP(E143,$AE$11:$AJ$14,5,0)),0)</f>
        <v/>
      </c>
      <c r="AU143" s="39">
        <f>IFERROR((VLOOKUP(E143,$AE$11:$AJ$14,6,0)),0)</f>
        <v/>
      </c>
      <c r="AW143" s="119">
        <f>AR143*AT143</f>
        <v/>
      </c>
      <c r="AX143" s="119">
        <f>AR143*AU143</f>
        <v/>
      </c>
    </row>
    <row r="144">
      <c r="A144" s="32" t="n">
        <v>134</v>
      </c>
      <c r="B144" s="33" t="n"/>
      <c r="C144" s="33" t="n"/>
      <c r="D144" s="33" t="n"/>
      <c r="E144" s="33" t="inlineStr">
        <is>
          <t>-</t>
        </is>
      </c>
      <c r="F144" s="54">
        <f>IFERROR((VLOOKUP(E144,$AE$11:$AG$14,3,0)),"-")</f>
        <v/>
      </c>
      <c r="G144" s="33" t="n"/>
      <c r="H144" s="33" t="n"/>
      <c r="I144" s="46" t="n"/>
      <c r="J144" s="35" t="n"/>
      <c r="K144" s="35" t="n"/>
      <c r="L144" s="36">
        <f>IF($H$4="-",0,IF($H$4="VAREJO",AW144,IF($H$4="ATACADO",AX144,0)))</f>
        <v/>
      </c>
      <c r="M144" s="33" t="n"/>
      <c r="AN144" s="47" t="n">
        <v>134</v>
      </c>
      <c r="AO144" s="117">
        <f>I144+(I144*J144)+(I144*K144)</f>
        <v/>
      </c>
      <c r="AP144" s="43">
        <f>IFERROR(VLOOKUP(E144,$AE$11:$AK$14,4,0),0)</f>
        <v/>
      </c>
      <c r="AQ144" s="117">
        <f>(I144+(I144*J144)+(I144*K144))*AP144</f>
        <v/>
      </c>
      <c r="AR144" s="118">
        <f>AO144+AQ144</f>
        <v/>
      </c>
      <c r="AT144" s="39">
        <f>IFERROR((VLOOKUP(E144,$AE$11:$AJ$14,5,0)),0)</f>
        <v/>
      </c>
      <c r="AU144" s="39">
        <f>IFERROR((VLOOKUP(E144,$AE$11:$AJ$14,6,0)),0)</f>
        <v/>
      </c>
      <c r="AW144" s="119">
        <f>AR144*AT144</f>
        <v/>
      </c>
      <c r="AX144" s="119">
        <f>AR144*AU144</f>
        <v/>
      </c>
    </row>
    <row r="145">
      <c r="A145" s="32" t="n">
        <v>135</v>
      </c>
      <c r="B145" s="33" t="n"/>
      <c r="C145" s="33" t="n"/>
      <c r="D145" s="33" t="n"/>
      <c r="E145" s="33" t="inlineStr">
        <is>
          <t>-</t>
        </is>
      </c>
      <c r="F145" s="54">
        <f>IFERROR((VLOOKUP(E145,$AE$11:$AG$14,3,0)),"-")</f>
        <v/>
      </c>
      <c r="G145" s="33" t="n"/>
      <c r="H145" s="33" t="n"/>
      <c r="I145" s="46" t="n"/>
      <c r="J145" s="35" t="n"/>
      <c r="K145" s="35" t="n"/>
      <c r="L145" s="36">
        <f>IF($H$4="-",0,IF($H$4="VAREJO",AW145,IF($H$4="ATACADO",AX145,0)))</f>
        <v/>
      </c>
      <c r="M145" s="33" t="n"/>
      <c r="AN145" s="47" t="n">
        <v>135</v>
      </c>
      <c r="AO145" s="117">
        <f>I145+(I145*J145)+(I145*K145)</f>
        <v/>
      </c>
      <c r="AP145" s="43">
        <f>IFERROR(VLOOKUP(E145,$AE$11:$AK$14,4,0),0)</f>
        <v/>
      </c>
      <c r="AQ145" s="117">
        <f>(I145+(I145*J145)+(I145*K145))*AP145</f>
        <v/>
      </c>
      <c r="AR145" s="118">
        <f>AO145+AQ145</f>
        <v/>
      </c>
      <c r="AT145" s="39">
        <f>IFERROR((VLOOKUP(E145,$AE$11:$AJ$14,5,0)),0)</f>
        <v/>
      </c>
      <c r="AU145" s="39">
        <f>IFERROR((VLOOKUP(E145,$AE$11:$AJ$14,6,0)),0)</f>
        <v/>
      </c>
      <c r="AW145" s="119">
        <f>AR145*AT145</f>
        <v/>
      </c>
      <c r="AX145" s="119">
        <f>AR145*AU145</f>
        <v/>
      </c>
    </row>
    <row r="146">
      <c r="A146" s="32" t="n">
        <v>136</v>
      </c>
      <c r="B146" s="33" t="n"/>
      <c r="C146" s="33" t="n"/>
      <c r="D146" s="33" t="n"/>
      <c r="E146" s="33" t="inlineStr">
        <is>
          <t>-</t>
        </is>
      </c>
      <c r="F146" s="54">
        <f>IFERROR((VLOOKUP(E146,$AE$11:$AG$14,3,0)),"-")</f>
        <v/>
      </c>
      <c r="G146" s="33" t="n"/>
      <c r="H146" s="33" t="n"/>
      <c r="I146" s="46" t="n"/>
      <c r="J146" s="35" t="n"/>
      <c r="K146" s="35" t="n"/>
      <c r="L146" s="36">
        <f>IF($H$4="-",0,IF($H$4="VAREJO",AW146,IF($H$4="ATACADO",AX146,0)))</f>
        <v/>
      </c>
      <c r="M146" s="33" t="n"/>
      <c r="AN146" s="47" t="n">
        <v>136</v>
      </c>
      <c r="AO146" s="117">
        <f>I146+(I146*J146)+(I146*K146)</f>
        <v/>
      </c>
      <c r="AP146" s="43">
        <f>IFERROR(VLOOKUP(E146,$AE$11:$AK$14,4,0),0)</f>
        <v/>
      </c>
      <c r="AQ146" s="117">
        <f>(I146+(I146*J146)+(I146*K146))*AP146</f>
        <v/>
      </c>
      <c r="AR146" s="118">
        <f>AO146+AQ146</f>
        <v/>
      </c>
      <c r="AT146" s="39">
        <f>IFERROR((VLOOKUP(E146,$AE$11:$AJ$14,5,0)),0)</f>
        <v/>
      </c>
      <c r="AU146" s="39">
        <f>IFERROR((VLOOKUP(E146,$AE$11:$AJ$14,6,0)),0)</f>
        <v/>
      </c>
      <c r="AW146" s="119">
        <f>AR146*AT146</f>
        <v/>
      </c>
      <c r="AX146" s="119">
        <f>AR146*AU146</f>
        <v/>
      </c>
    </row>
    <row r="147">
      <c r="A147" s="32" t="n">
        <v>137</v>
      </c>
      <c r="B147" s="33" t="n"/>
      <c r="C147" s="33" t="n"/>
      <c r="D147" s="33" t="n"/>
      <c r="E147" s="33" t="inlineStr">
        <is>
          <t>-</t>
        </is>
      </c>
      <c r="F147" s="54">
        <f>IFERROR((VLOOKUP(E147,$AE$11:$AG$14,3,0)),"-")</f>
        <v/>
      </c>
      <c r="G147" s="33" t="n"/>
      <c r="H147" s="33" t="n"/>
      <c r="I147" s="46" t="n"/>
      <c r="J147" s="35" t="n"/>
      <c r="K147" s="35" t="n"/>
      <c r="L147" s="36">
        <f>IF($H$4="-",0,IF($H$4="VAREJO",AW147,IF($H$4="ATACADO",AX147,0)))</f>
        <v/>
      </c>
      <c r="M147" s="33" t="n"/>
      <c r="AN147" s="47" t="n">
        <v>137</v>
      </c>
      <c r="AO147" s="117">
        <f>I147+(I147*J147)+(I147*K147)</f>
        <v/>
      </c>
      <c r="AP147" s="43">
        <f>IFERROR(VLOOKUP(E147,$AE$11:$AK$14,4,0),0)</f>
        <v/>
      </c>
      <c r="AQ147" s="117">
        <f>(I147+(I147*J147)+(I147*K147))*AP147</f>
        <v/>
      </c>
      <c r="AR147" s="118">
        <f>AO147+AQ147</f>
        <v/>
      </c>
      <c r="AT147" s="39">
        <f>IFERROR((VLOOKUP(E147,$AE$11:$AJ$14,5,0)),0)</f>
        <v/>
      </c>
      <c r="AU147" s="39">
        <f>IFERROR((VLOOKUP(E147,$AE$11:$AJ$14,6,0)),0)</f>
        <v/>
      </c>
      <c r="AW147" s="119">
        <f>AR147*AT147</f>
        <v/>
      </c>
      <c r="AX147" s="119">
        <f>AR147*AU147</f>
        <v/>
      </c>
    </row>
    <row r="148">
      <c r="A148" s="32" t="n">
        <v>138</v>
      </c>
      <c r="B148" s="33" t="n"/>
      <c r="C148" s="33" t="n"/>
      <c r="D148" s="33" t="n"/>
      <c r="E148" s="33" t="inlineStr">
        <is>
          <t>-</t>
        </is>
      </c>
      <c r="F148" s="54">
        <f>IFERROR((VLOOKUP(E148,$AE$11:$AG$14,3,0)),"-")</f>
        <v/>
      </c>
      <c r="G148" s="33" t="n"/>
      <c r="H148" s="33" t="n"/>
      <c r="I148" s="46" t="n"/>
      <c r="J148" s="35" t="n"/>
      <c r="K148" s="35" t="n"/>
      <c r="L148" s="36">
        <f>IF($H$4="-",0,IF($H$4="VAREJO",AW148,IF($H$4="ATACADO",AX148,0)))</f>
        <v/>
      </c>
      <c r="M148" s="33" t="n"/>
      <c r="AN148" s="47" t="n">
        <v>138</v>
      </c>
      <c r="AO148" s="117">
        <f>I148+(I148*J148)+(I148*K148)</f>
        <v/>
      </c>
      <c r="AP148" s="43">
        <f>IFERROR(VLOOKUP(E148,$AE$11:$AK$14,4,0),0)</f>
        <v/>
      </c>
      <c r="AQ148" s="117">
        <f>(I148+(I148*J148)+(I148*K148))*AP148</f>
        <v/>
      </c>
      <c r="AR148" s="118">
        <f>AO148+AQ148</f>
        <v/>
      </c>
      <c r="AT148" s="39">
        <f>IFERROR((VLOOKUP(E148,$AE$11:$AJ$14,5,0)),0)</f>
        <v/>
      </c>
      <c r="AU148" s="39">
        <f>IFERROR((VLOOKUP(E148,$AE$11:$AJ$14,6,0)),0)</f>
        <v/>
      </c>
      <c r="AW148" s="119">
        <f>AR148*AT148</f>
        <v/>
      </c>
      <c r="AX148" s="119">
        <f>AR148*AU148</f>
        <v/>
      </c>
    </row>
    <row r="149">
      <c r="A149" s="32" t="n">
        <v>139</v>
      </c>
      <c r="B149" s="33" t="n"/>
      <c r="C149" s="33" t="n"/>
      <c r="D149" s="33" t="n"/>
      <c r="E149" s="33" t="inlineStr">
        <is>
          <t>-</t>
        </is>
      </c>
      <c r="F149" s="54">
        <f>IFERROR((VLOOKUP(E149,$AE$11:$AG$14,3,0)),"-")</f>
        <v/>
      </c>
      <c r="G149" s="33" t="n"/>
      <c r="H149" s="33" t="n"/>
      <c r="I149" s="46" t="n"/>
      <c r="J149" s="35" t="n"/>
      <c r="K149" s="35" t="n"/>
      <c r="L149" s="36">
        <f>IF($H$4="-",0,IF($H$4="VAREJO",AW149,IF($H$4="ATACADO",AX149,0)))</f>
        <v/>
      </c>
      <c r="M149" s="33" t="n"/>
      <c r="AN149" s="47" t="n">
        <v>139</v>
      </c>
      <c r="AO149" s="117">
        <f>I149+(I149*J149)+(I149*K149)</f>
        <v/>
      </c>
      <c r="AP149" s="43">
        <f>IFERROR(VLOOKUP(E149,$AE$11:$AK$14,4,0),0)</f>
        <v/>
      </c>
      <c r="AQ149" s="117">
        <f>(I149+(I149*J149)+(I149*K149))*AP149</f>
        <v/>
      </c>
      <c r="AR149" s="118">
        <f>AO149+AQ149</f>
        <v/>
      </c>
      <c r="AT149" s="39">
        <f>IFERROR((VLOOKUP(E149,$AE$11:$AJ$14,5,0)),0)</f>
        <v/>
      </c>
      <c r="AU149" s="39">
        <f>IFERROR((VLOOKUP(E149,$AE$11:$AJ$14,6,0)),0)</f>
        <v/>
      </c>
      <c r="AW149" s="119">
        <f>AR149*AT149</f>
        <v/>
      </c>
      <c r="AX149" s="119">
        <f>AR149*AU149</f>
        <v/>
      </c>
    </row>
    <row r="150">
      <c r="A150" s="32" t="n">
        <v>140</v>
      </c>
      <c r="B150" s="33" t="n"/>
      <c r="C150" s="33" t="n"/>
      <c r="D150" s="33" t="n"/>
      <c r="E150" s="33" t="inlineStr">
        <is>
          <t>-</t>
        </is>
      </c>
      <c r="F150" s="54">
        <f>IFERROR((VLOOKUP(E150,$AE$11:$AG$14,3,0)),"-")</f>
        <v/>
      </c>
      <c r="G150" s="33" t="n"/>
      <c r="H150" s="33" t="n"/>
      <c r="I150" s="46" t="n"/>
      <c r="J150" s="35" t="n"/>
      <c r="K150" s="35" t="n"/>
      <c r="L150" s="36">
        <f>IF($H$4="-",0,IF($H$4="VAREJO",AW150,IF($H$4="ATACADO",AX150,0)))</f>
        <v/>
      </c>
      <c r="M150" s="33" t="n"/>
      <c r="AN150" s="47" t="n">
        <v>140</v>
      </c>
      <c r="AO150" s="117">
        <f>I150+(I150*J150)+(I150*K150)</f>
        <v/>
      </c>
      <c r="AP150" s="43">
        <f>IFERROR(VLOOKUP(E150,$AE$11:$AK$14,4,0),0)</f>
        <v/>
      </c>
      <c r="AQ150" s="117">
        <f>(I150+(I150*J150)+(I150*K150))*AP150</f>
        <v/>
      </c>
      <c r="AR150" s="118">
        <f>AO150+AQ150</f>
        <v/>
      </c>
      <c r="AT150" s="39">
        <f>IFERROR((VLOOKUP(E150,$AE$11:$AJ$14,5,0)),0)</f>
        <v/>
      </c>
      <c r="AU150" s="39">
        <f>IFERROR((VLOOKUP(E150,$AE$11:$AJ$14,6,0)),0)</f>
        <v/>
      </c>
      <c r="AW150" s="119">
        <f>AR150*AT150</f>
        <v/>
      </c>
      <c r="AX150" s="119">
        <f>AR150*AU150</f>
        <v/>
      </c>
    </row>
    <row r="151">
      <c r="A151" s="32" t="n">
        <v>141</v>
      </c>
      <c r="B151" s="33" t="n"/>
      <c r="C151" s="33" t="n"/>
      <c r="D151" s="33" t="n"/>
      <c r="E151" s="33" t="inlineStr">
        <is>
          <t>-</t>
        </is>
      </c>
      <c r="F151" s="54">
        <f>IFERROR((VLOOKUP(E151,$AE$11:$AG$14,3,0)),"-")</f>
        <v/>
      </c>
      <c r="G151" s="33" t="n"/>
      <c r="H151" s="33" t="n"/>
      <c r="I151" s="46" t="n"/>
      <c r="J151" s="35" t="n"/>
      <c r="K151" s="35" t="n"/>
      <c r="L151" s="36">
        <f>IF($H$4="-",0,IF($H$4="VAREJO",AW151,IF($H$4="ATACADO",AX151,0)))</f>
        <v/>
      </c>
      <c r="M151" s="33" t="n"/>
      <c r="AN151" s="47" t="n">
        <v>141</v>
      </c>
      <c r="AO151" s="117">
        <f>I151+(I151*J151)+(I151*K151)</f>
        <v/>
      </c>
      <c r="AP151" s="43">
        <f>IFERROR(VLOOKUP(E151,$AE$11:$AK$14,4,0),0)</f>
        <v/>
      </c>
      <c r="AQ151" s="117">
        <f>(I151+(I151*J151)+(I151*K151))*AP151</f>
        <v/>
      </c>
      <c r="AR151" s="118">
        <f>AO151+AQ151</f>
        <v/>
      </c>
      <c r="AT151" s="39">
        <f>IFERROR((VLOOKUP(E151,$AE$11:$AJ$14,5,0)),0)</f>
        <v/>
      </c>
      <c r="AU151" s="39">
        <f>IFERROR((VLOOKUP(E151,$AE$11:$AJ$14,6,0)),0)</f>
        <v/>
      </c>
      <c r="AW151" s="119">
        <f>AR151*AT151</f>
        <v/>
      </c>
      <c r="AX151" s="119">
        <f>AR151*AU151</f>
        <v/>
      </c>
    </row>
    <row r="152">
      <c r="A152" s="32" t="n">
        <v>142</v>
      </c>
      <c r="B152" s="33" t="n"/>
      <c r="C152" s="33" t="n"/>
      <c r="D152" s="33" t="n"/>
      <c r="E152" s="33" t="inlineStr">
        <is>
          <t>-</t>
        </is>
      </c>
      <c r="F152" s="54">
        <f>IFERROR((VLOOKUP(E152,$AE$11:$AG$14,3,0)),"-")</f>
        <v/>
      </c>
      <c r="G152" s="33" t="n"/>
      <c r="H152" s="33" t="n"/>
      <c r="I152" s="46" t="n"/>
      <c r="J152" s="35" t="n"/>
      <c r="K152" s="35" t="n"/>
      <c r="L152" s="36">
        <f>IF($H$4="-",0,IF($H$4="VAREJO",AW152,IF($H$4="ATACADO",AX152,0)))</f>
        <v/>
      </c>
      <c r="M152" s="33" t="n"/>
      <c r="AN152" s="47" t="n">
        <v>142</v>
      </c>
      <c r="AO152" s="117">
        <f>I152+(I152*J152)+(I152*K152)</f>
        <v/>
      </c>
      <c r="AP152" s="43">
        <f>IFERROR(VLOOKUP(E152,$AE$11:$AK$14,4,0),0)</f>
        <v/>
      </c>
      <c r="AQ152" s="117">
        <f>(I152+(I152*J152)+(I152*K152))*AP152</f>
        <v/>
      </c>
      <c r="AR152" s="118">
        <f>AO152+AQ152</f>
        <v/>
      </c>
      <c r="AT152" s="39">
        <f>IFERROR((VLOOKUP(E152,$AE$11:$AJ$14,5,0)),0)</f>
        <v/>
      </c>
      <c r="AU152" s="39">
        <f>IFERROR((VLOOKUP(E152,$AE$11:$AJ$14,6,0)),0)</f>
        <v/>
      </c>
      <c r="AW152" s="119">
        <f>AR152*AT152</f>
        <v/>
      </c>
      <c r="AX152" s="119">
        <f>AR152*AU152</f>
        <v/>
      </c>
    </row>
    <row r="153">
      <c r="A153" s="32" t="n">
        <v>143</v>
      </c>
      <c r="B153" s="33" t="n"/>
      <c r="C153" s="33" t="n"/>
      <c r="D153" s="33" t="n"/>
      <c r="E153" s="33" t="inlineStr">
        <is>
          <t>-</t>
        </is>
      </c>
      <c r="F153" s="54">
        <f>IFERROR((VLOOKUP(E153,$AE$11:$AG$14,3,0)),"-")</f>
        <v/>
      </c>
      <c r="G153" s="33" t="n"/>
      <c r="H153" s="33" t="n"/>
      <c r="I153" s="46" t="n"/>
      <c r="J153" s="35" t="n"/>
      <c r="K153" s="35" t="n"/>
      <c r="L153" s="36">
        <f>IF($H$4="-",0,IF($H$4="VAREJO",AW153,IF($H$4="ATACADO",AX153,0)))</f>
        <v/>
      </c>
      <c r="M153" s="33" t="n"/>
      <c r="AN153" s="47" t="n">
        <v>143</v>
      </c>
      <c r="AO153" s="117">
        <f>I153+(I153*J153)+(I153*K153)</f>
        <v/>
      </c>
      <c r="AP153" s="43">
        <f>IFERROR(VLOOKUP(E153,$AE$11:$AK$14,4,0),0)</f>
        <v/>
      </c>
      <c r="AQ153" s="117">
        <f>(I153+(I153*J153)+(I153*K153))*AP153</f>
        <v/>
      </c>
      <c r="AR153" s="118">
        <f>AO153+AQ153</f>
        <v/>
      </c>
      <c r="AT153" s="39">
        <f>IFERROR((VLOOKUP(E153,$AE$11:$AJ$14,5,0)),0)</f>
        <v/>
      </c>
      <c r="AU153" s="39">
        <f>IFERROR((VLOOKUP(E153,$AE$11:$AJ$14,6,0)),0)</f>
        <v/>
      </c>
      <c r="AW153" s="119">
        <f>AR153*AT153</f>
        <v/>
      </c>
      <c r="AX153" s="119">
        <f>AR153*AU153</f>
        <v/>
      </c>
    </row>
    <row r="154">
      <c r="A154" s="32" t="n">
        <v>144</v>
      </c>
      <c r="B154" s="33" t="n"/>
      <c r="C154" s="33" t="n"/>
      <c r="D154" s="33" t="n"/>
      <c r="E154" s="33" t="inlineStr">
        <is>
          <t>-</t>
        </is>
      </c>
      <c r="F154" s="54">
        <f>IFERROR((VLOOKUP(E154,$AE$11:$AG$14,3,0)),"-")</f>
        <v/>
      </c>
      <c r="G154" s="33" t="n"/>
      <c r="H154" s="33" t="n"/>
      <c r="I154" s="46" t="n"/>
      <c r="J154" s="35" t="n"/>
      <c r="K154" s="35" t="n"/>
      <c r="L154" s="36">
        <f>IF($H$4="-",0,IF($H$4="VAREJO",AW154,IF($H$4="ATACADO",AX154,0)))</f>
        <v/>
      </c>
      <c r="M154" s="33" t="n"/>
      <c r="AN154" s="47" t="n">
        <v>144</v>
      </c>
      <c r="AO154" s="117">
        <f>I154+(I154*J154)+(I154*K154)</f>
        <v/>
      </c>
      <c r="AP154" s="43">
        <f>IFERROR(VLOOKUP(E154,$AE$11:$AK$14,4,0),0)</f>
        <v/>
      </c>
      <c r="AQ154" s="117">
        <f>(I154+(I154*J154)+(I154*K154))*AP154</f>
        <v/>
      </c>
      <c r="AR154" s="118">
        <f>AO154+AQ154</f>
        <v/>
      </c>
      <c r="AT154" s="39">
        <f>IFERROR((VLOOKUP(E154,$AE$11:$AJ$14,5,0)),0)</f>
        <v/>
      </c>
      <c r="AU154" s="39">
        <f>IFERROR((VLOOKUP(E154,$AE$11:$AJ$14,6,0)),0)</f>
        <v/>
      </c>
      <c r="AW154" s="119">
        <f>AR154*AT154</f>
        <v/>
      </c>
      <c r="AX154" s="119">
        <f>AR154*AU154</f>
        <v/>
      </c>
    </row>
    <row r="155">
      <c r="A155" s="32" t="n">
        <v>145</v>
      </c>
      <c r="B155" s="33" t="n"/>
      <c r="C155" s="33" t="n"/>
      <c r="D155" s="33" t="n"/>
      <c r="E155" s="33" t="inlineStr">
        <is>
          <t>-</t>
        </is>
      </c>
      <c r="F155" s="54">
        <f>IFERROR((VLOOKUP(E155,$AE$11:$AG$14,3,0)),"-")</f>
        <v/>
      </c>
      <c r="G155" s="33" t="n"/>
      <c r="H155" s="33" t="n"/>
      <c r="I155" s="46" t="n"/>
      <c r="J155" s="35" t="n"/>
      <c r="K155" s="35" t="n"/>
      <c r="L155" s="36">
        <f>IF($H$4="-",0,IF($H$4="VAREJO",AW155,IF($H$4="ATACADO",AX155,0)))</f>
        <v/>
      </c>
      <c r="M155" s="33" t="n"/>
      <c r="AN155" s="47" t="n">
        <v>145</v>
      </c>
      <c r="AO155" s="117">
        <f>I155+(I155*J155)+(I155*K155)</f>
        <v/>
      </c>
      <c r="AP155" s="43">
        <f>IFERROR(VLOOKUP(E155,$AE$11:$AK$14,4,0),0)</f>
        <v/>
      </c>
      <c r="AQ155" s="117">
        <f>(I155+(I155*J155)+(I155*K155))*AP155</f>
        <v/>
      </c>
      <c r="AR155" s="118">
        <f>AO155+AQ155</f>
        <v/>
      </c>
      <c r="AT155" s="39">
        <f>IFERROR((VLOOKUP(E155,$AE$11:$AJ$14,5,0)),0)</f>
        <v/>
      </c>
      <c r="AU155" s="39">
        <f>IFERROR((VLOOKUP(E155,$AE$11:$AJ$14,6,0)),0)</f>
        <v/>
      </c>
      <c r="AW155" s="119">
        <f>AR155*AT155</f>
        <v/>
      </c>
      <c r="AX155" s="119">
        <f>AR155*AU155</f>
        <v/>
      </c>
    </row>
    <row r="156">
      <c r="A156" s="32" t="n">
        <v>146</v>
      </c>
      <c r="B156" s="33" t="n"/>
      <c r="C156" s="33" t="n"/>
      <c r="D156" s="33" t="n"/>
      <c r="E156" s="33" t="inlineStr">
        <is>
          <t>-</t>
        </is>
      </c>
      <c r="F156" s="54">
        <f>IFERROR((VLOOKUP(E156,$AE$11:$AG$14,3,0)),"-")</f>
        <v/>
      </c>
      <c r="G156" s="33" t="n"/>
      <c r="H156" s="33" t="n"/>
      <c r="I156" s="46" t="n"/>
      <c r="J156" s="35" t="n"/>
      <c r="K156" s="35" t="n"/>
      <c r="L156" s="36">
        <f>IF($H$4="-",0,IF($H$4="VAREJO",AW156,IF($H$4="ATACADO",AX156,0)))</f>
        <v/>
      </c>
      <c r="M156" s="33" t="n"/>
      <c r="AN156" s="47" t="n">
        <v>146</v>
      </c>
      <c r="AO156" s="117">
        <f>I156+(I156*J156)+(I156*K156)</f>
        <v/>
      </c>
      <c r="AP156" s="43">
        <f>IFERROR(VLOOKUP(E156,$AE$11:$AK$14,4,0),0)</f>
        <v/>
      </c>
      <c r="AQ156" s="117">
        <f>(I156+(I156*J156)+(I156*K156))*AP156</f>
        <v/>
      </c>
      <c r="AR156" s="118">
        <f>AO156+AQ156</f>
        <v/>
      </c>
      <c r="AT156" s="39">
        <f>IFERROR((VLOOKUP(E156,$AE$11:$AJ$14,5,0)),0)</f>
        <v/>
      </c>
      <c r="AU156" s="39">
        <f>IFERROR((VLOOKUP(E156,$AE$11:$AJ$14,6,0)),0)</f>
        <v/>
      </c>
      <c r="AW156" s="119">
        <f>AR156*AT156</f>
        <v/>
      </c>
      <c r="AX156" s="119">
        <f>AR156*AU156</f>
        <v/>
      </c>
    </row>
    <row r="157">
      <c r="A157" s="32" t="n">
        <v>147</v>
      </c>
      <c r="B157" s="33" t="n"/>
      <c r="C157" s="33" t="n"/>
      <c r="D157" s="33" t="n"/>
      <c r="E157" s="33" t="inlineStr">
        <is>
          <t>-</t>
        </is>
      </c>
      <c r="F157" s="54">
        <f>IFERROR((VLOOKUP(E157,$AE$11:$AG$14,3,0)),"-")</f>
        <v/>
      </c>
      <c r="G157" s="33" t="n"/>
      <c r="H157" s="33" t="n"/>
      <c r="I157" s="46" t="n"/>
      <c r="J157" s="35" t="n"/>
      <c r="K157" s="35" t="n"/>
      <c r="L157" s="36">
        <f>IF($H$4="-",0,IF($H$4="VAREJO",AW157,IF($H$4="ATACADO",AX157,0)))</f>
        <v/>
      </c>
      <c r="M157" s="33" t="n"/>
      <c r="AN157" s="47" t="n">
        <v>147</v>
      </c>
      <c r="AO157" s="117">
        <f>I157+(I157*J157)+(I157*K157)</f>
        <v/>
      </c>
      <c r="AP157" s="43">
        <f>IFERROR(VLOOKUP(E157,$AE$11:$AK$14,4,0),0)</f>
        <v/>
      </c>
      <c r="AQ157" s="117">
        <f>(I157+(I157*J157)+(I157*K157))*AP157</f>
        <v/>
      </c>
      <c r="AR157" s="118">
        <f>AO157+AQ157</f>
        <v/>
      </c>
      <c r="AT157" s="39">
        <f>IFERROR((VLOOKUP(E157,$AE$11:$AJ$14,5,0)),0)</f>
        <v/>
      </c>
      <c r="AU157" s="39">
        <f>IFERROR((VLOOKUP(E157,$AE$11:$AJ$14,6,0)),0)</f>
        <v/>
      </c>
      <c r="AW157" s="119">
        <f>AR157*AT157</f>
        <v/>
      </c>
      <c r="AX157" s="119">
        <f>AR157*AU157</f>
        <v/>
      </c>
    </row>
    <row r="158">
      <c r="A158" s="32" t="n">
        <v>148</v>
      </c>
      <c r="B158" s="33" t="n"/>
      <c r="C158" s="33" t="n"/>
      <c r="D158" s="33" t="n"/>
      <c r="E158" s="33" t="inlineStr">
        <is>
          <t>-</t>
        </is>
      </c>
      <c r="F158" s="54">
        <f>IFERROR((VLOOKUP(E158,$AE$11:$AG$14,3,0)),"-")</f>
        <v/>
      </c>
      <c r="G158" s="33" t="n"/>
      <c r="H158" s="33" t="n"/>
      <c r="I158" s="46" t="n"/>
      <c r="J158" s="35" t="n"/>
      <c r="K158" s="35" t="n"/>
      <c r="L158" s="36">
        <f>IF($H$4="-",0,IF($H$4="VAREJO",AW158,IF($H$4="ATACADO",AX158,0)))</f>
        <v/>
      </c>
      <c r="M158" s="33" t="n"/>
      <c r="AN158" s="47" t="n">
        <v>148</v>
      </c>
      <c r="AO158" s="117">
        <f>I158+(I158*J158)+(I158*K158)</f>
        <v/>
      </c>
      <c r="AP158" s="43">
        <f>IFERROR(VLOOKUP(E158,$AE$11:$AK$14,4,0),0)</f>
        <v/>
      </c>
      <c r="AQ158" s="117">
        <f>(I158+(I158*J158)+(I158*K158))*AP158</f>
        <v/>
      </c>
      <c r="AR158" s="118">
        <f>AO158+AQ158</f>
        <v/>
      </c>
      <c r="AT158" s="39">
        <f>IFERROR((VLOOKUP(E158,$AE$11:$AJ$14,5,0)),0)</f>
        <v/>
      </c>
      <c r="AU158" s="39">
        <f>IFERROR((VLOOKUP(E158,$AE$11:$AJ$14,6,0)),0)</f>
        <v/>
      </c>
      <c r="AW158" s="119">
        <f>AR158*AT158</f>
        <v/>
      </c>
      <c r="AX158" s="119">
        <f>AR158*AU158</f>
        <v/>
      </c>
    </row>
    <row r="159">
      <c r="A159" s="32" t="n">
        <v>149</v>
      </c>
      <c r="B159" s="33" t="n"/>
      <c r="C159" s="33" t="n"/>
      <c r="D159" s="33" t="n"/>
      <c r="E159" s="33" t="inlineStr">
        <is>
          <t>-</t>
        </is>
      </c>
      <c r="F159" s="54">
        <f>IFERROR((VLOOKUP(E159,$AE$11:$AG$14,3,0)),"-")</f>
        <v/>
      </c>
      <c r="G159" s="33" t="n"/>
      <c r="H159" s="33" t="n"/>
      <c r="I159" s="46" t="n"/>
      <c r="J159" s="35" t="n"/>
      <c r="K159" s="35" t="n"/>
      <c r="L159" s="36">
        <f>IF($H$4="-",0,IF($H$4="VAREJO",AW159,IF($H$4="ATACADO",AX159,0)))</f>
        <v/>
      </c>
      <c r="M159" s="33" t="n"/>
      <c r="AN159" s="47" t="n">
        <v>149</v>
      </c>
      <c r="AO159" s="117">
        <f>I159+(I159*J159)+(I159*K159)</f>
        <v/>
      </c>
      <c r="AP159" s="43">
        <f>IFERROR(VLOOKUP(E159,$AE$11:$AK$14,4,0),0)</f>
        <v/>
      </c>
      <c r="AQ159" s="117">
        <f>(I159+(I159*J159)+(I159*K159))*AP159</f>
        <v/>
      </c>
      <c r="AR159" s="118">
        <f>AO159+AQ159</f>
        <v/>
      </c>
      <c r="AT159" s="39">
        <f>IFERROR((VLOOKUP(E159,$AE$11:$AJ$14,5,0)),0)</f>
        <v/>
      </c>
      <c r="AU159" s="39">
        <f>IFERROR((VLOOKUP(E159,$AE$11:$AJ$14,6,0)),0)</f>
        <v/>
      </c>
      <c r="AW159" s="119">
        <f>AR159*AT159</f>
        <v/>
      </c>
      <c r="AX159" s="119">
        <f>AR159*AU159</f>
        <v/>
      </c>
    </row>
    <row r="160">
      <c r="A160" s="32" t="n">
        <v>150</v>
      </c>
      <c r="B160" s="33" t="n"/>
      <c r="C160" s="33" t="n"/>
      <c r="D160" s="33" t="n"/>
      <c r="E160" s="33" t="inlineStr">
        <is>
          <t>-</t>
        </is>
      </c>
      <c r="F160" s="54">
        <f>IFERROR((VLOOKUP(E160,$AE$11:$AG$14,3,0)),"-")</f>
        <v/>
      </c>
      <c r="G160" s="33" t="n"/>
      <c r="H160" s="33" t="n"/>
      <c r="I160" s="46" t="n"/>
      <c r="J160" s="35" t="n"/>
      <c r="K160" s="35" t="n"/>
      <c r="L160" s="36">
        <f>IF($H$4="-",0,IF($H$4="VAREJO",AW160,IF($H$4="ATACADO",AX160,0)))</f>
        <v/>
      </c>
      <c r="M160" s="33" t="n"/>
      <c r="AN160" s="47" t="n">
        <v>150</v>
      </c>
      <c r="AO160" s="117">
        <f>I160+(I160*J160)+(I160*K160)</f>
        <v/>
      </c>
      <c r="AP160" s="43">
        <f>IFERROR(VLOOKUP(E160,$AE$11:$AK$14,4,0),0)</f>
        <v/>
      </c>
      <c r="AQ160" s="117">
        <f>(I160+(I160*J160)+(I160*K160))*AP160</f>
        <v/>
      </c>
      <c r="AR160" s="118">
        <f>AO160+AQ160</f>
        <v/>
      </c>
      <c r="AT160" s="39">
        <f>IFERROR((VLOOKUP(E160,$AE$11:$AJ$14,5,0)),0)</f>
        <v/>
      </c>
      <c r="AU160" s="39">
        <f>IFERROR((VLOOKUP(E160,$AE$11:$AJ$14,6,0)),0)</f>
        <v/>
      </c>
      <c r="AW160" s="119">
        <f>AR160*AT160</f>
        <v/>
      </c>
      <c r="AX160" s="119">
        <f>AR160*AU160</f>
        <v/>
      </c>
    </row>
    <row r="161">
      <c r="A161" s="32" t="n">
        <v>151</v>
      </c>
      <c r="B161" s="33" t="n"/>
      <c r="C161" s="33" t="n"/>
      <c r="D161" s="33" t="n"/>
      <c r="E161" s="33" t="inlineStr">
        <is>
          <t>-</t>
        </is>
      </c>
      <c r="F161" s="54">
        <f>IFERROR((VLOOKUP(E161,$AE$11:$AG$14,3,0)),"-")</f>
        <v/>
      </c>
      <c r="G161" s="33" t="n"/>
      <c r="H161" s="33" t="n"/>
      <c r="I161" s="46" t="n"/>
      <c r="J161" s="35" t="n"/>
      <c r="K161" s="35" t="n"/>
      <c r="L161" s="36">
        <f>IF($H$4="-",0,IF($H$4="VAREJO",AW161,IF($H$4="ATACADO",AX161,0)))</f>
        <v/>
      </c>
      <c r="M161" s="33" t="n"/>
      <c r="AN161" s="47" t="n">
        <v>151</v>
      </c>
      <c r="AO161" s="117">
        <f>I161+(I161*J161)+(I161*K161)</f>
        <v/>
      </c>
      <c r="AP161" s="43">
        <f>IFERROR(VLOOKUP(E161,$AE$11:$AK$14,4,0),0)</f>
        <v/>
      </c>
      <c r="AQ161" s="117">
        <f>(I161+(I161*J161)+(I161*K161))*AP161</f>
        <v/>
      </c>
      <c r="AR161" s="118">
        <f>AO161+AQ161</f>
        <v/>
      </c>
      <c r="AT161" s="39">
        <f>IFERROR((VLOOKUP(E161,$AE$11:$AJ$14,5,0)),0)</f>
        <v/>
      </c>
      <c r="AU161" s="39">
        <f>IFERROR((VLOOKUP(E161,$AE$11:$AJ$14,6,0)),0)</f>
        <v/>
      </c>
      <c r="AW161" s="119">
        <f>AR161*AT161</f>
        <v/>
      </c>
      <c r="AX161" s="119">
        <f>AR161*AU161</f>
        <v/>
      </c>
    </row>
    <row r="162">
      <c r="A162" s="32" t="n">
        <v>152</v>
      </c>
      <c r="B162" s="33" t="n"/>
      <c r="C162" s="33" t="n"/>
      <c r="D162" s="33" t="n"/>
      <c r="E162" s="33" t="inlineStr">
        <is>
          <t>-</t>
        </is>
      </c>
      <c r="F162" s="54">
        <f>IFERROR((VLOOKUP(E162,$AE$11:$AG$14,3,0)),"-")</f>
        <v/>
      </c>
      <c r="G162" s="33" t="n"/>
      <c r="H162" s="33" t="n"/>
      <c r="I162" s="46" t="n"/>
      <c r="J162" s="35" t="n"/>
      <c r="K162" s="35" t="n"/>
      <c r="L162" s="36">
        <f>IF($H$4="-",0,IF($H$4="VAREJO",AW162,IF($H$4="ATACADO",AX162,0)))</f>
        <v/>
      </c>
      <c r="M162" s="33" t="n"/>
      <c r="AN162" s="47" t="n">
        <v>152</v>
      </c>
      <c r="AO162" s="117">
        <f>I162+(I162*J162)+(I162*K162)</f>
        <v/>
      </c>
      <c r="AP162" s="43">
        <f>IFERROR(VLOOKUP(E162,$AE$11:$AK$14,4,0),0)</f>
        <v/>
      </c>
      <c r="AQ162" s="117">
        <f>(I162+(I162*J162)+(I162*K162))*AP162</f>
        <v/>
      </c>
      <c r="AR162" s="118">
        <f>AO162+AQ162</f>
        <v/>
      </c>
      <c r="AT162" s="39">
        <f>IFERROR((VLOOKUP(E162,$AE$11:$AJ$14,5,0)),0)</f>
        <v/>
      </c>
      <c r="AU162" s="39">
        <f>IFERROR((VLOOKUP(E162,$AE$11:$AJ$14,6,0)),0)</f>
        <v/>
      </c>
      <c r="AW162" s="119">
        <f>AR162*AT162</f>
        <v/>
      </c>
      <c r="AX162" s="119">
        <f>AR162*AU162</f>
        <v/>
      </c>
    </row>
    <row r="163">
      <c r="A163" s="32" t="n">
        <v>153</v>
      </c>
      <c r="B163" s="33" t="n"/>
      <c r="C163" s="33" t="n"/>
      <c r="D163" s="33" t="n"/>
      <c r="E163" s="33" t="inlineStr">
        <is>
          <t>-</t>
        </is>
      </c>
      <c r="F163" s="54">
        <f>IFERROR((VLOOKUP(E163,$AE$11:$AG$14,3,0)),"-")</f>
        <v/>
      </c>
      <c r="G163" s="33" t="n"/>
      <c r="H163" s="33" t="n"/>
      <c r="I163" s="46" t="n"/>
      <c r="J163" s="35" t="n"/>
      <c r="K163" s="35" t="n"/>
      <c r="L163" s="36">
        <f>IF($H$4="-",0,IF($H$4="VAREJO",AW163,IF($H$4="ATACADO",AX163,0)))</f>
        <v/>
      </c>
      <c r="M163" s="33" t="n"/>
      <c r="AN163" s="47" t="n">
        <v>153</v>
      </c>
      <c r="AO163" s="117">
        <f>I163+(I163*J163)+(I163*K163)</f>
        <v/>
      </c>
      <c r="AP163" s="43">
        <f>IFERROR(VLOOKUP(E163,$AE$11:$AK$14,4,0),0)</f>
        <v/>
      </c>
      <c r="AQ163" s="117">
        <f>(I163+(I163*J163)+(I163*K163))*AP163</f>
        <v/>
      </c>
      <c r="AR163" s="118">
        <f>AO163+AQ163</f>
        <v/>
      </c>
      <c r="AT163" s="39">
        <f>IFERROR((VLOOKUP(E163,$AE$11:$AJ$14,5,0)),0)</f>
        <v/>
      </c>
      <c r="AU163" s="39">
        <f>IFERROR((VLOOKUP(E163,$AE$11:$AJ$14,6,0)),0)</f>
        <v/>
      </c>
      <c r="AW163" s="119">
        <f>AR163*AT163</f>
        <v/>
      </c>
      <c r="AX163" s="119">
        <f>AR163*AU163</f>
        <v/>
      </c>
    </row>
    <row r="164">
      <c r="A164" s="32" t="n">
        <v>154</v>
      </c>
      <c r="B164" s="33" t="n"/>
      <c r="C164" s="33" t="n"/>
      <c r="D164" s="33" t="n"/>
      <c r="E164" s="33" t="inlineStr">
        <is>
          <t>-</t>
        </is>
      </c>
      <c r="F164" s="54">
        <f>IFERROR((VLOOKUP(E164,$AE$11:$AG$14,3,0)),"-")</f>
        <v/>
      </c>
      <c r="G164" s="33" t="n"/>
      <c r="H164" s="33" t="n"/>
      <c r="I164" s="46" t="n"/>
      <c r="J164" s="35" t="n"/>
      <c r="K164" s="35" t="n"/>
      <c r="L164" s="36">
        <f>IF($H$4="-",0,IF($H$4="VAREJO",AW164,IF($H$4="ATACADO",AX164,0)))</f>
        <v/>
      </c>
      <c r="M164" s="33" t="n"/>
      <c r="AN164" s="47" t="n">
        <v>154</v>
      </c>
      <c r="AO164" s="117">
        <f>I164+(I164*J164)+(I164*K164)</f>
        <v/>
      </c>
      <c r="AP164" s="43">
        <f>IFERROR(VLOOKUP(E164,$AE$11:$AK$14,4,0),0)</f>
        <v/>
      </c>
      <c r="AQ164" s="117">
        <f>(I164+(I164*J164)+(I164*K164))*AP164</f>
        <v/>
      </c>
      <c r="AR164" s="118">
        <f>AO164+AQ164</f>
        <v/>
      </c>
      <c r="AT164" s="39">
        <f>IFERROR((VLOOKUP(E164,$AE$11:$AJ$14,5,0)),0)</f>
        <v/>
      </c>
      <c r="AU164" s="39">
        <f>IFERROR((VLOOKUP(E164,$AE$11:$AJ$14,6,0)),0)</f>
        <v/>
      </c>
      <c r="AW164" s="119">
        <f>AR164*AT164</f>
        <v/>
      </c>
      <c r="AX164" s="119">
        <f>AR164*AU164</f>
        <v/>
      </c>
    </row>
    <row r="165">
      <c r="A165" s="32" t="n">
        <v>155</v>
      </c>
      <c r="B165" s="33" t="n"/>
      <c r="C165" s="33" t="n"/>
      <c r="D165" s="33" t="n"/>
      <c r="E165" s="33" t="inlineStr">
        <is>
          <t>-</t>
        </is>
      </c>
      <c r="F165" s="54">
        <f>IFERROR((VLOOKUP(E165,$AE$11:$AG$14,3,0)),"-")</f>
        <v/>
      </c>
      <c r="G165" s="33" t="n"/>
      <c r="H165" s="33" t="n"/>
      <c r="I165" s="46" t="n"/>
      <c r="J165" s="35" t="n"/>
      <c r="K165" s="35" t="n"/>
      <c r="L165" s="36">
        <f>IF($H$4="-",0,IF($H$4="VAREJO",AW165,IF($H$4="ATACADO",AX165,0)))</f>
        <v/>
      </c>
      <c r="M165" s="33" t="n"/>
      <c r="AN165" s="47" t="n">
        <v>155</v>
      </c>
      <c r="AO165" s="117">
        <f>I165+(I165*J165)+(I165*K165)</f>
        <v/>
      </c>
      <c r="AP165" s="43">
        <f>IFERROR(VLOOKUP(E165,$AE$11:$AK$14,4,0),0)</f>
        <v/>
      </c>
      <c r="AQ165" s="117">
        <f>(I165+(I165*J165)+(I165*K165))*AP165</f>
        <v/>
      </c>
      <c r="AR165" s="118">
        <f>AO165+AQ165</f>
        <v/>
      </c>
      <c r="AT165" s="39">
        <f>IFERROR((VLOOKUP(E165,$AE$11:$AJ$14,5,0)),0)</f>
        <v/>
      </c>
      <c r="AU165" s="39">
        <f>IFERROR((VLOOKUP(E165,$AE$11:$AJ$14,6,0)),0)</f>
        <v/>
      </c>
      <c r="AW165" s="119">
        <f>AR165*AT165</f>
        <v/>
      </c>
      <c r="AX165" s="119">
        <f>AR165*AU165</f>
        <v/>
      </c>
    </row>
    <row r="166">
      <c r="A166" s="32" t="n">
        <v>156</v>
      </c>
      <c r="B166" s="33" t="n"/>
      <c r="C166" s="33" t="n"/>
      <c r="D166" s="33" t="n"/>
      <c r="E166" s="33" t="inlineStr">
        <is>
          <t>-</t>
        </is>
      </c>
      <c r="F166" s="54">
        <f>IFERROR((VLOOKUP(E166,$AE$11:$AG$14,3,0)),"-")</f>
        <v/>
      </c>
      <c r="G166" s="33" t="n"/>
      <c r="H166" s="33" t="n"/>
      <c r="I166" s="46" t="n"/>
      <c r="J166" s="35" t="n"/>
      <c r="K166" s="35" t="n"/>
      <c r="L166" s="36">
        <f>IF($H$4="-",0,IF($H$4="VAREJO",AW166,IF($H$4="ATACADO",AX166,0)))</f>
        <v/>
      </c>
      <c r="M166" s="33" t="n"/>
      <c r="AN166" s="47" t="n">
        <v>156</v>
      </c>
      <c r="AO166" s="117">
        <f>I166+(I166*J166)+(I166*K166)</f>
        <v/>
      </c>
      <c r="AP166" s="43">
        <f>IFERROR(VLOOKUP(E166,$AE$11:$AK$14,4,0),0)</f>
        <v/>
      </c>
      <c r="AQ166" s="117">
        <f>(I166+(I166*J166)+(I166*K166))*AP166</f>
        <v/>
      </c>
      <c r="AR166" s="118">
        <f>AO166+AQ166</f>
        <v/>
      </c>
      <c r="AT166" s="39">
        <f>IFERROR((VLOOKUP(E166,$AE$11:$AJ$14,5,0)),0)</f>
        <v/>
      </c>
      <c r="AU166" s="39">
        <f>IFERROR((VLOOKUP(E166,$AE$11:$AJ$14,6,0)),0)</f>
        <v/>
      </c>
      <c r="AW166" s="119">
        <f>AR166*AT166</f>
        <v/>
      </c>
      <c r="AX166" s="119">
        <f>AR166*AU166</f>
        <v/>
      </c>
    </row>
    <row r="167">
      <c r="A167" s="32" t="n">
        <v>157</v>
      </c>
      <c r="B167" s="33" t="n"/>
      <c r="C167" s="33" t="n"/>
      <c r="D167" s="33" t="n"/>
      <c r="E167" s="33" t="inlineStr">
        <is>
          <t>-</t>
        </is>
      </c>
      <c r="F167" s="54">
        <f>IFERROR((VLOOKUP(E167,$AE$11:$AG$14,3,0)),"-")</f>
        <v/>
      </c>
      <c r="G167" s="33" t="n"/>
      <c r="H167" s="33" t="n"/>
      <c r="I167" s="46" t="n"/>
      <c r="J167" s="35" t="n"/>
      <c r="K167" s="35" t="n"/>
      <c r="L167" s="36">
        <f>IF($H$4="-",0,IF($H$4="VAREJO",AW167,IF($H$4="ATACADO",AX167,0)))</f>
        <v/>
      </c>
      <c r="M167" s="33" t="n"/>
      <c r="AN167" s="47" t="n">
        <v>157</v>
      </c>
      <c r="AO167" s="117">
        <f>I167+(I167*J167)+(I167*K167)</f>
        <v/>
      </c>
      <c r="AP167" s="43">
        <f>IFERROR(VLOOKUP(E167,$AE$11:$AK$14,4,0),0)</f>
        <v/>
      </c>
      <c r="AQ167" s="117">
        <f>(I167+(I167*J167)+(I167*K167))*AP167</f>
        <v/>
      </c>
      <c r="AR167" s="118">
        <f>AO167+AQ167</f>
        <v/>
      </c>
      <c r="AT167" s="39">
        <f>IFERROR((VLOOKUP(E167,$AE$11:$AJ$14,5,0)),0)</f>
        <v/>
      </c>
      <c r="AU167" s="39">
        <f>IFERROR((VLOOKUP(E167,$AE$11:$AJ$14,6,0)),0)</f>
        <v/>
      </c>
      <c r="AW167" s="119">
        <f>AR167*AT167</f>
        <v/>
      </c>
      <c r="AX167" s="119">
        <f>AR167*AU167</f>
        <v/>
      </c>
    </row>
    <row r="168">
      <c r="A168" s="32" t="n">
        <v>158</v>
      </c>
      <c r="B168" s="33" t="n"/>
      <c r="C168" s="33" t="n"/>
      <c r="D168" s="33" t="n"/>
      <c r="E168" s="33" t="inlineStr">
        <is>
          <t>-</t>
        </is>
      </c>
      <c r="F168" s="54">
        <f>IFERROR((VLOOKUP(E168,$AE$11:$AG$14,3,0)),"-")</f>
        <v/>
      </c>
      <c r="G168" s="33" t="n"/>
      <c r="H168" s="33" t="n"/>
      <c r="I168" s="46" t="n"/>
      <c r="J168" s="35" t="n"/>
      <c r="K168" s="35" t="n"/>
      <c r="L168" s="36">
        <f>IF($H$4="-",0,IF($H$4="VAREJO",AW168,IF($H$4="ATACADO",AX168,0)))</f>
        <v/>
      </c>
      <c r="M168" s="33" t="n"/>
      <c r="AN168" s="47" t="n">
        <v>158</v>
      </c>
      <c r="AO168" s="117">
        <f>I168+(I168*J168)+(I168*K168)</f>
        <v/>
      </c>
      <c r="AP168" s="43">
        <f>IFERROR(VLOOKUP(E168,$AE$11:$AK$14,4,0),0)</f>
        <v/>
      </c>
      <c r="AQ168" s="117">
        <f>(I168+(I168*J168)+(I168*K168))*AP168</f>
        <v/>
      </c>
      <c r="AR168" s="118">
        <f>AO168+AQ168</f>
        <v/>
      </c>
      <c r="AT168" s="39">
        <f>IFERROR((VLOOKUP(E168,$AE$11:$AJ$14,5,0)),0)</f>
        <v/>
      </c>
      <c r="AU168" s="39">
        <f>IFERROR((VLOOKUP(E168,$AE$11:$AJ$14,6,0)),0)</f>
        <v/>
      </c>
      <c r="AW168" s="119">
        <f>AR168*AT168</f>
        <v/>
      </c>
      <c r="AX168" s="119">
        <f>AR168*AU168</f>
        <v/>
      </c>
    </row>
    <row r="169">
      <c r="A169" s="32" t="n">
        <v>159</v>
      </c>
      <c r="B169" s="33" t="n"/>
      <c r="C169" s="33" t="n"/>
      <c r="D169" s="33" t="n"/>
      <c r="E169" s="33" t="inlineStr">
        <is>
          <t>-</t>
        </is>
      </c>
      <c r="F169" s="54">
        <f>IFERROR((VLOOKUP(E169,$AE$11:$AG$14,3,0)),"-")</f>
        <v/>
      </c>
      <c r="G169" s="33" t="n"/>
      <c r="H169" s="33" t="n"/>
      <c r="I169" s="46" t="n"/>
      <c r="J169" s="35" t="n"/>
      <c r="K169" s="35" t="n"/>
      <c r="L169" s="36">
        <f>IF($H$4="-",0,IF($H$4="VAREJO",AW169,IF($H$4="ATACADO",AX169,0)))</f>
        <v/>
      </c>
      <c r="M169" s="33" t="n"/>
      <c r="AN169" s="47" t="n">
        <v>159</v>
      </c>
      <c r="AO169" s="117">
        <f>I169+(I169*J169)+(I169*K169)</f>
        <v/>
      </c>
      <c r="AP169" s="43">
        <f>IFERROR(VLOOKUP(E169,$AE$11:$AK$14,4,0),0)</f>
        <v/>
      </c>
      <c r="AQ169" s="117">
        <f>(I169+(I169*J169)+(I169*K169))*AP169</f>
        <v/>
      </c>
      <c r="AR169" s="118">
        <f>AO169+AQ169</f>
        <v/>
      </c>
      <c r="AT169" s="39">
        <f>IFERROR((VLOOKUP(E169,$AE$11:$AJ$14,5,0)),0)</f>
        <v/>
      </c>
      <c r="AU169" s="39">
        <f>IFERROR((VLOOKUP(E169,$AE$11:$AJ$14,6,0)),0)</f>
        <v/>
      </c>
      <c r="AW169" s="119">
        <f>AR169*AT169</f>
        <v/>
      </c>
      <c r="AX169" s="119">
        <f>AR169*AU169</f>
        <v/>
      </c>
    </row>
    <row r="170">
      <c r="A170" s="32" t="n">
        <v>160</v>
      </c>
      <c r="B170" s="33" t="n"/>
      <c r="C170" s="33" t="n"/>
      <c r="D170" s="33" t="n"/>
      <c r="E170" s="33" t="inlineStr">
        <is>
          <t>-</t>
        </is>
      </c>
      <c r="F170" s="54">
        <f>IFERROR((VLOOKUP(E170,$AE$11:$AG$14,3,0)),"-")</f>
        <v/>
      </c>
      <c r="G170" s="33" t="n"/>
      <c r="H170" s="33" t="n"/>
      <c r="I170" s="46" t="n"/>
      <c r="J170" s="35" t="n"/>
      <c r="K170" s="35" t="n"/>
      <c r="L170" s="36">
        <f>IF($H$4="-",0,IF($H$4="VAREJO",AW170,IF($H$4="ATACADO",AX170,0)))</f>
        <v/>
      </c>
      <c r="M170" s="33" t="n"/>
      <c r="AN170" s="47" t="n">
        <v>160</v>
      </c>
      <c r="AO170" s="117">
        <f>I170+(I170*J170)+(I170*K170)</f>
        <v/>
      </c>
      <c r="AP170" s="43">
        <f>IFERROR(VLOOKUP(E170,$AE$11:$AK$14,4,0),0)</f>
        <v/>
      </c>
      <c r="AQ170" s="117">
        <f>(I170+(I170*J170)+(I170*K170))*AP170</f>
        <v/>
      </c>
      <c r="AR170" s="118">
        <f>AO170+AQ170</f>
        <v/>
      </c>
      <c r="AT170" s="39">
        <f>IFERROR((VLOOKUP(E170,$AE$11:$AJ$14,5,0)),0)</f>
        <v/>
      </c>
      <c r="AU170" s="39">
        <f>IFERROR((VLOOKUP(E170,$AE$11:$AJ$14,6,0)),0)</f>
        <v/>
      </c>
      <c r="AW170" s="119">
        <f>AR170*AT170</f>
        <v/>
      </c>
      <c r="AX170" s="119">
        <f>AR170*AU170</f>
        <v/>
      </c>
    </row>
    <row r="171">
      <c r="A171" s="32" t="n">
        <v>161</v>
      </c>
      <c r="B171" s="33" t="n"/>
      <c r="C171" s="33" t="n"/>
      <c r="D171" s="33" t="n"/>
      <c r="E171" s="33" t="inlineStr">
        <is>
          <t>-</t>
        </is>
      </c>
      <c r="F171" s="54">
        <f>IFERROR((VLOOKUP(E171,$AE$11:$AG$14,3,0)),"-")</f>
        <v/>
      </c>
      <c r="G171" s="33" t="n"/>
      <c r="H171" s="33" t="n"/>
      <c r="I171" s="46" t="n"/>
      <c r="J171" s="35" t="n"/>
      <c r="K171" s="35" t="n"/>
      <c r="L171" s="36">
        <f>IF($H$4="-",0,IF($H$4="VAREJO",AW171,IF($H$4="ATACADO",AX171,0)))</f>
        <v/>
      </c>
      <c r="M171" s="33" t="n"/>
      <c r="AN171" s="47" t="n">
        <v>161</v>
      </c>
      <c r="AO171" s="117">
        <f>I171+(I171*J171)+(I171*K171)</f>
        <v/>
      </c>
      <c r="AP171" s="43">
        <f>IFERROR(VLOOKUP(E171,$AE$11:$AK$14,4,0),0)</f>
        <v/>
      </c>
      <c r="AQ171" s="117">
        <f>(I171+(I171*J171)+(I171*K171))*AP171</f>
        <v/>
      </c>
      <c r="AR171" s="118">
        <f>AO171+AQ171</f>
        <v/>
      </c>
      <c r="AT171" s="39">
        <f>IFERROR((VLOOKUP(E171,$AE$11:$AJ$14,5,0)),0)</f>
        <v/>
      </c>
      <c r="AU171" s="39">
        <f>IFERROR((VLOOKUP(E171,$AE$11:$AJ$14,6,0)),0)</f>
        <v/>
      </c>
      <c r="AW171" s="119">
        <f>AR171*AT171</f>
        <v/>
      </c>
      <c r="AX171" s="119">
        <f>AR171*AU171</f>
        <v/>
      </c>
    </row>
    <row r="172">
      <c r="A172" s="32" t="n">
        <v>162</v>
      </c>
      <c r="B172" s="33" t="n"/>
      <c r="C172" s="33" t="n"/>
      <c r="D172" s="33" t="n"/>
      <c r="E172" s="33" t="inlineStr">
        <is>
          <t>-</t>
        </is>
      </c>
      <c r="F172" s="54">
        <f>IFERROR((VLOOKUP(E172,$AE$11:$AG$14,3,0)),"-")</f>
        <v/>
      </c>
      <c r="G172" s="33" t="n"/>
      <c r="H172" s="33" t="n"/>
      <c r="I172" s="46" t="n"/>
      <c r="J172" s="35" t="n"/>
      <c r="K172" s="35" t="n"/>
      <c r="L172" s="36">
        <f>IF($H$4="-",0,IF($H$4="VAREJO",AW172,IF($H$4="ATACADO",AX172,0)))</f>
        <v/>
      </c>
      <c r="M172" s="33" t="n"/>
      <c r="AN172" s="47" t="n">
        <v>162</v>
      </c>
      <c r="AO172" s="117">
        <f>I172+(I172*J172)+(I172*K172)</f>
        <v/>
      </c>
      <c r="AP172" s="43">
        <f>IFERROR(VLOOKUP(E172,$AE$11:$AK$14,4,0),0)</f>
        <v/>
      </c>
      <c r="AQ172" s="117">
        <f>(I172+(I172*J172)+(I172*K172))*AP172</f>
        <v/>
      </c>
      <c r="AR172" s="118">
        <f>AO172+AQ172</f>
        <v/>
      </c>
      <c r="AT172" s="39">
        <f>IFERROR((VLOOKUP(E172,$AE$11:$AJ$14,5,0)),0)</f>
        <v/>
      </c>
      <c r="AU172" s="39">
        <f>IFERROR((VLOOKUP(E172,$AE$11:$AJ$14,6,0)),0)</f>
        <v/>
      </c>
      <c r="AW172" s="119">
        <f>AR172*AT172</f>
        <v/>
      </c>
      <c r="AX172" s="119">
        <f>AR172*AU172</f>
        <v/>
      </c>
    </row>
    <row r="173">
      <c r="A173" s="32" t="n">
        <v>163</v>
      </c>
      <c r="B173" s="33" t="n"/>
      <c r="C173" s="33" t="n"/>
      <c r="D173" s="33" t="n"/>
      <c r="E173" s="33" t="inlineStr">
        <is>
          <t>-</t>
        </is>
      </c>
      <c r="F173" s="54">
        <f>IFERROR((VLOOKUP(E173,$AE$11:$AG$14,3,0)),"-")</f>
        <v/>
      </c>
      <c r="G173" s="33" t="n"/>
      <c r="H173" s="33" t="n"/>
      <c r="I173" s="46" t="n"/>
      <c r="J173" s="35" t="n"/>
      <c r="K173" s="35" t="n"/>
      <c r="L173" s="36">
        <f>IF($H$4="-",0,IF($H$4="VAREJO",AW173,IF($H$4="ATACADO",AX173,0)))</f>
        <v/>
      </c>
      <c r="M173" s="33" t="n"/>
      <c r="AN173" s="47" t="n">
        <v>163</v>
      </c>
      <c r="AO173" s="117">
        <f>I173+(I173*J173)+(I173*K173)</f>
        <v/>
      </c>
      <c r="AP173" s="43">
        <f>IFERROR(VLOOKUP(E173,$AE$11:$AK$14,4,0),0)</f>
        <v/>
      </c>
      <c r="AQ173" s="117">
        <f>(I173+(I173*J173)+(I173*K173))*AP173</f>
        <v/>
      </c>
      <c r="AR173" s="118">
        <f>AO173+AQ173</f>
        <v/>
      </c>
      <c r="AT173" s="39">
        <f>IFERROR((VLOOKUP(E173,$AE$11:$AJ$14,5,0)),0)</f>
        <v/>
      </c>
      <c r="AU173" s="39">
        <f>IFERROR((VLOOKUP(E173,$AE$11:$AJ$14,6,0)),0)</f>
        <v/>
      </c>
      <c r="AW173" s="119">
        <f>AR173*AT173</f>
        <v/>
      </c>
      <c r="AX173" s="119">
        <f>AR173*AU173</f>
        <v/>
      </c>
    </row>
    <row r="174">
      <c r="A174" s="32" t="n">
        <v>164</v>
      </c>
      <c r="B174" s="33" t="n"/>
      <c r="C174" s="33" t="n"/>
      <c r="D174" s="33" t="n"/>
      <c r="E174" s="33" t="inlineStr">
        <is>
          <t>-</t>
        </is>
      </c>
      <c r="F174" s="54">
        <f>IFERROR((VLOOKUP(E174,$AE$11:$AG$14,3,0)),"-")</f>
        <v/>
      </c>
      <c r="G174" s="33" t="n"/>
      <c r="H174" s="33" t="n"/>
      <c r="I174" s="46" t="n"/>
      <c r="J174" s="35" t="n"/>
      <c r="K174" s="35" t="n"/>
      <c r="L174" s="36">
        <f>IF($H$4="-",0,IF($H$4="VAREJO",AW174,IF($H$4="ATACADO",AX174,0)))</f>
        <v/>
      </c>
      <c r="M174" s="33" t="n"/>
      <c r="AN174" s="47" t="n">
        <v>164</v>
      </c>
      <c r="AO174" s="117">
        <f>I174+(I174*J174)+(I174*K174)</f>
        <v/>
      </c>
      <c r="AP174" s="43">
        <f>IFERROR(VLOOKUP(E174,$AE$11:$AK$14,4,0),0)</f>
        <v/>
      </c>
      <c r="AQ174" s="117">
        <f>(I174+(I174*J174)+(I174*K174))*AP174</f>
        <v/>
      </c>
      <c r="AR174" s="118">
        <f>AO174+AQ174</f>
        <v/>
      </c>
      <c r="AT174" s="39">
        <f>IFERROR((VLOOKUP(E174,$AE$11:$AJ$14,5,0)),0)</f>
        <v/>
      </c>
      <c r="AU174" s="39">
        <f>IFERROR((VLOOKUP(E174,$AE$11:$AJ$14,6,0)),0)</f>
        <v/>
      </c>
      <c r="AW174" s="119">
        <f>AR174*AT174</f>
        <v/>
      </c>
      <c r="AX174" s="119">
        <f>AR174*AU174</f>
        <v/>
      </c>
    </row>
    <row r="175">
      <c r="A175" s="32" t="n">
        <v>165</v>
      </c>
      <c r="B175" s="33" t="n"/>
      <c r="C175" s="33" t="n"/>
      <c r="D175" s="33" t="n"/>
      <c r="E175" s="33" t="inlineStr">
        <is>
          <t>-</t>
        </is>
      </c>
      <c r="F175" s="54">
        <f>IFERROR((VLOOKUP(E175,$AE$11:$AG$14,3,0)),"-")</f>
        <v/>
      </c>
      <c r="G175" s="33" t="n"/>
      <c r="H175" s="33" t="n"/>
      <c r="I175" s="46" t="n"/>
      <c r="J175" s="35" t="n"/>
      <c r="K175" s="35" t="n"/>
      <c r="L175" s="36">
        <f>IF($H$4="-",0,IF($H$4="VAREJO",AW175,IF($H$4="ATACADO",AX175,0)))</f>
        <v/>
      </c>
      <c r="M175" s="33" t="n"/>
      <c r="AN175" s="47" t="n">
        <v>165</v>
      </c>
      <c r="AO175" s="117">
        <f>I175+(I175*J175)+(I175*K175)</f>
        <v/>
      </c>
      <c r="AP175" s="43">
        <f>IFERROR(VLOOKUP(E175,$AE$11:$AK$14,4,0),0)</f>
        <v/>
      </c>
      <c r="AQ175" s="117">
        <f>(I175+(I175*J175)+(I175*K175))*AP175</f>
        <v/>
      </c>
      <c r="AR175" s="118">
        <f>AO175+AQ175</f>
        <v/>
      </c>
      <c r="AT175" s="39">
        <f>IFERROR((VLOOKUP(E175,$AE$11:$AJ$14,5,0)),0)</f>
        <v/>
      </c>
      <c r="AU175" s="39">
        <f>IFERROR((VLOOKUP(E175,$AE$11:$AJ$14,6,0)),0)</f>
        <v/>
      </c>
      <c r="AW175" s="119">
        <f>AR175*AT175</f>
        <v/>
      </c>
      <c r="AX175" s="119">
        <f>AR175*AU175</f>
        <v/>
      </c>
    </row>
    <row r="176">
      <c r="A176" s="32" t="n">
        <v>166</v>
      </c>
      <c r="B176" s="33" t="n"/>
      <c r="C176" s="33" t="n"/>
      <c r="D176" s="33" t="n"/>
      <c r="E176" s="33" t="inlineStr">
        <is>
          <t>-</t>
        </is>
      </c>
      <c r="F176" s="54">
        <f>IFERROR((VLOOKUP(E176,$AE$11:$AG$14,3,0)),"-")</f>
        <v/>
      </c>
      <c r="G176" s="33" t="n"/>
      <c r="H176" s="33" t="n"/>
      <c r="I176" s="46" t="n"/>
      <c r="J176" s="35" t="n"/>
      <c r="K176" s="35" t="n"/>
      <c r="L176" s="36">
        <f>IF($H$4="-",0,IF($H$4="VAREJO",AW176,IF($H$4="ATACADO",AX176,0)))</f>
        <v/>
      </c>
      <c r="M176" s="33" t="n"/>
      <c r="AN176" s="47" t="n">
        <v>166</v>
      </c>
      <c r="AO176" s="117">
        <f>I176+(I176*J176)+(I176*K176)</f>
        <v/>
      </c>
      <c r="AP176" s="43">
        <f>IFERROR(VLOOKUP(E176,$AE$11:$AK$14,4,0),0)</f>
        <v/>
      </c>
      <c r="AQ176" s="117">
        <f>(I176+(I176*J176)+(I176*K176))*AP176</f>
        <v/>
      </c>
      <c r="AR176" s="118">
        <f>AO176+AQ176</f>
        <v/>
      </c>
      <c r="AT176" s="39">
        <f>IFERROR((VLOOKUP(E176,$AE$11:$AJ$14,5,0)),0)</f>
        <v/>
      </c>
      <c r="AU176" s="39">
        <f>IFERROR((VLOOKUP(E176,$AE$11:$AJ$14,6,0)),0)</f>
        <v/>
      </c>
      <c r="AW176" s="119">
        <f>AR176*AT176</f>
        <v/>
      </c>
      <c r="AX176" s="119">
        <f>AR176*AU176</f>
        <v/>
      </c>
    </row>
    <row r="177">
      <c r="A177" s="32" t="n">
        <v>167</v>
      </c>
      <c r="B177" s="33" t="n"/>
      <c r="C177" s="33" t="n"/>
      <c r="D177" s="33" t="n"/>
      <c r="E177" s="33" t="inlineStr">
        <is>
          <t>-</t>
        </is>
      </c>
      <c r="F177" s="54">
        <f>IFERROR((VLOOKUP(E177,$AE$11:$AG$14,3,0)),"-")</f>
        <v/>
      </c>
      <c r="G177" s="33" t="n"/>
      <c r="H177" s="33" t="n"/>
      <c r="I177" s="46" t="n"/>
      <c r="J177" s="35" t="n"/>
      <c r="K177" s="35" t="n"/>
      <c r="L177" s="36">
        <f>IF($H$4="-",0,IF($H$4="VAREJO",AW177,IF($H$4="ATACADO",AX177,0)))</f>
        <v/>
      </c>
      <c r="M177" s="33" t="n"/>
      <c r="AN177" s="47" t="n">
        <v>167</v>
      </c>
      <c r="AO177" s="117">
        <f>I177+(I177*J177)+(I177*K177)</f>
        <v/>
      </c>
      <c r="AP177" s="43">
        <f>IFERROR(VLOOKUP(E177,$AE$11:$AK$14,4,0),0)</f>
        <v/>
      </c>
      <c r="AQ177" s="117">
        <f>(I177+(I177*J177)+(I177*K177))*AP177</f>
        <v/>
      </c>
      <c r="AR177" s="118">
        <f>AO177+AQ177</f>
        <v/>
      </c>
      <c r="AT177" s="39">
        <f>IFERROR((VLOOKUP(E177,$AE$11:$AJ$14,5,0)),0)</f>
        <v/>
      </c>
      <c r="AU177" s="39">
        <f>IFERROR((VLOOKUP(E177,$AE$11:$AJ$14,6,0)),0)</f>
        <v/>
      </c>
      <c r="AW177" s="119">
        <f>AR177*AT177</f>
        <v/>
      </c>
      <c r="AX177" s="119">
        <f>AR177*AU177</f>
        <v/>
      </c>
    </row>
    <row r="178">
      <c r="A178" s="32" t="n">
        <v>168</v>
      </c>
      <c r="B178" s="33" t="n"/>
      <c r="C178" s="33" t="n"/>
      <c r="D178" s="33" t="n"/>
      <c r="E178" s="33" t="inlineStr">
        <is>
          <t>-</t>
        </is>
      </c>
      <c r="F178" s="54">
        <f>IFERROR((VLOOKUP(E178,$AE$11:$AG$14,3,0)),"-")</f>
        <v/>
      </c>
      <c r="G178" s="33" t="n"/>
      <c r="H178" s="33" t="n"/>
      <c r="I178" s="46" t="n"/>
      <c r="J178" s="35" t="n"/>
      <c r="K178" s="35" t="n"/>
      <c r="L178" s="36">
        <f>IF($H$4="-",0,IF($H$4="VAREJO",AW178,IF($H$4="ATACADO",AX178,0)))</f>
        <v/>
      </c>
      <c r="M178" s="33" t="n"/>
      <c r="AN178" s="47" t="n">
        <v>168</v>
      </c>
      <c r="AO178" s="117">
        <f>I178+(I178*J178)+(I178*K178)</f>
        <v/>
      </c>
      <c r="AP178" s="43">
        <f>IFERROR(VLOOKUP(E178,$AE$11:$AK$14,4,0),0)</f>
        <v/>
      </c>
      <c r="AQ178" s="117">
        <f>(I178+(I178*J178)+(I178*K178))*AP178</f>
        <v/>
      </c>
      <c r="AR178" s="118">
        <f>AO178+AQ178</f>
        <v/>
      </c>
      <c r="AT178" s="39">
        <f>IFERROR((VLOOKUP(E178,$AE$11:$AJ$14,5,0)),0)</f>
        <v/>
      </c>
      <c r="AU178" s="39">
        <f>IFERROR((VLOOKUP(E178,$AE$11:$AJ$14,6,0)),0)</f>
        <v/>
      </c>
      <c r="AW178" s="119">
        <f>AR178*AT178</f>
        <v/>
      </c>
      <c r="AX178" s="119">
        <f>AR178*AU178</f>
        <v/>
      </c>
    </row>
    <row r="179">
      <c r="A179" s="32" t="n">
        <v>169</v>
      </c>
      <c r="B179" s="33" t="n"/>
      <c r="C179" s="33" t="n"/>
      <c r="D179" s="33" t="n"/>
      <c r="E179" s="33" t="inlineStr">
        <is>
          <t>-</t>
        </is>
      </c>
      <c r="F179" s="54">
        <f>IFERROR((VLOOKUP(E179,$AE$11:$AG$14,3,0)),"-")</f>
        <v/>
      </c>
      <c r="G179" s="33" t="n"/>
      <c r="H179" s="33" t="n"/>
      <c r="I179" s="46" t="n"/>
      <c r="J179" s="35" t="n"/>
      <c r="K179" s="35" t="n"/>
      <c r="L179" s="36">
        <f>IF($H$4="-",0,IF($H$4="VAREJO",AW179,IF($H$4="ATACADO",AX179,0)))</f>
        <v/>
      </c>
      <c r="M179" s="33" t="n"/>
      <c r="AN179" s="47" t="n">
        <v>169</v>
      </c>
      <c r="AO179" s="117">
        <f>I179+(I179*J179)+(I179*K179)</f>
        <v/>
      </c>
      <c r="AP179" s="43">
        <f>IFERROR(VLOOKUP(E179,$AE$11:$AK$14,4,0),0)</f>
        <v/>
      </c>
      <c r="AQ179" s="117">
        <f>(I179+(I179*J179)+(I179*K179))*AP179</f>
        <v/>
      </c>
      <c r="AR179" s="118">
        <f>AO179+AQ179</f>
        <v/>
      </c>
      <c r="AT179" s="39">
        <f>IFERROR((VLOOKUP(E179,$AE$11:$AJ$14,5,0)),0)</f>
        <v/>
      </c>
      <c r="AU179" s="39">
        <f>IFERROR((VLOOKUP(E179,$AE$11:$AJ$14,6,0)),0)</f>
        <v/>
      </c>
      <c r="AW179" s="119">
        <f>AR179*AT179</f>
        <v/>
      </c>
      <c r="AX179" s="119">
        <f>AR179*AU179</f>
        <v/>
      </c>
    </row>
    <row r="180">
      <c r="A180" s="32" t="n">
        <v>170</v>
      </c>
      <c r="B180" s="33" t="n"/>
      <c r="C180" s="33" t="n"/>
      <c r="D180" s="33" t="n"/>
      <c r="E180" s="33" t="inlineStr">
        <is>
          <t>-</t>
        </is>
      </c>
      <c r="F180" s="54">
        <f>IFERROR((VLOOKUP(E180,$AE$11:$AG$14,3,0)),"-")</f>
        <v/>
      </c>
      <c r="G180" s="33" t="n"/>
      <c r="H180" s="33" t="n"/>
      <c r="I180" s="46" t="n"/>
      <c r="J180" s="35" t="n"/>
      <c r="K180" s="35" t="n"/>
      <c r="L180" s="36">
        <f>IF($H$4="-",0,IF($H$4="VAREJO",AW180,IF($H$4="ATACADO",AX180,0)))</f>
        <v/>
      </c>
      <c r="M180" s="33" t="n"/>
      <c r="AN180" s="47" t="n">
        <v>170</v>
      </c>
      <c r="AO180" s="117">
        <f>I180+(I180*J180)+(I180*K180)</f>
        <v/>
      </c>
      <c r="AP180" s="43">
        <f>IFERROR(VLOOKUP(E180,$AE$11:$AK$14,4,0),0)</f>
        <v/>
      </c>
      <c r="AQ180" s="117">
        <f>(I180+(I180*J180)+(I180*K180))*AP180</f>
        <v/>
      </c>
      <c r="AR180" s="118">
        <f>AO180+AQ180</f>
        <v/>
      </c>
      <c r="AT180" s="39">
        <f>IFERROR((VLOOKUP(E180,$AE$11:$AJ$14,5,0)),0)</f>
        <v/>
      </c>
      <c r="AU180" s="39">
        <f>IFERROR((VLOOKUP(E180,$AE$11:$AJ$14,6,0)),0)</f>
        <v/>
      </c>
      <c r="AW180" s="119">
        <f>AR180*AT180</f>
        <v/>
      </c>
      <c r="AX180" s="119">
        <f>AR180*AU180</f>
        <v/>
      </c>
    </row>
    <row r="181">
      <c r="A181" s="32" t="n">
        <v>171</v>
      </c>
      <c r="B181" s="33" t="n"/>
      <c r="C181" s="33" t="n"/>
      <c r="D181" s="33" t="n"/>
      <c r="E181" s="33" t="inlineStr">
        <is>
          <t>-</t>
        </is>
      </c>
      <c r="F181" s="54">
        <f>IFERROR((VLOOKUP(E181,$AE$11:$AG$14,3,0)),"-")</f>
        <v/>
      </c>
      <c r="G181" s="33" t="n"/>
      <c r="H181" s="33" t="n"/>
      <c r="I181" s="46" t="n"/>
      <c r="J181" s="35" t="n"/>
      <c r="K181" s="35" t="n"/>
      <c r="L181" s="36">
        <f>IF($H$4="-",0,IF($H$4="VAREJO",AW181,IF($H$4="ATACADO",AX181,0)))</f>
        <v/>
      </c>
      <c r="M181" s="33" t="n"/>
      <c r="AN181" s="47" t="n">
        <v>171</v>
      </c>
      <c r="AO181" s="117">
        <f>I181+(I181*J181)+(I181*K181)</f>
        <v/>
      </c>
      <c r="AP181" s="43">
        <f>IFERROR(VLOOKUP(E181,$AE$11:$AK$14,4,0),0)</f>
        <v/>
      </c>
      <c r="AQ181" s="117">
        <f>(I181+(I181*J181)+(I181*K181))*AP181</f>
        <v/>
      </c>
      <c r="AR181" s="118">
        <f>AO181+AQ181</f>
        <v/>
      </c>
      <c r="AT181" s="39">
        <f>IFERROR((VLOOKUP(E181,$AE$11:$AJ$14,5,0)),0)</f>
        <v/>
      </c>
      <c r="AU181" s="39">
        <f>IFERROR((VLOOKUP(E181,$AE$11:$AJ$14,6,0)),0)</f>
        <v/>
      </c>
      <c r="AW181" s="119">
        <f>AR181*AT181</f>
        <v/>
      </c>
      <c r="AX181" s="119">
        <f>AR181*AU181</f>
        <v/>
      </c>
    </row>
    <row r="182">
      <c r="A182" s="32" t="n">
        <v>172</v>
      </c>
      <c r="B182" s="33" t="n"/>
      <c r="C182" s="33" t="n"/>
      <c r="D182" s="33" t="n"/>
      <c r="E182" s="33" t="inlineStr">
        <is>
          <t>-</t>
        </is>
      </c>
      <c r="F182" s="54">
        <f>IFERROR((VLOOKUP(E182,$AE$11:$AG$14,3,0)),"-")</f>
        <v/>
      </c>
      <c r="G182" s="33" t="n"/>
      <c r="H182" s="33" t="n"/>
      <c r="I182" s="46" t="n"/>
      <c r="J182" s="35" t="n"/>
      <c r="K182" s="35" t="n"/>
      <c r="L182" s="36">
        <f>IF($H$4="-",0,IF($H$4="VAREJO",AW182,IF($H$4="ATACADO",AX182,0)))</f>
        <v/>
      </c>
      <c r="M182" s="33" t="n"/>
      <c r="AN182" s="47" t="n">
        <v>172</v>
      </c>
      <c r="AO182" s="117">
        <f>I182+(I182*J182)+(I182*K182)</f>
        <v/>
      </c>
      <c r="AP182" s="43">
        <f>IFERROR(VLOOKUP(E182,$AE$11:$AK$14,4,0),0)</f>
        <v/>
      </c>
      <c r="AQ182" s="117">
        <f>(I182+(I182*J182)+(I182*K182))*AP182</f>
        <v/>
      </c>
      <c r="AR182" s="118">
        <f>AO182+AQ182</f>
        <v/>
      </c>
      <c r="AT182" s="39">
        <f>IFERROR((VLOOKUP(E182,$AE$11:$AJ$14,5,0)),0)</f>
        <v/>
      </c>
      <c r="AU182" s="39">
        <f>IFERROR((VLOOKUP(E182,$AE$11:$AJ$14,6,0)),0)</f>
        <v/>
      </c>
      <c r="AW182" s="119">
        <f>AR182*AT182</f>
        <v/>
      </c>
      <c r="AX182" s="119">
        <f>AR182*AU182</f>
        <v/>
      </c>
    </row>
    <row r="183">
      <c r="A183" s="32" t="n">
        <v>173</v>
      </c>
      <c r="B183" s="33" t="n"/>
      <c r="C183" s="33" t="n"/>
      <c r="D183" s="33" t="n"/>
      <c r="E183" s="33" t="inlineStr">
        <is>
          <t>-</t>
        </is>
      </c>
      <c r="F183" s="54">
        <f>IFERROR((VLOOKUP(E183,$AE$11:$AG$14,3,0)),"-")</f>
        <v/>
      </c>
      <c r="G183" s="33" t="n"/>
      <c r="H183" s="33" t="n"/>
      <c r="I183" s="46" t="n"/>
      <c r="J183" s="35" t="n"/>
      <c r="K183" s="35" t="n"/>
      <c r="L183" s="36">
        <f>IF($H$4="-",0,IF($H$4="VAREJO",AW183,IF($H$4="ATACADO",AX183,0)))</f>
        <v/>
      </c>
      <c r="M183" s="33" t="n"/>
      <c r="AN183" s="47" t="n">
        <v>173</v>
      </c>
      <c r="AO183" s="117">
        <f>I183+(I183*J183)+(I183*K183)</f>
        <v/>
      </c>
      <c r="AP183" s="43">
        <f>IFERROR(VLOOKUP(E183,$AE$11:$AK$14,4,0),0)</f>
        <v/>
      </c>
      <c r="AQ183" s="117">
        <f>(I183+(I183*J183)+(I183*K183))*AP183</f>
        <v/>
      </c>
      <c r="AR183" s="118">
        <f>AO183+AQ183</f>
        <v/>
      </c>
      <c r="AT183" s="39">
        <f>IFERROR((VLOOKUP(E183,$AE$11:$AJ$14,5,0)),0)</f>
        <v/>
      </c>
      <c r="AU183" s="39">
        <f>IFERROR((VLOOKUP(E183,$AE$11:$AJ$14,6,0)),0)</f>
        <v/>
      </c>
      <c r="AW183" s="119">
        <f>AR183*AT183</f>
        <v/>
      </c>
      <c r="AX183" s="119">
        <f>AR183*AU183</f>
        <v/>
      </c>
    </row>
    <row r="184">
      <c r="A184" s="32" t="n">
        <v>174</v>
      </c>
      <c r="B184" s="33" t="n"/>
      <c r="C184" s="33" t="n"/>
      <c r="D184" s="33" t="n"/>
      <c r="E184" s="33" t="inlineStr">
        <is>
          <t>-</t>
        </is>
      </c>
      <c r="F184" s="54">
        <f>IFERROR((VLOOKUP(E184,$AE$11:$AG$14,3,0)),"-")</f>
        <v/>
      </c>
      <c r="G184" s="33" t="n"/>
      <c r="H184" s="33" t="n"/>
      <c r="I184" s="46" t="n"/>
      <c r="J184" s="35" t="n"/>
      <c r="K184" s="35" t="n"/>
      <c r="L184" s="36">
        <f>IF($H$4="-",0,IF($H$4="VAREJO",AW184,IF($H$4="ATACADO",AX184,0)))</f>
        <v/>
      </c>
      <c r="M184" s="33" t="n"/>
      <c r="AN184" s="47" t="n">
        <v>174</v>
      </c>
      <c r="AO184" s="117">
        <f>I184+(I184*J184)+(I184*K184)</f>
        <v/>
      </c>
      <c r="AP184" s="43">
        <f>IFERROR(VLOOKUP(E184,$AE$11:$AK$14,4,0),0)</f>
        <v/>
      </c>
      <c r="AQ184" s="117">
        <f>(I184+(I184*J184)+(I184*K184))*AP184</f>
        <v/>
      </c>
      <c r="AR184" s="118">
        <f>AO184+AQ184</f>
        <v/>
      </c>
      <c r="AT184" s="39">
        <f>IFERROR((VLOOKUP(E184,$AE$11:$AJ$14,5,0)),0)</f>
        <v/>
      </c>
      <c r="AU184" s="39">
        <f>IFERROR((VLOOKUP(E184,$AE$11:$AJ$14,6,0)),0)</f>
        <v/>
      </c>
      <c r="AW184" s="119">
        <f>AR184*AT184</f>
        <v/>
      </c>
      <c r="AX184" s="119">
        <f>AR184*AU184</f>
        <v/>
      </c>
    </row>
    <row r="185">
      <c r="A185" s="32" t="n">
        <v>175</v>
      </c>
      <c r="B185" s="33" t="n"/>
      <c r="C185" s="33" t="n"/>
      <c r="D185" s="33" t="n"/>
      <c r="E185" s="33" t="inlineStr">
        <is>
          <t>-</t>
        </is>
      </c>
      <c r="F185" s="54">
        <f>IFERROR((VLOOKUP(E185,$AE$11:$AG$14,3,0)),"-")</f>
        <v/>
      </c>
      <c r="G185" s="33" t="n"/>
      <c r="H185" s="33" t="n"/>
      <c r="I185" s="46" t="n"/>
      <c r="J185" s="35" t="n"/>
      <c r="K185" s="35" t="n"/>
      <c r="L185" s="36">
        <f>IF($H$4="-",0,IF($H$4="VAREJO",AW185,IF($H$4="ATACADO",AX185,0)))</f>
        <v/>
      </c>
      <c r="M185" s="33" t="n"/>
      <c r="AN185" s="47" t="n">
        <v>175</v>
      </c>
      <c r="AO185" s="117">
        <f>I185+(I185*J185)+(I185*K185)</f>
        <v/>
      </c>
      <c r="AP185" s="43">
        <f>IFERROR(VLOOKUP(E185,$AE$11:$AK$14,4,0),0)</f>
        <v/>
      </c>
      <c r="AQ185" s="117">
        <f>(I185+(I185*J185)+(I185*K185))*AP185</f>
        <v/>
      </c>
      <c r="AR185" s="118">
        <f>AO185+AQ185</f>
        <v/>
      </c>
      <c r="AT185" s="39">
        <f>IFERROR((VLOOKUP(E185,$AE$11:$AJ$14,5,0)),0)</f>
        <v/>
      </c>
      <c r="AU185" s="39">
        <f>IFERROR((VLOOKUP(E185,$AE$11:$AJ$14,6,0)),0)</f>
        <v/>
      </c>
      <c r="AW185" s="119">
        <f>AR185*AT185</f>
        <v/>
      </c>
      <c r="AX185" s="119">
        <f>AR185*AU185</f>
        <v/>
      </c>
    </row>
    <row r="186">
      <c r="A186" s="32" t="n">
        <v>176</v>
      </c>
      <c r="B186" s="33" t="n"/>
      <c r="C186" s="33" t="n"/>
      <c r="D186" s="33" t="n"/>
      <c r="E186" s="33" t="inlineStr">
        <is>
          <t>-</t>
        </is>
      </c>
      <c r="F186" s="54">
        <f>IFERROR((VLOOKUP(E186,$AE$11:$AG$14,3,0)),"-")</f>
        <v/>
      </c>
      <c r="G186" s="33" t="n"/>
      <c r="H186" s="33" t="n"/>
      <c r="I186" s="46" t="n"/>
      <c r="J186" s="35" t="n"/>
      <c r="K186" s="35" t="n"/>
      <c r="L186" s="36">
        <f>IF($H$4="-",0,IF($H$4="VAREJO",AW186,IF($H$4="ATACADO",AX186,0)))</f>
        <v/>
      </c>
      <c r="M186" s="33" t="n"/>
      <c r="AN186" s="47" t="n">
        <v>176</v>
      </c>
      <c r="AO186" s="117">
        <f>I186+(I186*J186)+(I186*K186)</f>
        <v/>
      </c>
      <c r="AP186" s="43">
        <f>IFERROR(VLOOKUP(E186,$AE$11:$AK$14,4,0),0)</f>
        <v/>
      </c>
      <c r="AQ186" s="117">
        <f>(I186+(I186*J186)+(I186*K186))*AP186</f>
        <v/>
      </c>
      <c r="AR186" s="118">
        <f>AO186+AQ186</f>
        <v/>
      </c>
      <c r="AT186" s="39">
        <f>IFERROR((VLOOKUP(E186,$AE$11:$AJ$14,5,0)),0)</f>
        <v/>
      </c>
      <c r="AU186" s="39">
        <f>IFERROR((VLOOKUP(E186,$AE$11:$AJ$14,6,0)),0)</f>
        <v/>
      </c>
      <c r="AW186" s="119">
        <f>AR186*AT186</f>
        <v/>
      </c>
      <c r="AX186" s="119">
        <f>AR186*AU186</f>
        <v/>
      </c>
    </row>
    <row r="187">
      <c r="A187" s="32" t="n">
        <v>177</v>
      </c>
      <c r="B187" s="33" t="n"/>
      <c r="C187" s="33" t="n"/>
      <c r="D187" s="33" t="n"/>
      <c r="E187" s="33" t="inlineStr">
        <is>
          <t>-</t>
        </is>
      </c>
      <c r="F187" s="54">
        <f>IFERROR((VLOOKUP(E187,$AE$11:$AG$14,3,0)),"-")</f>
        <v/>
      </c>
      <c r="G187" s="33" t="n"/>
      <c r="H187" s="33" t="n"/>
      <c r="I187" s="46" t="n"/>
      <c r="J187" s="35" t="n"/>
      <c r="K187" s="35" t="n"/>
      <c r="L187" s="36">
        <f>IF($H$4="-",0,IF($H$4="VAREJO",AW187,IF($H$4="ATACADO",AX187,0)))</f>
        <v/>
      </c>
      <c r="M187" s="33" t="n"/>
      <c r="AN187" s="47" t="n">
        <v>177</v>
      </c>
      <c r="AO187" s="117">
        <f>I187+(I187*J187)+(I187*K187)</f>
        <v/>
      </c>
      <c r="AP187" s="43">
        <f>IFERROR(VLOOKUP(E187,$AE$11:$AK$14,4,0),0)</f>
        <v/>
      </c>
      <c r="AQ187" s="117">
        <f>(I187+(I187*J187)+(I187*K187))*AP187</f>
        <v/>
      </c>
      <c r="AR187" s="118">
        <f>AO187+AQ187</f>
        <v/>
      </c>
      <c r="AT187" s="39">
        <f>IFERROR((VLOOKUP(E187,$AE$11:$AJ$14,5,0)),0)</f>
        <v/>
      </c>
      <c r="AU187" s="39">
        <f>IFERROR((VLOOKUP(E187,$AE$11:$AJ$14,6,0)),0)</f>
        <v/>
      </c>
      <c r="AW187" s="119">
        <f>AR187*AT187</f>
        <v/>
      </c>
      <c r="AX187" s="119">
        <f>AR187*AU187</f>
        <v/>
      </c>
    </row>
    <row r="188">
      <c r="A188" s="32" t="n">
        <v>178</v>
      </c>
      <c r="B188" s="33" t="n"/>
      <c r="C188" s="33" t="n"/>
      <c r="D188" s="33" t="n"/>
      <c r="E188" s="33" t="inlineStr">
        <is>
          <t>-</t>
        </is>
      </c>
      <c r="F188" s="54">
        <f>IFERROR((VLOOKUP(E188,$AE$11:$AG$14,3,0)),"-")</f>
        <v/>
      </c>
      <c r="G188" s="33" t="n"/>
      <c r="H188" s="33" t="n"/>
      <c r="I188" s="46" t="n"/>
      <c r="J188" s="35" t="n"/>
      <c r="K188" s="35" t="n"/>
      <c r="L188" s="36">
        <f>IF($H$4="-",0,IF($H$4="VAREJO",AW188,IF($H$4="ATACADO",AX188,0)))</f>
        <v/>
      </c>
      <c r="M188" s="33" t="n"/>
      <c r="AN188" s="47" t="n">
        <v>178</v>
      </c>
      <c r="AO188" s="117">
        <f>I188+(I188*J188)+(I188*K188)</f>
        <v/>
      </c>
      <c r="AP188" s="43">
        <f>IFERROR(VLOOKUP(E188,$AE$11:$AK$14,4,0),0)</f>
        <v/>
      </c>
      <c r="AQ188" s="117">
        <f>(I188+(I188*J188)+(I188*K188))*AP188</f>
        <v/>
      </c>
      <c r="AR188" s="118">
        <f>AO188+AQ188</f>
        <v/>
      </c>
      <c r="AT188" s="39">
        <f>IFERROR((VLOOKUP(E188,$AE$11:$AJ$14,5,0)),0)</f>
        <v/>
      </c>
      <c r="AU188" s="39">
        <f>IFERROR((VLOOKUP(E188,$AE$11:$AJ$14,6,0)),0)</f>
        <v/>
      </c>
      <c r="AW188" s="119">
        <f>AR188*AT188</f>
        <v/>
      </c>
      <c r="AX188" s="119">
        <f>AR188*AU188</f>
        <v/>
      </c>
    </row>
    <row r="189">
      <c r="A189" s="32" t="n">
        <v>179</v>
      </c>
      <c r="B189" s="33" t="n"/>
      <c r="C189" s="33" t="n"/>
      <c r="D189" s="33" t="n"/>
      <c r="E189" s="33" t="inlineStr">
        <is>
          <t>-</t>
        </is>
      </c>
      <c r="F189" s="54">
        <f>IFERROR((VLOOKUP(E189,$AE$11:$AG$14,3,0)),"-")</f>
        <v/>
      </c>
      <c r="G189" s="33" t="n"/>
      <c r="H189" s="33" t="n"/>
      <c r="I189" s="46" t="n"/>
      <c r="J189" s="35" t="n"/>
      <c r="K189" s="35" t="n"/>
      <c r="L189" s="36">
        <f>IF($H$4="-",0,IF($H$4="VAREJO",AW189,IF($H$4="ATACADO",AX189,0)))</f>
        <v/>
      </c>
      <c r="M189" s="33" t="n"/>
      <c r="AN189" s="47" t="n">
        <v>179</v>
      </c>
      <c r="AO189" s="117">
        <f>I189+(I189*J189)+(I189*K189)</f>
        <v/>
      </c>
      <c r="AP189" s="43">
        <f>IFERROR(VLOOKUP(E189,$AE$11:$AK$14,4,0),0)</f>
        <v/>
      </c>
      <c r="AQ189" s="117">
        <f>(I189+(I189*J189)+(I189*K189))*AP189</f>
        <v/>
      </c>
      <c r="AR189" s="118">
        <f>AO189+AQ189</f>
        <v/>
      </c>
      <c r="AT189" s="39">
        <f>IFERROR((VLOOKUP(E189,$AE$11:$AJ$14,5,0)),0)</f>
        <v/>
      </c>
      <c r="AU189" s="39">
        <f>IFERROR((VLOOKUP(E189,$AE$11:$AJ$14,6,0)),0)</f>
        <v/>
      </c>
      <c r="AW189" s="119">
        <f>AR189*AT189</f>
        <v/>
      </c>
      <c r="AX189" s="119">
        <f>AR189*AU189</f>
        <v/>
      </c>
    </row>
    <row r="190">
      <c r="A190" s="32" t="n">
        <v>180</v>
      </c>
      <c r="B190" s="33" t="n"/>
      <c r="C190" s="33" t="n"/>
      <c r="D190" s="33" t="n"/>
      <c r="E190" s="33" t="inlineStr">
        <is>
          <t>-</t>
        </is>
      </c>
      <c r="F190" s="54">
        <f>IFERROR((VLOOKUP(E190,$AE$11:$AG$14,3,0)),"-")</f>
        <v/>
      </c>
      <c r="G190" s="33" t="n"/>
      <c r="H190" s="33" t="n"/>
      <c r="I190" s="46" t="n"/>
      <c r="J190" s="35" t="n"/>
      <c r="K190" s="35" t="n"/>
      <c r="L190" s="36">
        <f>IF($H$4="-",0,IF($H$4="VAREJO",AW190,IF($H$4="ATACADO",AX190,0)))</f>
        <v/>
      </c>
      <c r="M190" s="33" t="n"/>
      <c r="AN190" s="47" t="n">
        <v>180</v>
      </c>
      <c r="AO190" s="117">
        <f>I190+(I190*J190)+(I190*K190)</f>
        <v/>
      </c>
      <c r="AP190" s="43">
        <f>IFERROR(VLOOKUP(E190,$AE$11:$AK$14,4,0),0)</f>
        <v/>
      </c>
      <c r="AQ190" s="117">
        <f>(I190+(I190*J190)+(I190*K190))*AP190</f>
        <v/>
      </c>
      <c r="AR190" s="118">
        <f>AO190+AQ190</f>
        <v/>
      </c>
      <c r="AT190" s="39">
        <f>IFERROR((VLOOKUP(E190,$AE$11:$AJ$14,5,0)),0)</f>
        <v/>
      </c>
      <c r="AU190" s="39">
        <f>IFERROR((VLOOKUP(E190,$AE$11:$AJ$14,6,0)),0)</f>
        <v/>
      </c>
      <c r="AW190" s="119">
        <f>AR190*AT190</f>
        <v/>
      </c>
      <c r="AX190" s="119">
        <f>AR190*AU190</f>
        <v/>
      </c>
    </row>
    <row r="191">
      <c r="A191" s="32" t="n">
        <v>181</v>
      </c>
      <c r="B191" s="33" t="n"/>
      <c r="C191" s="33" t="n"/>
      <c r="D191" s="33" t="n"/>
      <c r="E191" s="33" t="inlineStr">
        <is>
          <t>-</t>
        </is>
      </c>
      <c r="F191" s="54">
        <f>IFERROR((VLOOKUP(E191,$AE$11:$AG$14,3,0)),"-")</f>
        <v/>
      </c>
      <c r="G191" s="33" t="n"/>
      <c r="H191" s="33" t="n"/>
      <c r="I191" s="46" t="n"/>
      <c r="J191" s="35" t="n"/>
      <c r="K191" s="35" t="n"/>
      <c r="L191" s="36">
        <f>IF($H$4="-",0,IF($H$4="VAREJO",AW191,IF($H$4="ATACADO",AX191,0)))</f>
        <v/>
      </c>
      <c r="M191" s="33" t="n"/>
      <c r="AN191" s="47" t="n">
        <v>181</v>
      </c>
      <c r="AO191" s="117">
        <f>I191+(I191*J191)+(I191*K191)</f>
        <v/>
      </c>
      <c r="AP191" s="43">
        <f>IFERROR(VLOOKUP(E191,$AE$11:$AK$14,4,0),0)</f>
        <v/>
      </c>
      <c r="AQ191" s="117">
        <f>(I191+(I191*J191)+(I191*K191))*AP191</f>
        <v/>
      </c>
      <c r="AR191" s="118">
        <f>AO191+AQ191</f>
        <v/>
      </c>
      <c r="AT191" s="39">
        <f>IFERROR((VLOOKUP(E191,$AE$11:$AJ$14,5,0)),0)</f>
        <v/>
      </c>
      <c r="AU191" s="39">
        <f>IFERROR((VLOOKUP(E191,$AE$11:$AJ$14,6,0)),0)</f>
        <v/>
      </c>
      <c r="AW191" s="119">
        <f>AR191*AT191</f>
        <v/>
      </c>
      <c r="AX191" s="119">
        <f>AR191*AU191</f>
        <v/>
      </c>
    </row>
    <row r="192">
      <c r="A192" s="32" t="n">
        <v>182</v>
      </c>
      <c r="B192" s="33" t="n"/>
      <c r="C192" s="33" t="n"/>
      <c r="D192" s="33" t="n"/>
      <c r="E192" s="33" t="inlineStr">
        <is>
          <t>-</t>
        </is>
      </c>
      <c r="F192" s="54">
        <f>IFERROR((VLOOKUP(E192,$AE$11:$AG$14,3,0)),"-")</f>
        <v/>
      </c>
      <c r="G192" s="33" t="n"/>
      <c r="H192" s="33" t="n"/>
      <c r="I192" s="46" t="n"/>
      <c r="J192" s="35" t="n"/>
      <c r="K192" s="35" t="n"/>
      <c r="L192" s="36">
        <f>IF($H$4="-",0,IF($H$4="VAREJO",AW192,IF($H$4="ATACADO",AX192,0)))</f>
        <v/>
      </c>
      <c r="M192" s="33" t="n"/>
      <c r="AN192" s="47" t="n">
        <v>182</v>
      </c>
      <c r="AO192" s="117">
        <f>I192+(I192*J192)+(I192*K192)</f>
        <v/>
      </c>
      <c r="AP192" s="43">
        <f>IFERROR(VLOOKUP(E192,$AE$11:$AK$14,4,0),0)</f>
        <v/>
      </c>
      <c r="AQ192" s="117">
        <f>(I192+(I192*J192)+(I192*K192))*AP192</f>
        <v/>
      </c>
      <c r="AR192" s="118">
        <f>AO192+AQ192</f>
        <v/>
      </c>
      <c r="AT192" s="39">
        <f>IFERROR((VLOOKUP(E192,$AE$11:$AJ$14,5,0)),0)</f>
        <v/>
      </c>
      <c r="AU192" s="39">
        <f>IFERROR((VLOOKUP(E192,$AE$11:$AJ$14,6,0)),0)</f>
        <v/>
      </c>
      <c r="AW192" s="119">
        <f>AR192*AT192</f>
        <v/>
      </c>
      <c r="AX192" s="119">
        <f>AR192*AU192</f>
        <v/>
      </c>
    </row>
    <row r="193">
      <c r="A193" s="32" t="n">
        <v>183</v>
      </c>
      <c r="B193" s="33" t="n"/>
      <c r="C193" s="33" t="n"/>
      <c r="D193" s="33" t="n"/>
      <c r="E193" s="33" t="inlineStr">
        <is>
          <t>-</t>
        </is>
      </c>
      <c r="F193" s="54">
        <f>IFERROR((VLOOKUP(E193,$AE$11:$AG$14,3,0)),"-")</f>
        <v/>
      </c>
      <c r="G193" s="33" t="n"/>
      <c r="H193" s="33" t="n"/>
      <c r="I193" s="46" t="n"/>
      <c r="J193" s="35" t="n"/>
      <c r="K193" s="35" t="n"/>
      <c r="L193" s="36">
        <f>IF($H$4="-",0,IF($H$4="VAREJO",AW193,IF($H$4="ATACADO",AX193,0)))</f>
        <v/>
      </c>
      <c r="M193" s="33" t="n"/>
      <c r="AN193" s="47" t="n">
        <v>183</v>
      </c>
      <c r="AO193" s="117">
        <f>I193+(I193*J193)+(I193*K193)</f>
        <v/>
      </c>
      <c r="AP193" s="43">
        <f>IFERROR(VLOOKUP(E193,$AE$11:$AK$14,4,0),0)</f>
        <v/>
      </c>
      <c r="AQ193" s="117">
        <f>(I193+(I193*J193)+(I193*K193))*AP193</f>
        <v/>
      </c>
      <c r="AR193" s="118">
        <f>AO193+AQ193</f>
        <v/>
      </c>
      <c r="AT193" s="39">
        <f>IFERROR((VLOOKUP(E193,$AE$11:$AJ$14,5,0)),0)</f>
        <v/>
      </c>
      <c r="AU193" s="39">
        <f>IFERROR((VLOOKUP(E193,$AE$11:$AJ$14,6,0)),0)</f>
        <v/>
      </c>
      <c r="AW193" s="119">
        <f>AR193*AT193</f>
        <v/>
      </c>
      <c r="AX193" s="119">
        <f>AR193*AU193</f>
        <v/>
      </c>
    </row>
    <row r="194">
      <c r="A194" s="32" t="n">
        <v>184</v>
      </c>
      <c r="B194" s="33" t="n"/>
      <c r="C194" s="33" t="n"/>
      <c r="D194" s="33" t="n"/>
      <c r="E194" s="33" t="inlineStr">
        <is>
          <t>-</t>
        </is>
      </c>
      <c r="F194" s="54">
        <f>IFERROR((VLOOKUP(E194,$AE$11:$AG$14,3,0)),"-")</f>
        <v/>
      </c>
      <c r="G194" s="33" t="n"/>
      <c r="H194" s="33" t="n"/>
      <c r="I194" s="46" t="n"/>
      <c r="J194" s="35" t="n"/>
      <c r="K194" s="35" t="n"/>
      <c r="L194" s="36">
        <f>IF($H$4="-",0,IF($H$4="VAREJO",AW194,IF($H$4="ATACADO",AX194,0)))</f>
        <v/>
      </c>
      <c r="M194" s="33" t="n"/>
      <c r="AN194" s="47" t="n">
        <v>184</v>
      </c>
      <c r="AO194" s="117">
        <f>I194+(I194*J194)+(I194*K194)</f>
        <v/>
      </c>
      <c r="AP194" s="43">
        <f>IFERROR(VLOOKUP(E194,$AE$11:$AK$14,4,0),0)</f>
        <v/>
      </c>
      <c r="AQ194" s="117">
        <f>(I194+(I194*J194)+(I194*K194))*AP194</f>
        <v/>
      </c>
      <c r="AR194" s="118">
        <f>AO194+AQ194</f>
        <v/>
      </c>
      <c r="AT194" s="39">
        <f>IFERROR((VLOOKUP(E194,$AE$11:$AJ$14,5,0)),0)</f>
        <v/>
      </c>
      <c r="AU194" s="39">
        <f>IFERROR((VLOOKUP(E194,$AE$11:$AJ$14,6,0)),0)</f>
        <v/>
      </c>
      <c r="AW194" s="119">
        <f>AR194*AT194</f>
        <v/>
      </c>
      <c r="AX194" s="119">
        <f>AR194*AU194</f>
        <v/>
      </c>
    </row>
    <row r="195">
      <c r="A195" s="32" t="n">
        <v>185</v>
      </c>
      <c r="B195" s="33" t="n"/>
      <c r="C195" s="33" t="n"/>
      <c r="D195" s="33" t="n"/>
      <c r="E195" s="33" t="inlineStr">
        <is>
          <t>-</t>
        </is>
      </c>
      <c r="F195" s="54">
        <f>IFERROR((VLOOKUP(E195,$AE$11:$AG$14,3,0)),"-")</f>
        <v/>
      </c>
      <c r="G195" s="33" t="n"/>
      <c r="H195" s="33" t="n"/>
      <c r="I195" s="46" t="n"/>
      <c r="J195" s="35" t="n"/>
      <c r="K195" s="35" t="n"/>
      <c r="L195" s="36">
        <f>IF($H$4="-",0,IF($H$4="VAREJO",AW195,IF($H$4="ATACADO",AX195,0)))</f>
        <v/>
      </c>
      <c r="M195" s="33" t="n"/>
      <c r="AN195" s="47" t="n">
        <v>185</v>
      </c>
      <c r="AO195" s="117">
        <f>I195+(I195*J195)+(I195*K195)</f>
        <v/>
      </c>
      <c r="AP195" s="43">
        <f>IFERROR(VLOOKUP(E195,$AE$11:$AK$14,4,0),0)</f>
        <v/>
      </c>
      <c r="AQ195" s="117">
        <f>(I195+(I195*J195)+(I195*K195))*AP195</f>
        <v/>
      </c>
      <c r="AR195" s="118">
        <f>AO195+AQ195</f>
        <v/>
      </c>
      <c r="AT195" s="39">
        <f>IFERROR((VLOOKUP(E195,$AE$11:$AJ$14,5,0)),0)</f>
        <v/>
      </c>
      <c r="AU195" s="39">
        <f>IFERROR((VLOOKUP(E195,$AE$11:$AJ$14,6,0)),0)</f>
        <v/>
      </c>
      <c r="AW195" s="119">
        <f>AR195*AT195</f>
        <v/>
      </c>
      <c r="AX195" s="119">
        <f>AR195*AU195</f>
        <v/>
      </c>
    </row>
    <row r="196">
      <c r="A196" s="32" t="n">
        <v>186</v>
      </c>
      <c r="B196" s="33" t="n"/>
      <c r="C196" s="33" t="n"/>
      <c r="D196" s="33" t="n"/>
      <c r="E196" s="33" t="inlineStr">
        <is>
          <t>-</t>
        </is>
      </c>
      <c r="F196" s="54">
        <f>IFERROR((VLOOKUP(E196,$AE$11:$AG$14,3,0)),"-")</f>
        <v/>
      </c>
      <c r="G196" s="33" t="n"/>
      <c r="H196" s="33" t="n"/>
      <c r="I196" s="46" t="n"/>
      <c r="J196" s="35" t="n"/>
      <c r="K196" s="35" t="n"/>
      <c r="L196" s="36">
        <f>IF($H$4="-",0,IF($H$4="VAREJO",AW196,IF($H$4="ATACADO",AX196,0)))</f>
        <v/>
      </c>
      <c r="M196" s="33" t="n"/>
      <c r="AN196" s="47" t="n">
        <v>186</v>
      </c>
      <c r="AO196" s="117">
        <f>I196+(I196*J196)+(I196*K196)</f>
        <v/>
      </c>
      <c r="AP196" s="43">
        <f>IFERROR(VLOOKUP(E196,$AE$11:$AK$14,4,0),0)</f>
        <v/>
      </c>
      <c r="AQ196" s="117">
        <f>(I196+(I196*J196)+(I196*K196))*AP196</f>
        <v/>
      </c>
      <c r="AR196" s="118">
        <f>AO196+AQ196</f>
        <v/>
      </c>
      <c r="AT196" s="39">
        <f>IFERROR((VLOOKUP(E196,$AE$11:$AJ$14,5,0)),0)</f>
        <v/>
      </c>
      <c r="AU196" s="39">
        <f>IFERROR((VLOOKUP(E196,$AE$11:$AJ$14,6,0)),0)</f>
        <v/>
      </c>
      <c r="AW196" s="119">
        <f>AR196*AT196</f>
        <v/>
      </c>
      <c r="AX196" s="119">
        <f>AR196*AU196</f>
        <v/>
      </c>
    </row>
    <row r="197">
      <c r="A197" s="32" t="n">
        <v>187</v>
      </c>
      <c r="B197" s="33" t="n"/>
      <c r="C197" s="33" t="n"/>
      <c r="D197" s="33" t="n"/>
      <c r="E197" s="33" t="inlineStr">
        <is>
          <t>-</t>
        </is>
      </c>
      <c r="F197" s="54">
        <f>IFERROR((VLOOKUP(E197,$AE$11:$AG$14,3,0)),"-")</f>
        <v/>
      </c>
      <c r="G197" s="33" t="n"/>
      <c r="H197" s="33" t="n"/>
      <c r="I197" s="46" t="n"/>
      <c r="J197" s="35" t="n"/>
      <c r="K197" s="35" t="n"/>
      <c r="L197" s="36">
        <f>IF($H$4="-",0,IF($H$4="VAREJO",AW197,IF($H$4="ATACADO",AX197,0)))</f>
        <v/>
      </c>
      <c r="M197" s="33" t="n"/>
      <c r="AN197" s="47" t="n">
        <v>187</v>
      </c>
      <c r="AO197" s="117">
        <f>I197+(I197*J197)+(I197*K197)</f>
        <v/>
      </c>
      <c r="AP197" s="43">
        <f>IFERROR(VLOOKUP(E197,$AE$11:$AK$14,4,0),0)</f>
        <v/>
      </c>
      <c r="AQ197" s="117">
        <f>(I197+(I197*J197)+(I197*K197))*AP197</f>
        <v/>
      </c>
      <c r="AR197" s="118">
        <f>AO197+AQ197</f>
        <v/>
      </c>
      <c r="AT197" s="39">
        <f>IFERROR((VLOOKUP(E197,$AE$11:$AJ$14,5,0)),0)</f>
        <v/>
      </c>
      <c r="AU197" s="39">
        <f>IFERROR((VLOOKUP(E197,$AE$11:$AJ$14,6,0)),0)</f>
        <v/>
      </c>
      <c r="AW197" s="119">
        <f>AR197*AT197</f>
        <v/>
      </c>
      <c r="AX197" s="119">
        <f>AR197*AU197</f>
        <v/>
      </c>
    </row>
    <row r="198">
      <c r="A198" s="32" t="n">
        <v>188</v>
      </c>
      <c r="B198" s="33" t="n"/>
      <c r="C198" s="33" t="n"/>
      <c r="D198" s="33" t="n"/>
      <c r="E198" s="33" t="inlineStr">
        <is>
          <t>-</t>
        </is>
      </c>
      <c r="F198" s="54">
        <f>IFERROR((VLOOKUP(E198,$AE$11:$AG$14,3,0)),"-")</f>
        <v/>
      </c>
      <c r="G198" s="33" t="n"/>
      <c r="H198" s="33" t="n"/>
      <c r="I198" s="46" t="n"/>
      <c r="J198" s="35" t="n"/>
      <c r="K198" s="35" t="n"/>
      <c r="L198" s="36">
        <f>IF($H$4="-",0,IF($H$4="VAREJO",AW198,IF($H$4="ATACADO",AX198,0)))</f>
        <v/>
      </c>
      <c r="M198" s="33" t="n"/>
      <c r="AN198" s="47" t="n">
        <v>188</v>
      </c>
      <c r="AO198" s="117">
        <f>I198+(I198*J198)+(I198*K198)</f>
        <v/>
      </c>
      <c r="AP198" s="43">
        <f>IFERROR(VLOOKUP(E198,$AE$11:$AK$14,4,0),0)</f>
        <v/>
      </c>
      <c r="AQ198" s="117">
        <f>(I198+(I198*J198)+(I198*K198))*AP198</f>
        <v/>
      </c>
      <c r="AR198" s="118">
        <f>AO198+AQ198</f>
        <v/>
      </c>
      <c r="AT198" s="39">
        <f>IFERROR((VLOOKUP(E198,$AE$11:$AJ$14,5,0)),0)</f>
        <v/>
      </c>
      <c r="AU198" s="39">
        <f>IFERROR((VLOOKUP(E198,$AE$11:$AJ$14,6,0)),0)</f>
        <v/>
      </c>
      <c r="AW198" s="119">
        <f>AR198*AT198</f>
        <v/>
      </c>
      <c r="AX198" s="119">
        <f>AR198*AU198</f>
        <v/>
      </c>
    </row>
    <row r="199">
      <c r="A199" s="32" t="n">
        <v>189</v>
      </c>
      <c r="B199" s="33" t="n"/>
      <c r="C199" s="33" t="n"/>
      <c r="D199" s="33" t="n"/>
      <c r="E199" s="33" t="inlineStr">
        <is>
          <t>-</t>
        </is>
      </c>
      <c r="F199" s="54">
        <f>IFERROR((VLOOKUP(E199,$AE$11:$AG$14,3,0)),"-")</f>
        <v/>
      </c>
      <c r="G199" s="33" t="n"/>
      <c r="H199" s="33" t="n"/>
      <c r="I199" s="46" t="n"/>
      <c r="J199" s="35" t="n"/>
      <c r="K199" s="35" t="n"/>
      <c r="L199" s="36">
        <f>IF($H$4="-",0,IF($H$4="VAREJO",AW199,IF($H$4="ATACADO",AX199,0)))</f>
        <v/>
      </c>
      <c r="M199" s="33" t="n"/>
      <c r="AN199" s="47" t="n">
        <v>189</v>
      </c>
      <c r="AO199" s="117">
        <f>I199+(I199*J199)+(I199*K199)</f>
        <v/>
      </c>
      <c r="AP199" s="43">
        <f>IFERROR(VLOOKUP(E199,$AE$11:$AK$14,4,0),0)</f>
        <v/>
      </c>
      <c r="AQ199" s="117">
        <f>(I199+(I199*J199)+(I199*K199))*AP199</f>
        <v/>
      </c>
      <c r="AR199" s="118">
        <f>AO199+AQ199</f>
        <v/>
      </c>
      <c r="AT199" s="39">
        <f>IFERROR((VLOOKUP(E199,$AE$11:$AJ$14,5,0)),0)</f>
        <v/>
      </c>
      <c r="AU199" s="39">
        <f>IFERROR((VLOOKUP(E199,$AE$11:$AJ$14,6,0)),0)</f>
        <v/>
      </c>
      <c r="AW199" s="119">
        <f>AR199*AT199</f>
        <v/>
      </c>
      <c r="AX199" s="119">
        <f>AR199*AU199</f>
        <v/>
      </c>
    </row>
    <row r="200">
      <c r="A200" s="32" t="n">
        <v>190</v>
      </c>
      <c r="B200" s="33" t="n"/>
      <c r="C200" s="33" t="n"/>
      <c r="D200" s="33" t="n"/>
      <c r="E200" s="33" t="inlineStr">
        <is>
          <t>-</t>
        </is>
      </c>
      <c r="F200" s="54">
        <f>IFERROR((VLOOKUP(E200,$AE$11:$AG$14,3,0)),"-")</f>
        <v/>
      </c>
      <c r="G200" s="33" t="n"/>
      <c r="H200" s="33" t="n"/>
      <c r="I200" s="46" t="n"/>
      <c r="J200" s="35" t="n"/>
      <c r="K200" s="35" t="n"/>
      <c r="L200" s="36">
        <f>IF($H$4="-",0,IF($H$4="VAREJO",AW200,IF($H$4="ATACADO",AX200,0)))</f>
        <v/>
      </c>
      <c r="M200" s="33" t="n"/>
      <c r="AN200" s="47" t="n">
        <v>190</v>
      </c>
      <c r="AO200" s="117">
        <f>I200+(I200*J200)+(I200*K200)</f>
        <v/>
      </c>
      <c r="AP200" s="43">
        <f>IFERROR(VLOOKUP(E200,$AE$11:$AK$14,4,0),0)</f>
        <v/>
      </c>
      <c r="AQ200" s="117">
        <f>(I200+(I200*J200)+(I200*K200))*AP200</f>
        <v/>
      </c>
      <c r="AR200" s="118">
        <f>AO200+AQ200</f>
        <v/>
      </c>
      <c r="AT200" s="39">
        <f>IFERROR((VLOOKUP(E200,$AE$11:$AJ$14,5,0)),0)</f>
        <v/>
      </c>
      <c r="AU200" s="39">
        <f>IFERROR((VLOOKUP(E200,$AE$11:$AJ$14,6,0)),0)</f>
        <v/>
      </c>
      <c r="AW200" s="119">
        <f>AR200*AT200</f>
        <v/>
      </c>
      <c r="AX200" s="119">
        <f>AR200*AU200</f>
        <v/>
      </c>
    </row>
    <row r="201">
      <c r="A201" s="32" t="n">
        <v>191</v>
      </c>
      <c r="B201" s="33" t="n"/>
      <c r="C201" s="33" t="n"/>
      <c r="D201" s="33" t="n"/>
      <c r="E201" s="33" t="inlineStr">
        <is>
          <t>-</t>
        </is>
      </c>
      <c r="F201" s="54">
        <f>IFERROR((VLOOKUP(E201,$AE$11:$AG$14,3,0)),"-")</f>
        <v/>
      </c>
      <c r="G201" s="33" t="n"/>
      <c r="H201" s="33" t="n"/>
      <c r="I201" s="46" t="n"/>
      <c r="J201" s="35" t="n"/>
      <c r="K201" s="35" t="n"/>
      <c r="L201" s="36">
        <f>IF($H$4="-",0,IF($H$4="VAREJO",AW201,IF($H$4="ATACADO",AX201,0)))</f>
        <v/>
      </c>
      <c r="M201" s="33" t="n"/>
      <c r="AN201" s="47" t="n">
        <v>191</v>
      </c>
      <c r="AO201" s="117">
        <f>I201+(I201*J201)+(I201*K201)</f>
        <v/>
      </c>
      <c r="AP201" s="43">
        <f>IFERROR(VLOOKUP(E201,$AE$11:$AK$14,4,0),0)</f>
        <v/>
      </c>
      <c r="AQ201" s="117">
        <f>(I201+(I201*J201)+(I201*K201))*AP201</f>
        <v/>
      </c>
      <c r="AR201" s="118">
        <f>AO201+AQ201</f>
        <v/>
      </c>
      <c r="AT201" s="39">
        <f>IFERROR((VLOOKUP(E201,$AE$11:$AJ$14,5,0)),0)</f>
        <v/>
      </c>
      <c r="AU201" s="39">
        <f>IFERROR((VLOOKUP(E201,$AE$11:$AJ$14,6,0)),0)</f>
        <v/>
      </c>
      <c r="AW201" s="119">
        <f>AR201*AT201</f>
        <v/>
      </c>
      <c r="AX201" s="119">
        <f>AR201*AU201</f>
        <v/>
      </c>
    </row>
    <row r="202">
      <c r="A202" s="32" t="n">
        <v>192</v>
      </c>
      <c r="B202" s="33" t="n"/>
      <c r="C202" s="33" t="n"/>
      <c r="D202" s="33" t="n"/>
      <c r="E202" s="33" t="inlineStr">
        <is>
          <t>-</t>
        </is>
      </c>
      <c r="F202" s="54">
        <f>IFERROR((VLOOKUP(E202,$AE$11:$AG$14,3,0)),"-")</f>
        <v/>
      </c>
      <c r="G202" s="33" t="n"/>
      <c r="H202" s="33" t="n"/>
      <c r="I202" s="46" t="n"/>
      <c r="J202" s="35" t="n"/>
      <c r="K202" s="35" t="n"/>
      <c r="L202" s="36">
        <f>IF($H$4="-",0,IF($H$4="VAREJO",AW202,IF($H$4="ATACADO",AX202,0)))</f>
        <v/>
      </c>
      <c r="M202" s="33" t="n"/>
      <c r="AN202" s="47" t="n">
        <v>192</v>
      </c>
      <c r="AO202" s="117">
        <f>I202+(I202*J202)+(I202*K202)</f>
        <v/>
      </c>
      <c r="AP202" s="43">
        <f>IFERROR(VLOOKUP(E202,$AE$11:$AK$14,4,0),0)</f>
        <v/>
      </c>
      <c r="AQ202" s="117">
        <f>(I202+(I202*J202)+(I202*K202))*AP202</f>
        <v/>
      </c>
      <c r="AR202" s="118">
        <f>AO202+AQ202</f>
        <v/>
      </c>
      <c r="AT202" s="39">
        <f>IFERROR((VLOOKUP(E202,$AE$11:$AJ$14,5,0)),0)</f>
        <v/>
      </c>
      <c r="AU202" s="39">
        <f>IFERROR((VLOOKUP(E202,$AE$11:$AJ$14,6,0)),0)</f>
        <v/>
      </c>
      <c r="AW202" s="119">
        <f>AR202*AT202</f>
        <v/>
      </c>
      <c r="AX202" s="119">
        <f>AR202*AU202</f>
        <v/>
      </c>
    </row>
    <row r="203">
      <c r="A203" s="32" t="n">
        <v>193</v>
      </c>
      <c r="B203" s="33" t="n"/>
      <c r="C203" s="33" t="n"/>
      <c r="D203" s="33" t="n"/>
      <c r="E203" s="33" t="inlineStr">
        <is>
          <t>-</t>
        </is>
      </c>
      <c r="F203" s="54">
        <f>IFERROR((VLOOKUP(E203,$AE$11:$AG$14,3,0)),"-")</f>
        <v/>
      </c>
      <c r="G203" s="33" t="n"/>
      <c r="H203" s="33" t="n"/>
      <c r="I203" s="46" t="n"/>
      <c r="J203" s="35" t="n"/>
      <c r="K203" s="35" t="n"/>
      <c r="L203" s="36">
        <f>IF($H$4="-",0,IF($H$4="VAREJO",AW203,IF($H$4="ATACADO",AX203,0)))</f>
        <v/>
      </c>
      <c r="M203" s="33" t="n"/>
      <c r="AN203" s="47" t="n">
        <v>193</v>
      </c>
      <c r="AO203" s="117">
        <f>I203+(I203*J203)+(I203*K203)</f>
        <v/>
      </c>
      <c r="AP203" s="43">
        <f>IFERROR(VLOOKUP(E203,$AE$11:$AK$14,4,0),0)</f>
        <v/>
      </c>
      <c r="AQ203" s="117">
        <f>(I203+(I203*J203)+(I203*K203))*AP203</f>
        <v/>
      </c>
      <c r="AR203" s="118">
        <f>AO203+AQ203</f>
        <v/>
      </c>
      <c r="AT203" s="39">
        <f>IFERROR((VLOOKUP(E203,$AE$11:$AJ$14,5,0)),0)</f>
        <v/>
      </c>
      <c r="AU203" s="39">
        <f>IFERROR((VLOOKUP(E203,$AE$11:$AJ$14,6,0)),0)</f>
        <v/>
      </c>
      <c r="AW203" s="119">
        <f>AR203*AT203</f>
        <v/>
      </c>
      <c r="AX203" s="119">
        <f>AR203*AU203</f>
        <v/>
      </c>
    </row>
    <row r="204">
      <c r="A204" s="32" t="n">
        <v>194</v>
      </c>
      <c r="B204" s="33" t="n"/>
      <c r="C204" s="33" t="n"/>
      <c r="D204" s="33" t="n"/>
      <c r="E204" s="33" t="inlineStr">
        <is>
          <t>-</t>
        </is>
      </c>
      <c r="F204" s="54">
        <f>IFERROR((VLOOKUP(E204,$AE$11:$AG$14,3,0)),"-")</f>
        <v/>
      </c>
      <c r="G204" s="33" t="n"/>
      <c r="H204" s="33" t="n"/>
      <c r="I204" s="46" t="n"/>
      <c r="J204" s="35" t="n"/>
      <c r="K204" s="35" t="n"/>
      <c r="L204" s="36">
        <f>IF($H$4="-",0,IF($H$4="VAREJO",AW204,IF($H$4="ATACADO",AX204,0)))</f>
        <v/>
      </c>
      <c r="M204" s="33" t="n"/>
      <c r="AN204" s="47" t="n">
        <v>194</v>
      </c>
      <c r="AO204" s="117">
        <f>I204+(I204*J204)+(I204*K204)</f>
        <v/>
      </c>
      <c r="AP204" s="43">
        <f>IFERROR(VLOOKUP(E204,$AE$11:$AK$14,4,0),0)</f>
        <v/>
      </c>
      <c r="AQ204" s="117">
        <f>(I204+(I204*J204)+(I204*K204))*AP204</f>
        <v/>
      </c>
      <c r="AR204" s="118">
        <f>AO204+AQ204</f>
        <v/>
      </c>
      <c r="AT204" s="39">
        <f>IFERROR((VLOOKUP(E204,$AE$11:$AJ$14,5,0)),0)</f>
        <v/>
      </c>
      <c r="AU204" s="39">
        <f>IFERROR((VLOOKUP(E204,$AE$11:$AJ$14,6,0)),0)</f>
        <v/>
      </c>
      <c r="AW204" s="119">
        <f>AR204*AT204</f>
        <v/>
      </c>
      <c r="AX204" s="119">
        <f>AR204*AU204</f>
        <v/>
      </c>
    </row>
    <row r="205">
      <c r="A205" s="32" t="n">
        <v>195</v>
      </c>
      <c r="B205" s="33" t="n"/>
      <c r="C205" s="33" t="n"/>
      <c r="D205" s="33" t="n"/>
      <c r="E205" s="33" t="inlineStr">
        <is>
          <t>-</t>
        </is>
      </c>
      <c r="F205" s="54">
        <f>IFERROR((VLOOKUP(E205,$AE$11:$AG$14,3,0)),"-")</f>
        <v/>
      </c>
      <c r="G205" s="33" t="n"/>
      <c r="H205" s="33" t="n"/>
      <c r="I205" s="46" t="n"/>
      <c r="J205" s="35" t="n"/>
      <c r="K205" s="35" t="n"/>
      <c r="L205" s="36">
        <f>IF($H$4="-",0,IF($H$4="VAREJO",AW205,IF($H$4="ATACADO",AX205,0)))</f>
        <v/>
      </c>
      <c r="M205" s="33" t="n"/>
      <c r="AN205" s="47" t="n">
        <v>195</v>
      </c>
      <c r="AO205" s="117">
        <f>I205+(I205*J205)+(I205*K205)</f>
        <v/>
      </c>
      <c r="AP205" s="43">
        <f>IFERROR(VLOOKUP(E205,$AE$11:$AK$14,4,0),0)</f>
        <v/>
      </c>
      <c r="AQ205" s="117">
        <f>(I205+(I205*J205)+(I205*K205))*AP205</f>
        <v/>
      </c>
      <c r="AR205" s="118">
        <f>AO205+AQ205</f>
        <v/>
      </c>
      <c r="AT205" s="39">
        <f>IFERROR((VLOOKUP(E205,$AE$11:$AJ$14,5,0)),0)</f>
        <v/>
      </c>
      <c r="AU205" s="39">
        <f>IFERROR((VLOOKUP(E205,$AE$11:$AJ$14,6,0)),0)</f>
        <v/>
      </c>
      <c r="AW205" s="119">
        <f>AR205*AT205</f>
        <v/>
      </c>
      <c r="AX205" s="119">
        <f>AR205*AU205</f>
        <v/>
      </c>
    </row>
    <row r="206">
      <c r="A206" s="32" t="n">
        <v>196</v>
      </c>
      <c r="B206" s="33" t="n"/>
      <c r="C206" s="33" t="n"/>
      <c r="D206" s="33" t="n"/>
      <c r="E206" s="33" t="inlineStr">
        <is>
          <t>-</t>
        </is>
      </c>
      <c r="F206" s="54">
        <f>IFERROR((VLOOKUP(E206,$AE$11:$AG$14,3,0)),"-")</f>
        <v/>
      </c>
      <c r="G206" s="33" t="n"/>
      <c r="H206" s="33" t="n"/>
      <c r="I206" s="46" t="n"/>
      <c r="J206" s="35" t="n"/>
      <c r="K206" s="35" t="n"/>
      <c r="L206" s="36">
        <f>IF($H$4="-",0,IF($H$4="VAREJO",AW206,IF($H$4="ATACADO",AX206,0)))</f>
        <v/>
      </c>
      <c r="M206" s="33" t="n"/>
      <c r="AN206" s="47" t="n">
        <v>196</v>
      </c>
      <c r="AO206" s="117">
        <f>I206+(I206*J206)+(I206*K206)</f>
        <v/>
      </c>
      <c r="AP206" s="43">
        <f>IFERROR(VLOOKUP(E206,$AE$11:$AK$14,4,0),0)</f>
        <v/>
      </c>
      <c r="AQ206" s="117">
        <f>(I206+(I206*J206)+(I206*K206))*AP206</f>
        <v/>
      </c>
      <c r="AR206" s="118">
        <f>AO206+AQ206</f>
        <v/>
      </c>
      <c r="AT206" s="39">
        <f>IFERROR((VLOOKUP(E206,$AE$11:$AJ$14,5,0)),0)</f>
        <v/>
      </c>
      <c r="AU206" s="39">
        <f>IFERROR((VLOOKUP(E206,$AE$11:$AJ$14,6,0)),0)</f>
        <v/>
      </c>
      <c r="AW206" s="119">
        <f>AR206*AT206</f>
        <v/>
      </c>
      <c r="AX206" s="119">
        <f>AR206*AU206</f>
        <v/>
      </c>
    </row>
    <row r="207">
      <c r="A207" s="32" t="n">
        <v>197</v>
      </c>
      <c r="B207" s="33" t="n"/>
      <c r="C207" s="33" t="n"/>
      <c r="D207" s="33" t="n"/>
      <c r="E207" s="33" t="inlineStr">
        <is>
          <t>-</t>
        </is>
      </c>
      <c r="F207" s="54">
        <f>IFERROR((VLOOKUP(E207,$AE$11:$AG$14,3,0)),"-")</f>
        <v/>
      </c>
      <c r="G207" s="33" t="n"/>
      <c r="H207" s="33" t="n"/>
      <c r="I207" s="46" t="n"/>
      <c r="J207" s="35" t="n"/>
      <c r="K207" s="35" t="n"/>
      <c r="L207" s="36">
        <f>IF($H$4="-",0,IF($H$4="VAREJO",AW207,IF($H$4="ATACADO",AX207,0)))</f>
        <v/>
      </c>
      <c r="M207" s="33" t="n"/>
      <c r="AN207" s="47" t="n">
        <v>197</v>
      </c>
      <c r="AO207" s="117">
        <f>I207+(I207*J207)+(I207*K207)</f>
        <v/>
      </c>
      <c r="AP207" s="43">
        <f>IFERROR(VLOOKUP(E207,$AE$11:$AK$14,4,0),0)</f>
        <v/>
      </c>
      <c r="AQ207" s="117">
        <f>(I207+(I207*J207)+(I207*K207))*AP207</f>
        <v/>
      </c>
      <c r="AR207" s="118">
        <f>AO207+AQ207</f>
        <v/>
      </c>
      <c r="AT207" s="39">
        <f>IFERROR((VLOOKUP(E207,$AE$11:$AJ$14,5,0)),0)</f>
        <v/>
      </c>
      <c r="AU207" s="39">
        <f>IFERROR((VLOOKUP(E207,$AE$11:$AJ$14,6,0)),0)</f>
        <v/>
      </c>
      <c r="AW207" s="119">
        <f>AR207*AT207</f>
        <v/>
      </c>
      <c r="AX207" s="119">
        <f>AR207*AU207</f>
        <v/>
      </c>
    </row>
    <row r="208">
      <c r="A208" s="32" t="n">
        <v>198</v>
      </c>
      <c r="B208" s="33" t="n"/>
      <c r="C208" s="33" t="n"/>
      <c r="D208" s="33" t="n"/>
      <c r="E208" s="33" t="inlineStr">
        <is>
          <t>-</t>
        </is>
      </c>
      <c r="F208" s="54">
        <f>IFERROR((VLOOKUP(E208,$AE$11:$AG$14,3,0)),"-")</f>
        <v/>
      </c>
      <c r="G208" s="33" t="n"/>
      <c r="H208" s="33" t="n"/>
      <c r="I208" s="46" t="n"/>
      <c r="J208" s="35" t="n"/>
      <c r="K208" s="35" t="n"/>
      <c r="L208" s="36">
        <f>IF($H$4="-",0,IF($H$4="VAREJO",AW208,IF($H$4="ATACADO",AX208,0)))</f>
        <v/>
      </c>
      <c r="M208" s="33" t="n"/>
      <c r="AN208" s="47" t="n">
        <v>198</v>
      </c>
      <c r="AO208" s="117">
        <f>I208+(I208*J208)+(I208*K208)</f>
        <v/>
      </c>
      <c r="AP208" s="43">
        <f>IFERROR(VLOOKUP(E208,$AE$11:$AK$14,4,0),0)</f>
        <v/>
      </c>
      <c r="AQ208" s="117">
        <f>(I208+(I208*J208)+(I208*K208))*AP208</f>
        <v/>
      </c>
      <c r="AR208" s="118">
        <f>AO208+AQ208</f>
        <v/>
      </c>
      <c r="AT208" s="39">
        <f>IFERROR((VLOOKUP(E208,$AE$11:$AJ$14,5,0)),0)</f>
        <v/>
      </c>
      <c r="AU208" s="39">
        <f>IFERROR((VLOOKUP(E208,$AE$11:$AJ$14,6,0)),0)</f>
        <v/>
      </c>
      <c r="AW208" s="119">
        <f>AR208*AT208</f>
        <v/>
      </c>
      <c r="AX208" s="119">
        <f>AR208*AU208</f>
        <v/>
      </c>
    </row>
    <row r="209">
      <c r="A209" s="32" t="n">
        <v>199</v>
      </c>
      <c r="B209" s="33" t="n"/>
      <c r="C209" s="33" t="n"/>
      <c r="D209" s="33" t="n"/>
      <c r="E209" s="33" t="inlineStr">
        <is>
          <t>-</t>
        </is>
      </c>
      <c r="F209" s="54">
        <f>IFERROR((VLOOKUP(E209,$AE$11:$AG$14,3,0)),"-")</f>
        <v/>
      </c>
      <c r="G209" s="33" t="n"/>
      <c r="H209" s="33" t="n"/>
      <c r="I209" s="46" t="n"/>
      <c r="J209" s="35" t="n"/>
      <c r="K209" s="35" t="n"/>
      <c r="L209" s="36">
        <f>IF($H$4="-",0,IF($H$4="VAREJO",AW209,IF($H$4="ATACADO",AX209,0)))</f>
        <v/>
      </c>
      <c r="M209" s="33" t="n"/>
      <c r="AN209" s="47" t="n">
        <v>199</v>
      </c>
      <c r="AO209" s="117">
        <f>I209+(I209*J209)+(I209*K209)</f>
        <v/>
      </c>
      <c r="AP209" s="43">
        <f>IFERROR(VLOOKUP(E209,$AE$11:$AK$14,4,0),0)</f>
        <v/>
      </c>
      <c r="AQ209" s="117">
        <f>(I209+(I209*J209)+(I209*K209))*AP209</f>
        <v/>
      </c>
      <c r="AR209" s="118">
        <f>AO209+AQ209</f>
        <v/>
      </c>
      <c r="AT209" s="39">
        <f>IFERROR((VLOOKUP(E209,$AE$11:$AJ$14,5,0)),0)</f>
        <v/>
      </c>
      <c r="AU209" s="39">
        <f>IFERROR((VLOOKUP(E209,$AE$11:$AJ$14,6,0)),0)</f>
        <v/>
      </c>
      <c r="AW209" s="119">
        <f>AR209*AT209</f>
        <v/>
      </c>
      <c r="AX209" s="119">
        <f>AR209*AU209</f>
        <v/>
      </c>
    </row>
    <row r="210">
      <c r="A210" s="32" t="n">
        <v>200</v>
      </c>
      <c r="B210" s="33" t="n"/>
      <c r="C210" s="33" t="n"/>
      <c r="D210" s="33" t="n"/>
      <c r="E210" s="33" t="inlineStr">
        <is>
          <t>-</t>
        </is>
      </c>
      <c r="F210" s="54">
        <f>IFERROR((VLOOKUP(E210,$AE$11:$AG$14,3,0)),"-")</f>
        <v/>
      </c>
      <c r="G210" s="33" t="n"/>
      <c r="H210" s="33" t="n"/>
      <c r="I210" s="46" t="n"/>
      <c r="J210" s="35" t="n"/>
      <c r="K210" s="35" t="n"/>
      <c r="L210" s="36">
        <f>IF($H$4="-",0,IF($H$4="VAREJO",AW210,IF($H$4="ATACADO",AX210,0)))</f>
        <v/>
      </c>
      <c r="M210" s="33" t="n"/>
      <c r="AN210" s="47" t="n">
        <v>200</v>
      </c>
      <c r="AO210" s="117">
        <f>I210+(I210*J210)+(I210*K210)</f>
        <v/>
      </c>
      <c r="AP210" s="43">
        <f>IFERROR(VLOOKUP(E210,$AE$11:$AK$14,4,0),0)</f>
        <v/>
      </c>
      <c r="AQ210" s="117">
        <f>(I210+(I210*J210)+(I210*K210))*AP210</f>
        <v/>
      </c>
      <c r="AR210" s="118">
        <f>AO210+AQ210</f>
        <v/>
      </c>
      <c r="AT210" s="39">
        <f>IFERROR((VLOOKUP(E210,$AE$11:$AJ$14,5,0)),0)</f>
        <v/>
      </c>
      <c r="AU210" s="39">
        <f>IFERROR((VLOOKUP(E210,$AE$11:$AJ$14,6,0)),0)</f>
        <v/>
      </c>
      <c r="AW210" s="119">
        <f>AR210*AT210</f>
        <v/>
      </c>
      <c r="AX210" s="119">
        <f>AR210*AU210</f>
        <v/>
      </c>
    </row>
    <row r="211">
      <c r="A211" s="32" t="n">
        <v>201</v>
      </c>
      <c r="B211" s="33" t="n"/>
      <c r="C211" s="33" t="n"/>
      <c r="D211" s="33" t="n"/>
      <c r="E211" s="33" t="inlineStr">
        <is>
          <t>-</t>
        </is>
      </c>
      <c r="F211" s="54">
        <f>IFERROR((VLOOKUP(E211,$AE$11:$AG$14,3,0)),"-")</f>
        <v/>
      </c>
      <c r="G211" s="33" t="n"/>
      <c r="H211" s="33" t="n"/>
      <c r="I211" s="46" t="n"/>
      <c r="J211" s="35" t="n"/>
      <c r="K211" s="35" t="n"/>
      <c r="L211" s="36">
        <f>IF($H$4="-",0,IF($H$4="VAREJO",AW211,IF($H$4="ATACADO",AX211,0)))</f>
        <v/>
      </c>
      <c r="M211" s="33" t="n"/>
      <c r="AN211" s="47" t="n">
        <v>201</v>
      </c>
      <c r="AO211" s="117">
        <f>I211+(I211*J211)+(I211*K211)</f>
        <v/>
      </c>
      <c r="AP211" s="43">
        <f>IFERROR(VLOOKUP(E211,$AE$11:$AK$14,4,0),0)</f>
        <v/>
      </c>
      <c r="AQ211" s="117">
        <f>(I211+(I211*J211)+(I211*K211))*AP211</f>
        <v/>
      </c>
      <c r="AR211" s="118">
        <f>AO211+AQ211</f>
        <v/>
      </c>
      <c r="AT211" s="39">
        <f>IFERROR((VLOOKUP(E211,$AE$11:$AJ$14,5,0)),0)</f>
        <v/>
      </c>
      <c r="AU211" s="39">
        <f>IFERROR((VLOOKUP(E211,$AE$11:$AJ$14,6,0)),0)</f>
        <v/>
      </c>
      <c r="AW211" s="119">
        <f>AR211*AT211</f>
        <v/>
      </c>
      <c r="AX211" s="119">
        <f>AR211*AU211</f>
        <v/>
      </c>
    </row>
    <row r="212">
      <c r="A212" s="32" t="n">
        <v>202</v>
      </c>
      <c r="B212" s="33" t="n"/>
      <c r="C212" s="33" t="n"/>
      <c r="D212" s="33" t="n"/>
      <c r="E212" s="33" t="inlineStr">
        <is>
          <t>-</t>
        </is>
      </c>
      <c r="F212" s="54">
        <f>IFERROR((VLOOKUP(E212,$AE$11:$AG$14,3,0)),"-")</f>
        <v/>
      </c>
      <c r="G212" s="33" t="n"/>
      <c r="H212" s="33" t="n"/>
      <c r="I212" s="46" t="n"/>
      <c r="J212" s="35" t="n"/>
      <c r="K212" s="35" t="n"/>
      <c r="L212" s="36">
        <f>IF($H$4="-",0,IF($H$4="VAREJO",AW212,IF($H$4="ATACADO",AX212,0)))</f>
        <v/>
      </c>
      <c r="M212" s="33" t="n"/>
      <c r="AN212" s="47" t="n">
        <v>202</v>
      </c>
      <c r="AO212" s="117">
        <f>I212+(I212*J212)+(I212*K212)</f>
        <v/>
      </c>
      <c r="AP212" s="43">
        <f>IFERROR(VLOOKUP(E212,$AE$11:$AK$14,4,0),0)</f>
        <v/>
      </c>
      <c r="AQ212" s="117">
        <f>(I212+(I212*J212)+(I212*K212))*AP212</f>
        <v/>
      </c>
      <c r="AR212" s="118">
        <f>AO212+AQ212</f>
        <v/>
      </c>
      <c r="AT212" s="39">
        <f>IFERROR((VLOOKUP(E212,$AE$11:$AJ$14,5,0)),0)</f>
        <v/>
      </c>
      <c r="AU212" s="39">
        <f>IFERROR((VLOOKUP(E212,$AE$11:$AJ$14,6,0)),0)</f>
        <v/>
      </c>
      <c r="AW212" s="119">
        <f>AR212*AT212</f>
        <v/>
      </c>
      <c r="AX212" s="119">
        <f>AR212*AU212</f>
        <v/>
      </c>
    </row>
    <row r="213">
      <c r="A213" s="32" t="n">
        <v>203</v>
      </c>
      <c r="B213" s="33" t="n"/>
      <c r="C213" s="33" t="n"/>
      <c r="D213" s="33" t="n"/>
      <c r="E213" s="33" t="inlineStr">
        <is>
          <t>-</t>
        </is>
      </c>
      <c r="F213" s="54">
        <f>IFERROR((VLOOKUP(E213,$AE$11:$AG$14,3,0)),"-")</f>
        <v/>
      </c>
      <c r="G213" s="33" t="n"/>
      <c r="H213" s="33" t="n"/>
      <c r="I213" s="46" t="n"/>
      <c r="J213" s="35" t="n"/>
      <c r="K213" s="35" t="n"/>
      <c r="L213" s="36">
        <f>IF($H$4="-",0,IF($H$4="VAREJO",AW213,IF($H$4="ATACADO",AX213,0)))</f>
        <v/>
      </c>
      <c r="M213" s="33" t="n"/>
      <c r="AN213" s="47" t="n">
        <v>203</v>
      </c>
      <c r="AO213" s="117">
        <f>I213+(I213*J213)+(I213*K213)</f>
        <v/>
      </c>
      <c r="AP213" s="43">
        <f>IFERROR(VLOOKUP(E213,$AE$11:$AK$14,4,0),0)</f>
        <v/>
      </c>
      <c r="AQ213" s="117">
        <f>(I213+(I213*J213)+(I213*K213))*AP213</f>
        <v/>
      </c>
      <c r="AR213" s="118">
        <f>AO213+AQ213</f>
        <v/>
      </c>
      <c r="AT213" s="39">
        <f>IFERROR((VLOOKUP(E213,$AE$11:$AJ$14,5,0)),0)</f>
        <v/>
      </c>
      <c r="AU213" s="39">
        <f>IFERROR((VLOOKUP(E213,$AE$11:$AJ$14,6,0)),0)</f>
        <v/>
      </c>
      <c r="AW213" s="119">
        <f>AR213*AT213</f>
        <v/>
      </c>
      <c r="AX213" s="119">
        <f>AR213*AU213</f>
        <v/>
      </c>
    </row>
    <row r="214">
      <c r="A214" s="32" t="n">
        <v>204</v>
      </c>
      <c r="B214" s="33" t="n"/>
      <c r="C214" s="33" t="n"/>
      <c r="D214" s="33" t="n"/>
      <c r="E214" s="33" t="inlineStr">
        <is>
          <t>-</t>
        </is>
      </c>
      <c r="F214" s="54">
        <f>IFERROR((VLOOKUP(E214,$AE$11:$AG$14,3,0)),"-")</f>
        <v/>
      </c>
      <c r="G214" s="33" t="n"/>
      <c r="H214" s="33" t="n"/>
      <c r="I214" s="46" t="n"/>
      <c r="J214" s="35" t="n"/>
      <c r="K214" s="35" t="n"/>
      <c r="L214" s="36">
        <f>IF($H$4="-",0,IF($H$4="VAREJO",AW214,IF($H$4="ATACADO",AX214,0)))</f>
        <v/>
      </c>
      <c r="M214" s="33" t="n"/>
      <c r="AN214" s="47" t="n">
        <v>204</v>
      </c>
      <c r="AO214" s="117">
        <f>I214+(I214*J214)+(I214*K214)</f>
        <v/>
      </c>
      <c r="AP214" s="43">
        <f>IFERROR(VLOOKUP(E214,$AE$11:$AK$14,4,0),0)</f>
        <v/>
      </c>
      <c r="AQ214" s="117">
        <f>(I214+(I214*J214)+(I214*K214))*AP214</f>
        <v/>
      </c>
      <c r="AR214" s="118">
        <f>AO214+AQ214</f>
        <v/>
      </c>
      <c r="AT214" s="39">
        <f>IFERROR((VLOOKUP(E214,$AE$11:$AJ$14,5,0)),0)</f>
        <v/>
      </c>
      <c r="AU214" s="39">
        <f>IFERROR((VLOOKUP(E214,$AE$11:$AJ$14,6,0)),0)</f>
        <v/>
      </c>
      <c r="AW214" s="119">
        <f>AR214*AT214</f>
        <v/>
      </c>
      <c r="AX214" s="119">
        <f>AR214*AU214</f>
        <v/>
      </c>
    </row>
    <row r="215">
      <c r="A215" s="32" t="n">
        <v>205</v>
      </c>
      <c r="B215" s="33" t="n"/>
      <c r="C215" s="33" t="n"/>
      <c r="D215" s="33" t="n"/>
      <c r="E215" s="33" t="inlineStr">
        <is>
          <t>-</t>
        </is>
      </c>
      <c r="F215" s="54">
        <f>IFERROR((VLOOKUP(E215,$AE$11:$AG$14,3,0)),"-")</f>
        <v/>
      </c>
      <c r="G215" s="33" t="n"/>
      <c r="H215" s="33" t="n"/>
      <c r="I215" s="46" t="n"/>
      <c r="J215" s="35" t="n"/>
      <c r="K215" s="35" t="n"/>
      <c r="L215" s="36">
        <f>IF($H$4="-",0,IF($H$4="VAREJO",AW215,IF($H$4="ATACADO",AX215,0)))</f>
        <v/>
      </c>
      <c r="M215" s="33" t="n"/>
      <c r="AN215" s="47" t="n">
        <v>205</v>
      </c>
      <c r="AO215" s="117">
        <f>I215+(I215*J215)+(I215*K215)</f>
        <v/>
      </c>
      <c r="AP215" s="43">
        <f>IFERROR(VLOOKUP(E215,$AE$11:$AK$14,4,0),0)</f>
        <v/>
      </c>
      <c r="AQ215" s="117">
        <f>(I215+(I215*J215)+(I215*K215))*AP215</f>
        <v/>
      </c>
      <c r="AR215" s="118">
        <f>AO215+AQ215</f>
        <v/>
      </c>
      <c r="AT215" s="39">
        <f>IFERROR((VLOOKUP(E215,$AE$11:$AJ$14,5,0)),0)</f>
        <v/>
      </c>
      <c r="AU215" s="39">
        <f>IFERROR((VLOOKUP(E215,$AE$11:$AJ$14,6,0)),0)</f>
        <v/>
      </c>
      <c r="AW215" s="119">
        <f>AR215*AT215</f>
        <v/>
      </c>
      <c r="AX215" s="119">
        <f>AR215*AU215</f>
        <v/>
      </c>
    </row>
    <row r="216">
      <c r="A216" s="32" t="n">
        <v>206</v>
      </c>
      <c r="B216" s="33" t="n"/>
      <c r="C216" s="33" t="n"/>
      <c r="D216" s="33" t="n"/>
      <c r="E216" s="33" t="inlineStr">
        <is>
          <t>-</t>
        </is>
      </c>
      <c r="F216" s="54">
        <f>IFERROR((VLOOKUP(E216,$AE$11:$AG$14,3,0)),"-")</f>
        <v/>
      </c>
      <c r="G216" s="33" t="n"/>
      <c r="H216" s="33" t="n"/>
      <c r="I216" s="46" t="n"/>
      <c r="J216" s="35" t="n"/>
      <c r="K216" s="35" t="n"/>
      <c r="L216" s="36">
        <f>IF($H$4="-",0,IF($H$4="VAREJO",AW216,IF($H$4="ATACADO",AX216,0)))</f>
        <v/>
      </c>
      <c r="M216" s="33" t="n"/>
      <c r="AN216" s="47" t="n">
        <v>206</v>
      </c>
      <c r="AO216" s="117">
        <f>I216+(I216*J216)+(I216*K216)</f>
        <v/>
      </c>
      <c r="AP216" s="43">
        <f>IFERROR(VLOOKUP(E216,$AE$11:$AK$14,4,0),0)</f>
        <v/>
      </c>
      <c r="AQ216" s="117">
        <f>(I216+(I216*J216)+(I216*K216))*AP216</f>
        <v/>
      </c>
      <c r="AR216" s="118">
        <f>AO216+AQ216</f>
        <v/>
      </c>
      <c r="AT216" s="39">
        <f>IFERROR((VLOOKUP(E216,$AE$11:$AJ$14,5,0)),0)</f>
        <v/>
      </c>
      <c r="AU216" s="39">
        <f>IFERROR((VLOOKUP(E216,$AE$11:$AJ$14,6,0)),0)</f>
        <v/>
      </c>
      <c r="AW216" s="119">
        <f>AR216*AT216</f>
        <v/>
      </c>
      <c r="AX216" s="119">
        <f>AR216*AU216</f>
        <v/>
      </c>
    </row>
    <row r="217">
      <c r="A217" s="32" t="n">
        <v>207</v>
      </c>
      <c r="B217" s="33" t="n"/>
      <c r="C217" s="33" t="n"/>
      <c r="D217" s="33" t="n"/>
      <c r="E217" s="33" t="inlineStr">
        <is>
          <t>-</t>
        </is>
      </c>
      <c r="F217" s="54">
        <f>IFERROR((VLOOKUP(E217,$AE$11:$AG$14,3,0)),"-")</f>
        <v/>
      </c>
      <c r="G217" s="33" t="n"/>
      <c r="H217" s="33" t="n"/>
      <c r="I217" s="46" t="n"/>
      <c r="J217" s="35" t="n"/>
      <c r="K217" s="35" t="n"/>
      <c r="L217" s="36">
        <f>IF($H$4="-",0,IF($H$4="VAREJO",AW217,IF($H$4="ATACADO",AX217,0)))</f>
        <v/>
      </c>
      <c r="M217" s="33" t="n"/>
      <c r="AN217" s="47" t="n">
        <v>207</v>
      </c>
      <c r="AO217" s="117">
        <f>I217+(I217*J217)+(I217*K217)</f>
        <v/>
      </c>
      <c r="AP217" s="43">
        <f>IFERROR(VLOOKUP(E217,$AE$11:$AK$14,4,0),0)</f>
        <v/>
      </c>
      <c r="AQ217" s="117">
        <f>(I217+(I217*J217)+(I217*K217))*AP217</f>
        <v/>
      </c>
      <c r="AR217" s="118">
        <f>AO217+AQ217</f>
        <v/>
      </c>
      <c r="AT217" s="39">
        <f>IFERROR((VLOOKUP(E217,$AE$11:$AJ$14,5,0)),0)</f>
        <v/>
      </c>
      <c r="AU217" s="39">
        <f>IFERROR((VLOOKUP(E217,$AE$11:$AJ$14,6,0)),0)</f>
        <v/>
      </c>
      <c r="AW217" s="119">
        <f>AR217*AT217</f>
        <v/>
      </c>
      <c r="AX217" s="119">
        <f>AR217*AU217</f>
        <v/>
      </c>
    </row>
    <row r="218">
      <c r="A218" s="32" t="n">
        <v>208</v>
      </c>
      <c r="B218" s="33" t="n"/>
      <c r="C218" s="33" t="n"/>
      <c r="D218" s="33" t="n"/>
      <c r="E218" s="33" t="inlineStr">
        <is>
          <t>-</t>
        </is>
      </c>
      <c r="F218" s="54">
        <f>IFERROR((VLOOKUP(E218,$AE$11:$AG$14,3,0)),"-")</f>
        <v/>
      </c>
      <c r="G218" s="33" t="n"/>
      <c r="H218" s="33" t="n"/>
      <c r="I218" s="46" t="n"/>
      <c r="J218" s="35" t="n"/>
      <c r="K218" s="35" t="n"/>
      <c r="L218" s="36">
        <f>IF($H$4="-",0,IF($H$4="VAREJO",AW218,IF($H$4="ATACADO",AX218,0)))</f>
        <v/>
      </c>
      <c r="M218" s="33" t="n"/>
      <c r="AN218" s="47" t="n">
        <v>208</v>
      </c>
      <c r="AO218" s="117">
        <f>I218+(I218*J218)+(I218*K218)</f>
        <v/>
      </c>
      <c r="AP218" s="43">
        <f>IFERROR(VLOOKUP(E218,$AE$11:$AK$14,4,0),0)</f>
        <v/>
      </c>
      <c r="AQ218" s="117">
        <f>(I218+(I218*J218)+(I218*K218))*AP218</f>
        <v/>
      </c>
      <c r="AR218" s="118">
        <f>AO218+AQ218</f>
        <v/>
      </c>
      <c r="AT218" s="39">
        <f>IFERROR((VLOOKUP(E218,$AE$11:$AJ$14,5,0)),0)</f>
        <v/>
      </c>
      <c r="AU218" s="39">
        <f>IFERROR((VLOOKUP(E218,$AE$11:$AJ$14,6,0)),0)</f>
        <v/>
      </c>
      <c r="AW218" s="119">
        <f>AR218*AT218</f>
        <v/>
      </c>
      <c r="AX218" s="119">
        <f>AR218*AU218</f>
        <v/>
      </c>
    </row>
    <row r="219">
      <c r="A219" s="32" t="n">
        <v>209</v>
      </c>
      <c r="B219" s="33" t="n"/>
      <c r="C219" s="33" t="n"/>
      <c r="D219" s="33" t="n"/>
      <c r="E219" s="33" t="inlineStr">
        <is>
          <t>-</t>
        </is>
      </c>
      <c r="F219" s="54">
        <f>IFERROR((VLOOKUP(E219,$AE$11:$AG$14,3,0)),"-")</f>
        <v/>
      </c>
      <c r="G219" s="33" t="n"/>
      <c r="H219" s="33" t="n"/>
      <c r="I219" s="46" t="n"/>
      <c r="J219" s="35" t="n"/>
      <c r="K219" s="35" t="n"/>
      <c r="L219" s="36">
        <f>IF($H$4="-",0,IF($H$4="VAREJO",AW219,IF($H$4="ATACADO",AX219,0)))</f>
        <v/>
      </c>
      <c r="M219" s="33" t="n"/>
      <c r="AN219" s="47" t="n">
        <v>209</v>
      </c>
      <c r="AO219" s="117">
        <f>I219+(I219*J219)+(I219*K219)</f>
        <v/>
      </c>
      <c r="AP219" s="43">
        <f>IFERROR(VLOOKUP(E219,$AE$11:$AK$14,4,0),0)</f>
        <v/>
      </c>
      <c r="AQ219" s="117">
        <f>(I219+(I219*J219)+(I219*K219))*AP219</f>
        <v/>
      </c>
      <c r="AR219" s="118">
        <f>AO219+AQ219</f>
        <v/>
      </c>
      <c r="AT219" s="39">
        <f>IFERROR((VLOOKUP(E219,$AE$11:$AJ$14,5,0)),0)</f>
        <v/>
      </c>
      <c r="AU219" s="39">
        <f>IFERROR((VLOOKUP(E219,$AE$11:$AJ$14,6,0)),0)</f>
        <v/>
      </c>
      <c r="AW219" s="119">
        <f>AR219*AT219</f>
        <v/>
      </c>
      <c r="AX219" s="119">
        <f>AR219*AU219</f>
        <v/>
      </c>
    </row>
    <row r="220">
      <c r="A220" s="32" t="n">
        <v>210</v>
      </c>
      <c r="B220" s="33" t="n"/>
      <c r="C220" s="33" t="n"/>
      <c r="D220" s="33" t="n"/>
      <c r="E220" s="33" t="inlineStr">
        <is>
          <t>-</t>
        </is>
      </c>
      <c r="F220" s="54">
        <f>IFERROR((VLOOKUP(E220,$AE$11:$AG$14,3,0)),"-")</f>
        <v/>
      </c>
      <c r="G220" s="33" t="n"/>
      <c r="H220" s="33" t="n"/>
      <c r="I220" s="46" t="n"/>
      <c r="J220" s="35" t="n"/>
      <c r="K220" s="35" t="n"/>
      <c r="L220" s="36">
        <f>IF($H$4="-",0,IF($H$4="VAREJO",AW220,IF($H$4="ATACADO",AX220,0)))</f>
        <v/>
      </c>
      <c r="M220" s="33" t="n"/>
      <c r="AN220" s="47" t="n">
        <v>210</v>
      </c>
      <c r="AO220" s="117">
        <f>I220+(I220*J220)+(I220*K220)</f>
        <v/>
      </c>
      <c r="AP220" s="43">
        <f>IFERROR(VLOOKUP(E220,$AE$11:$AK$14,4,0),0)</f>
        <v/>
      </c>
      <c r="AQ220" s="117">
        <f>(I220+(I220*J220)+(I220*K220))*AP220</f>
        <v/>
      </c>
      <c r="AR220" s="118">
        <f>AO220+AQ220</f>
        <v/>
      </c>
      <c r="AT220" s="39">
        <f>IFERROR((VLOOKUP(E220,$AE$11:$AJ$14,5,0)),0)</f>
        <v/>
      </c>
      <c r="AU220" s="39">
        <f>IFERROR((VLOOKUP(E220,$AE$11:$AJ$14,6,0)),0)</f>
        <v/>
      </c>
      <c r="AW220" s="119">
        <f>AR220*AT220</f>
        <v/>
      </c>
      <c r="AX220" s="119">
        <f>AR220*AU220</f>
        <v/>
      </c>
    </row>
    <row r="221">
      <c r="A221" s="32" t="n">
        <v>211</v>
      </c>
      <c r="B221" s="33" t="n"/>
      <c r="C221" s="33" t="n"/>
      <c r="D221" s="33" t="n"/>
      <c r="E221" s="33" t="inlineStr">
        <is>
          <t>-</t>
        </is>
      </c>
      <c r="F221" s="54">
        <f>IFERROR((VLOOKUP(E221,$AE$11:$AG$14,3,0)),"-")</f>
        <v/>
      </c>
      <c r="G221" s="33" t="n"/>
      <c r="H221" s="33" t="n"/>
      <c r="I221" s="46" t="n"/>
      <c r="J221" s="35" t="n"/>
      <c r="K221" s="35" t="n"/>
      <c r="L221" s="36">
        <f>IF($H$4="-",0,IF($H$4="VAREJO",AW221,IF($H$4="ATACADO",AX221,0)))</f>
        <v/>
      </c>
      <c r="M221" s="33" t="n"/>
      <c r="AN221" s="47" t="n">
        <v>211</v>
      </c>
      <c r="AO221" s="117">
        <f>I221+(I221*J221)+(I221*K221)</f>
        <v/>
      </c>
      <c r="AP221" s="43">
        <f>IFERROR(VLOOKUP(E221,$AE$11:$AK$14,4,0),0)</f>
        <v/>
      </c>
      <c r="AQ221" s="117">
        <f>(I221+(I221*J221)+(I221*K221))*AP221</f>
        <v/>
      </c>
      <c r="AR221" s="118">
        <f>AO221+AQ221</f>
        <v/>
      </c>
      <c r="AT221" s="39">
        <f>IFERROR((VLOOKUP(E221,$AE$11:$AJ$14,5,0)),0)</f>
        <v/>
      </c>
      <c r="AU221" s="39">
        <f>IFERROR((VLOOKUP(E221,$AE$11:$AJ$14,6,0)),0)</f>
        <v/>
      </c>
      <c r="AW221" s="119">
        <f>AR221*AT221</f>
        <v/>
      </c>
      <c r="AX221" s="119">
        <f>AR221*AU221</f>
        <v/>
      </c>
    </row>
    <row r="222">
      <c r="A222" s="32" t="n">
        <v>212</v>
      </c>
      <c r="B222" s="33" t="n"/>
      <c r="C222" s="33" t="n"/>
      <c r="D222" s="33" t="n"/>
      <c r="E222" s="33" t="inlineStr">
        <is>
          <t>-</t>
        </is>
      </c>
      <c r="F222" s="54">
        <f>IFERROR((VLOOKUP(E222,$AE$11:$AG$14,3,0)),"-")</f>
        <v/>
      </c>
      <c r="G222" s="33" t="n"/>
      <c r="H222" s="33" t="n"/>
      <c r="I222" s="46" t="n"/>
      <c r="J222" s="35" t="n"/>
      <c r="K222" s="35" t="n"/>
      <c r="L222" s="36">
        <f>IF($H$4="-",0,IF($H$4="VAREJO",AW222,IF($H$4="ATACADO",AX222,0)))</f>
        <v/>
      </c>
      <c r="M222" s="33" t="n"/>
      <c r="AN222" s="47" t="n">
        <v>212</v>
      </c>
      <c r="AO222" s="117">
        <f>I222+(I222*J222)+(I222*K222)</f>
        <v/>
      </c>
      <c r="AP222" s="43">
        <f>IFERROR(VLOOKUP(E222,$AE$11:$AK$14,4,0),0)</f>
        <v/>
      </c>
      <c r="AQ222" s="117">
        <f>(I222+(I222*J222)+(I222*K222))*AP222</f>
        <v/>
      </c>
      <c r="AR222" s="118">
        <f>AO222+AQ222</f>
        <v/>
      </c>
      <c r="AT222" s="39">
        <f>IFERROR((VLOOKUP(E222,$AE$11:$AJ$14,5,0)),0)</f>
        <v/>
      </c>
      <c r="AU222" s="39">
        <f>IFERROR((VLOOKUP(E222,$AE$11:$AJ$14,6,0)),0)</f>
        <v/>
      </c>
      <c r="AW222" s="119">
        <f>AR222*AT222</f>
        <v/>
      </c>
      <c r="AX222" s="119">
        <f>AR222*AU222</f>
        <v/>
      </c>
    </row>
    <row r="223">
      <c r="A223" s="32" t="n">
        <v>213</v>
      </c>
      <c r="B223" s="33" t="n"/>
      <c r="C223" s="33" t="n"/>
      <c r="D223" s="33" t="n"/>
      <c r="E223" s="33" t="inlineStr">
        <is>
          <t>-</t>
        </is>
      </c>
      <c r="F223" s="54">
        <f>IFERROR((VLOOKUP(E223,$AE$11:$AG$14,3,0)),"-")</f>
        <v/>
      </c>
      <c r="G223" s="33" t="n"/>
      <c r="H223" s="33" t="n"/>
      <c r="I223" s="46" t="n"/>
      <c r="J223" s="35" t="n"/>
      <c r="K223" s="35" t="n"/>
      <c r="L223" s="36">
        <f>IF($H$4="-",0,IF($H$4="VAREJO",AW223,IF($H$4="ATACADO",AX223,0)))</f>
        <v/>
      </c>
      <c r="M223" s="33" t="n"/>
      <c r="AN223" s="47" t="n">
        <v>213</v>
      </c>
      <c r="AO223" s="117">
        <f>I223+(I223*J223)+(I223*K223)</f>
        <v/>
      </c>
      <c r="AP223" s="43">
        <f>IFERROR(VLOOKUP(E223,$AE$11:$AK$14,4,0),0)</f>
        <v/>
      </c>
      <c r="AQ223" s="117">
        <f>(I223+(I223*J223)+(I223*K223))*AP223</f>
        <v/>
      </c>
      <c r="AR223" s="118">
        <f>AO223+AQ223</f>
        <v/>
      </c>
      <c r="AT223" s="39">
        <f>IFERROR((VLOOKUP(E223,$AE$11:$AJ$14,5,0)),0)</f>
        <v/>
      </c>
      <c r="AU223" s="39">
        <f>IFERROR((VLOOKUP(E223,$AE$11:$AJ$14,6,0)),0)</f>
        <v/>
      </c>
      <c r="AW223" s="119">
        <f>AR223*AT223</f>
        <v/>
      </c>
      <c r="AX223" s="119">
        <f>AR223*AU223</f>
        <v/>
      </c>
    </row>
    <row r="224">
      <c r="A224" s="32" t="n">
        <v>214</v>
      </c>
      <c r="B224" s="33" t="n"/>
      <c r="C224" s="33" t="n"/>
      <c r="D224" s="33" t="n"/>
      <c r="E224" s="33" t="inlineStr">
        <is>
          <t>-</t>
        </is>
      </c>
      <c r="F224" s="54">
        <f>IFERROR((VLOOKUP(E224,$AE$11:$AG$14,3,0)),"-")</f>
        <v/>
      </c>
      <c r="G224" s="33" t="n"/>
      <c r="H224" s="33" t="n"/>
      <c r="I224" s="46" t="n"/>
      <c r="J224" s="35" t="n"/>
      <c r="K224" s="35" t="n"/>
      <c r="L224" s="36">
        <f>IF($H$4="-",0,IF($H$4="VAREJO",AW224,IF($H$4="ATACADO",AX224,0)))</f>
        <v/>
      </c>
      <c r="M224" s="33" t="n"/>
      <c r="AN224" s="47" t="n">
        <v>214</v>
      </c>
      <c r="AO224" s="117">
        <f>I224+(I224*J224)+(I224*K224)</f>
        <v/>
      </c>
      <c r="AP224" s="43">
        <f>IFERROR(VLOOKUP(E224,$AE$11:$AK$14,4,0),0)</f>
        <v/>
      </c>
      <c r="AQ224" s="117">
        <f>(I224+(I224*J224)+(I224*K224))*AP224</f>
        <v/>
      </c>
      <c r="AR224" s="118">
        <f>AO224+AQ224</f>
        <v/>
      </c>
      <c r="AT224" s="39">
        <f>IFERROR((VLOOKUP(E224,$AE$11:$AJ$14,5,0)),0)</f>
        <v/>
      </c>
      <c r="AU224" s="39">
        <f>IFERROR((VLOOKUP(E224,$AE$11:$AJ$14,6,0)),0)</f>
        <v/>
      </c>
      <c r="AW224" s="119">
        <f>AR224*AT224</f>
        <v/>
      </c>
      <c r="AX224" s="119">
        <f>AR224*AU224</f>
        <v/>
      </c>
    </row>
    <row r="225">
      <c r="A225" s="32" t="n">
        <v>215</v>
      </c>
      <c r="B225" s="33" t="n"/>
      <c r="C225" s="33" t="n"/>
      <c r="D225" s="33" t="n"/>
      <c r="E225" s="33" t="inlineStr">
        <is>
          <t>-</t>
        </is>
      </c>
      <c r="F225" s="54">
        <f>IFERROR((VLOOKUP(E225,$AE$11:$AG$14,3,0)),"-")</f>
        <v/>
      </c>
      <c r="G225" s="33" t="n"/>
      <c r="H225" s="33" t="n"/>
      <c r="I225" s="46" t="n"/>
      <c r="J225" s="35" t="n"/>
      <c r="K225" s="35" t="n"/>
      <c r="L225" s="36">
        <f>IF($H$4="-",0,IF($H$4="VAREJO",AW225,IF($H$4="ATACADO",AX225,0)))</f>
        <v/>
      </c>
      <c r="M225" s="33" t="n"/>
      <c r="AN225" s="47" t="n">
        <v>215</v>
      </c>
      <c r="AO225" s="117">
        <f>I225+(I225*J225)+(I225*K225)</f>
        <v/>
      </c>
      <c r="AP225" s="43">
        <f>IFERROR(VLOOKUP(E225,$AE$11:$AK$14,4,0),0)</f>
        <v/>
      </c>
      <c r="AQ225" s="117">
        <f>(I225+(I225*J225)+(I225*K225))*AP225</f>
        <v/>
      </c>
      <c r="AR225" s="118">
        <f>AO225+AQ225</f>
        <v/>
      </c>
      <c r="AT225" s="39">
        <f>IFERROR((VLOOKUP(E225,$AE$11:$AJ$14,5,0)),0)</f>
        <v/>
      </c>
      <c r="AU225" s="39">
        <f>IFERROR((VLOOKUP(E225,$AE$11:$AJ$14,6,0)),0)</f>
        <v/>
      </c>
      <c r="AW225" s="119">
        <f>AR225*AT225</f>
        <v/>
      </c>
      <c r="AX225" s="119">
        <f>AR225*AU225</f>
        <v/>
      </c>
    </row>
    <row r="226">
      <c r="A226" s="32" t="n">
        <v>216</v>
      </c>
      <c r="B226" s="33" t="n"/>
      <c r="C226" s="33" t="n"/>
      <c r="D226" s="33" t="n"/>
      <c r="E226" s="33" t="inlineStr">
        <is>
          <t>-</t>
        </is>
      </c>
      <c r="F226" s="54">
        <f>IFERROR((VLOOKUP(E226,$AE$11:$AG$14,3,0)),"-")</f>
        <v/>
      </c>
      <c r="G226" s="33" t="n"/>
      <c r="H226" s="33" t="n"/>
      <c r="I226" s="46" t="n"/>
      <c r="J226" s="35" t="n"/>
      <c r="K226" s="35" t="n"/>
      <c r="L226" s="36">
        <f>IF($H$4="-",0,IF($H$4="VAREJO",AW226,IF($H$4="ATACADO",AX226,0)))</f>
        <v/>
      </c>
      <c r="M226" s="33" t="n"/>
      <c r="AN226" s="47" t="n">
        <v>216</v>
      </c>
      <c r="AO226" s="117">
        <f>I226+(I226*J226)+(I226*K226)</f>
        <v/>
      </c>
      <c r="AP226" s="43">
        <f>IFERROR(VLOOKUP(E226,$AE$11:$AK$14,4,0),0)</f>
        <v/>
      </c>
      <c r="AQ226" s="117">
        <f>(I226+(I226*J226)+(I226*K226))*AP226</f>
        <v/>
      </c>
      <c r="AR226" s="118">
        <f>AO226+AQ226</f>
        <v/>
      </c>
      <c r="AT226" s="39">
        <f>IFERROR((VLOOKUP(E226,$AE$11:$AJ$14,5,0)),0)</f>
        <v/>
      </c>
      <c r="AU226" s="39">
        <f>IFERROR((VLOOKUP(E226,$AE$11:$AJ$14,6,0)),0)</f>
        <v/>
      </c>
      <c r="AW226" s="119">
        <f>AR226*AT226</f>
        <v/>
      </c>
      <c r="AX226" s="119">
        <f>AR226*AU226</f>
        <v/>
      </c>
    </row>
    <row r="227">
      <c r="A227" s="32" t="n">
        <v>217</v>
      </c>
      <c r="B227" s="33" t="n"/>
      <c r="C227" s="33" t="n"/>
      <c r="D227" s="33" t="n"/>
      <c r="E227" s="33" t="inlineStr">
        <is>
          <t>-</t>
        </is>
      </c>
      <c r="F227" s="54">
        <f>IFERROR((VLOOKUP(E227,$AE$11:$AG$14,3,0)),"-")</f>
        <v/>
      </c>
      <c r="G227" s="33" t="n"/>
      <c r="H227" s="33" t="n"/>
      <c r="I227" s="46" t="n"/>
      <c r="J227" s="35" t="n"/>
      <c r="K227" s="35" t="n"/>
      <c r="L227" s="36">
        <f>IF($H$4="-",0,IF($H$4="VAREJO",AW227,IF($H$4="ATACADO",AX227,0)))</f>
        <v/>
      </c>
      <c r="M227" s="33" t="n"/>
      <c r="AN227" s="47" t="n">
        <v>217</v>
      </c>
      <c r="AO227" s="117">
        <f>I227+(I227*J227)+(I227*K227)</f>
        <v/>
      </c>
      <c r="AP227" s="43">
        <f>IFERROR(VLOOKUP(E227,$AE$11:$AK$14,4,0),0)</f>
        <v/>
      </c>
      <c r="AQ227" s="117">
        <f>(I227+(I227*J227)+(I227*K227))*AP227</f>
        <v/>
      </c>
      <c r="AR227" s="118">
        <f>AO227+AQ227</f>
        <v/>
      </c>
      <c r="AT227" s="39">
        <f>IFERROR((VLOOKUP(E227,$AE$11:$AJ$14,5,0)),0)</f>
        <v/>
      </c>
      <c r="AU227" s="39">
        <f>IFERROR((VLOOKUP(E227,$AE$11:$AJ$14,6,0)),0)</f>
        <v/>
      </c>
      <c r="AW227" s="119">
        <f>AR227*AT227</f>
        <v/>
      </c>
      <c r="AX227" s="119">
        <f>AR227*AU227</f>
        <v/>
      </c>
    </row>
    <row r="228">
      <c r="A228" s="32" t="n">
        <v>218</v>
      </c>
      <c r="B228" s="33" t="n"/>
      <c r="C228" s="33" t="n"/>
      <c r="D228" s="33" t="n"/>
      <c r="E228" s="33" t="inlineStr">
        <is>
          <t>-</t>
        </is>
      </c>
      <c r="F228" s="54">
        <f>IFERROR((VLOOKUP(E228,$AE$11:$AG$14,3,0)),"-")</f>
        <v/>
      </c>
      <c r="G228" s="33" t="n"/>
      <c r="H228" s="33" t="n"/>
      <c r="I228" s="46" t="n"/>
      <c r="J228" s="35" t="n"/>
      <c r="K228" s="35" t="n"/>
      <c r="L228" s="36">
        <f>IF($H$4="-",0,IF($H$4="VAREJO",AW228,IF($H$4="ATACADO",AX228,0)))</f>
        <v/>
      </c>
      <c r="M228" s="33" t="n"/>
      <c r="AN228" s="47" t="n">
        <v>218</v>
      </c>
      <c r="AO228" s="117">
        <f>I228+(I228*J228)+(I228*K228)</f>
        <v/>
      </c>
      <c r="AP228" s="43">
        <f>IFERROR(VLOOKUP(E228,$AE$11:$AK$14,4,0),0)</f>
        <v/>
      </c>
      <c r="AQ228" s="117">
        <f>(I228+(I228*J228)+(I228*K228))*AP228</f>
        <v/>
      </c>
      <c r="AR228" s="118">
        <f>AO228+AQ228</f>
        <v/>
      </c>
      <c r="AT228" s="39">
        <f>IFERROR((VLOOKUP(E228,$AE$11:$AJ$14,5,0)),0)</f>
        <v/>
      </c>
      <c r="AU228" s="39">
        <f>IFERROR((VLOOKUP(E228,$AE$11:$AJ$14,6,0)),0)</f>
        <v/>
      </c>
      <c r="AW228" s="119">
        <f>AR228*AT228</f>
        <v/>
      </c>
      <c r="AX228" s="119">
        <f>AR228*AU228</f>
        <v/>
      </c>
    </row>
    <row r="229">
      <c r="A229" s="32" t="n">
        <v>219</v>
      </c>
      <c r="B229" s="33" t="n"/>
      <c r="C229" s="33" t="n"/>
      <c r="D229" s="33" t="n"/>
      <c r="E229" s="33" t="inlineStr">
        <is>
          <t>-</t>
        </is>
      </c>
      <c r="F229" s="54">
        <f>IFERROR((VLOOKUP(E229,$AE$11:$AG$14,3,0)),"-")</f>
        <v/>
      </c>
      <c r="G229" s="33" t="n"/>
      <c r="H229" s="33" t="n"/>
      <c r="I229" s="46" t="n"/>
      <c r="J229" s="35" t="n"/>
      <c r="K229" s="35" t="n"/>
      <c r="L229" s="36">
        <f>IF($H$4="-",0,IF($H$4="VAREJO",AW229,IF($H$4="ATACADO",AX229,0)))</f>
        <v/>
      </c>
      <c r="M229" s="33" t="n"/>
      <c r="AN229" s="47" t="n">
        <v>219</v>
      </c>
      <c r="AO229" s="117">
        <f>I229+(I229*J229)+(I229*K229)</f>
        <v/>
      </c>
      <c r="AP229" s="43">
        <f>IFERROR(VLOOKUP(E229,$AE$11:$AK$14,4,0),0)</f>
        <v/>
      </c>
      <c r="AQ229" s="117">
        <f>(I229+(I229*J229)+(I229*K229))*AP229</f>
        <v/>
      </c>
      <c r="AR229" s="118">
        <f>AO229+AQ229</f>
        <v/>
      </c>
      <c r="AT229" s="39">
        <f>IFERROR((VLOOKUP(E229,$AE$11:$AJ$14,5,0)),0)</f>
        <v/>
      </c>
      <c r="AU229" s="39">
        <f>IFERROR((VLOOKUP(E229,$AE$11:$AJ$14,6,0)),0)</f>
        <v/>
      </c>
      <c r="AW229" s="119">
        <f>AR229*AT229</f>
        <v/>
      </c>
      <c r="AX229" s="119">
        <f>AR229*AU229</f>
        <v/>
      </c>
    </row>
    <row r="230">
      <c r="A230" s="32" t="n">
        <v>220</v>
      </c>
      <c r="B230" s="33" t="n"/>
      <c r="C230" s="33" t="n"/>
      <c r="D230" s="33" t="n"/>
      <c r="E230" s="33" t="inlineStr">
        <is>
          <t>-</t>
        </is>
      </c>
      <c r="F230" s="54">
        <f>IFERROR((VLOOKUP(E230,$AE$11:$AG$14,3,0)),"-")</f>
        <v/>
      </c>
      <c r="G230" s="33" t="n"/>
      <c r="H230" s="33" t="n"/>
      <c r="I230" s="46" t="n"/>
      <c r="J230" s="35" t="n"/>
      <c r="K230" s="35" t="n"/>
      <c r="L230" s="36">
        <f>IF($H$4="-",0,IF($H$4="VAREJO",AW230,IF($H$4="ATACADO",AX230,0)))</f>
        <v/>
      </c>
      <c r="M230" s="33" t="n"/>
      <c r="AN230" s="47" t="n">
        <v>220</v>
      </c>
      <c r="AO230" s="117">
        <f>I230+(I230*J230)+(I230*K230)</f>
        <v/>
      </c>
      <c r="AP230" s="43">
        <f>IFERROR(VLOOKUP(E230,$AE$11:$AK$14,4,0),0)</f>
        <v/>
      </c>
      <c r="AQ230" s="117">
        <f>(I230+(I230*J230)+(I230*K230))*AP230</f>
        <v/>
      </c>
      <c r="AR230" s="118">
        <f>AO230+AQ230</f>
        <v/>
      </c>
      <c r="AT230" s="39">
        <f>IFERROR((VLOOKUP(E230,$AE$11:$AJ$14,5,0)),0)</f>
        <v/>
      </c>
      <c r="AU230" s="39">
        <f>IFERROR((VLOOKUP(E230,$AE$11:$AJ$14,6,0)),0)</f>
        <v/>
      </c>
      <c r="AW230" s="119">
        <f>AR230*AT230</f>
        <v/>
      </c>
      <c r="AX230" s="119">
        <f>AR230*AU230</f>
        <v/>
      </c>
    </row>
    <row r="231">
      <c r="A231" s="32" t="n">
        <v>221</v>
      </c>
      <c r="B231" s="33" t="n"/>
      <c r="C231" s="33" t="n"/>
      <c r="D231" s="33" t="n"/>
      <c r="E231" s="33" t="inlineStr">
        <is>
          <t>-</t>
        </is>
      </c>
      <c r="F231" s="54">
        <f>IFERROR((VLOOKUP(E231,$AE$11:$AG$14,3,0)),"-")</f>
        <v/>
      </c>
      <c r="G231" s="33" t="n"/>
      <c r="H231" s="33" t="n"/>
      <c r="I231" s="46" t="n"/>
      <c r="J231" s="35" t="n"/>
      <c r="K231" s="35" t="n"/>
      <c r="L231" s="36">
        <f>IF($H$4="-",0,IF($H$4="VAREJO",AW231,IF($H$4="ATACADO",AX231,0)))</f>
        <v/>
      </c>
      <c r="M231" s="33" t="n"/>
      <c r="AN231" s="47" t="n">
        <v>221</v>
      </c>
      <c r="AO231" s="117">
        <f>I231+(I231*J231)+(I231*K231)</f>
        <v/>
      </c>
      <c r="AP231" s="43">
        <f>IFERROR(VLOOKUP(E231,$AE$11:$AK$14,4,0),0)</f>
        <v/>
      </c>
      <c r="AQ231" s="117">
        <f>(I231+(I231*J231)+(I231*K231))*AP231</f>
        <v/>
      </c>
      <c r="AR231" s="118">
        <f>AO231+AQ231</f>
        <v/>
      </c>
      <c r="AT231" s="39">
        <f>IFERROR((VLOOKUP(E231,$AE$11:$AJ$14,5,0)),0)</f>
        <v/>
      </c>
      <c r="AU231" s="39">
        <f>IFERROR((VLOOKUP(E231,$AE$11:$AJ$14,6,0)),0)</f>
        <v/>
      </c>
      <c r="AW231" s="119">
        <f>AR231*AT231</f>
        <v/>
      </c>
      <c r="AX231" s="119">
        <f>AR231*AU231</f>
        <v/>
      </c>
    </row>
    <row r="232">
      <c r="A232" s="32" t="n">
        <v>222</v>
      </c>
      <c r="B232" s="33" t="n"/>
      <c r="C232" s="33" t="n"/>
      <c r="D232" s="33" t="n"/>
      <c r="E232" s="33" t="inlineStr">
        <is>
          <t>-</t>
        </is>
      </c>
      <c r="F232" s="54">
        <f>IFERROR((VLOOKUP(E232,$AE$11:$AG$14,3,0)),"-")</f>
        <v/>
      </c>
      <c r="G232" s="33" t="n"/>
      <c r="H232" s="33" t="n"/>
      <c r="I232" s="46" t="n"/>
      <c r="J232" s="35" t="n"/>
      <c r="K232" s="35" t="n"/>
      <c r="L232" s="36">
        <f>IF($H$4="-",0,IF($H$4="VAREJO",AW232,IF($H$4="ATACADO",AX232,0)))</f>
        <v/>
      </c>
      <c r="M232" s="33" t="n"/>
      <c r="AN232" s="47" t="n">
        <v>222</v>
      </c>
      <c r="AO232" s="117">
        <f>I232+(I232*J232)+(I232*K232)</f>
        <v/>
      </c>
      <c r="AP232" s="43">
        <f>IFERROR(VLOOKUP(E232,$AE$11:$AK$14,4,0),0)</f>
        <v/>
      </c>
      <c r="AQ232" s="117">
        <f>(I232+(I232*J232)+(I232*K232))*AP232</f>
        <v/>
      </c>
      <c r="AR232" s="118">
        <f>AO232+AQ232</f>
        <v/>
      </c>
      <c r="AT232" s="39">
        <f>IFERROR((VLOOKUP(E232,$AE$11:$AJ$14,5,0)),0)</f>
        <v/>
      </c>
      <c r="AU232" s="39">
        <f>IFERROR((VLOOKUP(E232,$AE$11:$AJ$14,6,0)),0)</f>
        <v/>
      </c>
      <c r="AW232" s="119">
        <f>AR232*AT232</f>
        <v/>
      </c>
      <c r="AX232" s="119">
        <f>AR232*AU232</f>
        <v/>
      </c>
    </row>
    <row r="233">
      <c r="A233" s="32" t="n">
        <v>223</v>
      </c>
      <c r="B233" s="33" t="n"/>
      <c r="C233" s="33" t="n"/>
      <c r="D233" s="33" t="n"/>
      <c r="E233" s="33" t="inlineStr">
        <is>
          <t>-</t>
        </is>
      </c>
      <c r="F233" s="54">
        <f>IFERROR((VLOOKUP(E233,$AE$11:$AG$14,3,0)),"-")</f>
        <v/>
      </c>
      <c r="G233" s="33" t="n"/>
      <c r="H233" s="33" t="n"/>
      <c r="I233" s="46" t="n"/>
      <c r="J233" s="35" t="n"/>
      <c r="K233" s="35" t="n"/>
      <c r="L233" s="36">
        <f>IF($H$4="-",0,IF($H$4="VAREJO",AW233,IF($H$4="ATACADO",AX233,0)))</f>
        <v/>
      </c>
      <c r="M233" s="33" t="n"/>
      <c r="AN233" s="47" t="n">
        <v>223</v>
      </c>
      <c r="AO233" s="117">
        <f>I233+(I233*J233)+(I233*K233)</f>
        <v/>
      </c>
      <c r="AP233" s="43">
        <f>IFERROR(VLOOKUP(E233,$AE$11:$AK$14,4,0),0)</f>
        <v/>
      </c>
      <c r="AQ233" s="117">
        <f>(I233+(I233*J233)+(I233*K233))*AP233</f>
        <v/>
      </c>
      <c r="AR233" s="118">
        <f>AO233+AQ233</f>
        <v/>
      </c>
      <c r="AT233" s="39">
        <f>IFERROR((VLOOKUP(E233,$AE$11:$AJ$14,5,0)),0)</f>
        <v/>
      </c>
      <c r="AU233" s="39">
        <f>IFERROR((VLOOKUP(E233,$AE$11:$AJ$14,6,0)),0)</f>
        <v/>
      </c>
      <c r="AW233" s="119">
        <f>AR233*AT233</f>
        <v/>
      </c>
      <c r="AX233" s="119">
        <f>AR233*AU233</f>
        <v/>
      </c>
    </row>
    <row r="234">
      <c r="A234" s="32" t="n">
        <v>224</v>
      </c>
      <c r="B234" s="33" t="n"/>
      <c r="C234" s="33" t="n"/>
      <c r="D234" s="33" t="n"/>
      <c r="E234" s="33" t="inlineStr">
        <is>
          <t>-</t>
        </is>
      </c>
      <c r="F234" s="54">
        <f>IFERROR((VLOOKUP(E234,$AE$11:$AG$14,3,0)),"-")</f>
        <v/>
      </c>
      <c r="G234" s="33" t="n"/>
      <c r="H234" s="33" t="n"/>
      <c r="I234" s="46" t="n"/>
      <c r="J234" s="35" t="n"/>
      <c r="K234" s="35" t="n"/>
      <c r="L234" s="36">
        <f>IF($H$4="-",0,IF($H$4="VAREJO",AW234,IF($H$4="ATACADO",AX234,0)))</f>
        <v/>
      </c>
      <c r="M234" s="33" t="n"/>
      <c r="AN234" s="47" t="n">
        <v>224</v>
      </c>
      <c r="AO234" s="117">
        <f>I234+(I234*J234)+(I234*K234)</f>
        <v/>
      </c>
      <c r="AP234" s="43">
        <f>IFERROR(VLOOKUP(E234,$AE$11:$AK$14,4,0),0)</f>
        <v/>
      </c>
      <c r="AQ234" s="117">
        <f>(I234+(I234*J234)+(I234*K234))*AP234</f>
        <v/>
      </c>
      <c r="AR234" s="118">
        <f>AO234+AQ234</f>
        <v/>
      </c>
      <c r="AT234" s="39">
        <f>IFERROR((VLOOKUP(E234,$AE$11:$AJ$14,5,0)),0)</f>
        <v/>
      </c>
      <c r="AU234" s="39">
        <f>IFERROR((VLOOKUP(E234,$AE$11:$AJ$14,6,0)),0)</f>
        <v/>
      </c>
      <c r="AW234" s="119">
        <f>AR234*AT234</f>
        <v/>
      </c>
      <c r="AX234" s="119">
        <f>AR234*AU234</f>
        <v/>
      </c>
    </row>
    <row r="235">
      <c r="A235" s="32" t="n">
        <v>225</v>
      </c>
      <c r="B235" s="33" t="n"/>
      <c r="C235" s="33" t="n"/>
      <c r="D235" s="33" t="n"/>
      <c r="E235" s="33" t="inlineStr">
        <is>
          <t>-</t>
        </is>
      </c>
      <c r="F235" s="54">
        <f>IFERROR((VLOOKUP(E235,$AE$11:$AG$14,3,0)),"-")</f>
        <v/>
      </c>
      <c r="G235" s="33" t="n"/>
      <c r="H235" s="33" t="n"/>
      <c r="I235" s="46" t="n"/>
      <c r="J235" s="35" t="n"/>
      <c r="K235" s="35" t="n"/>
      <c r="L235" s="36">
        <f>IF($H$4="-",0,IF($H$4="VAREJO",AW235,IF($H$4="ATACADO",AX235,0)))</f>
        <v/>
      </c>
      <c r="M235" s="33" t="n"/>
      <c r="AN235" s="47" t="n">
        <v>225</v>
      </c>
      <c r="AO235" s="117">
        <f>I235+(I235*J235)+(I235*K235)</f>
        <v/>
      </c>
      <c r="AP235" s="43">
        <f>IFERROR(VLOOKUP(E235,$AE$11:$AK$14,4,0),0)</f>
        <v/>
      </c>
      <c r="AQ235" s="117">
        <f>(I235+(I235*J235)+(I235*K235))*AP235</f>
        <v/>
      </c>
      <c r="AR235" s="118">
        <f>AO235+AQ235</f>
        <v/>
      </c>
      <c r="AT235" s="39">
        <f>IFERROR((VLOOKUP(E235,$AE$11:$AJ$14,5,0)),0)</f>
        <v/>
      </c>
      <c r="AU235" s="39">
        <f>IFERROR((VLOOKUP(E235,$AE$11:$AJ$14,6,0)),0)</f>
        <v/>
      </c>
      <c r="AW235" s="119">
        <f>AR235*AT235</f>
        <v/>
      </c>
      <c r="AX235" s="119">
        <f>AR235*AU235</f>
        <v/>
      </c>
    </row>
    <row r="236">
      <c r="A236" s="32" t="n">
        <v>226</v>
      </c>
      <c r="B236" s="33" t="n"/>
      <c r="C236" s="33" t="n"/>
      <c r="D236" s="33" t="n"/>
      <c r="E236" s="33" t="inlineStr">
        <is>
          <t>-</t>
        </is>
      </c>
      <c r="F236" s="54">
        <f>IFERROR((VLOOKUP(E236,$AE$11:$AG$14,3,0)),"-")</f>
        <v/>
      </c>
      <c r="G236" s="33" t="n"/>
      <c r="H236" s="33" t="n"/>
      <c r="I236" s="46" t="n"/>
      <c r="J236" s="35" t="n"/>
      <c r="K236" s="35" t="n"/>
      <c r="L236" s="36">
        <f>IF($H$4="-",0,IF($H$4="VAREJO",AW236,IF($H$4="ATACADO",AX236,0)))</f>
        <v/>
      </c>
      <c r="M236" s="33" t="n"/>
      <c r="AN236" s="47" t="n">
        <v>226</v>
      </c>
      <c r="AO236" s="117">
        <f>I236+(I236*J236)+(I236*K236)</f>
        <v/>
      </c>
      <c r="AP236" s="43">
        <f>IFERROR(VLOOKUP(E236,$AE$11:$AK$14,4,0),0)</f>
        <v/>
      </c>
      <c r="AQ236" s="117">
        <f>(I236+(I236*J236)+(I236*K236))*AP236</f>
        <v/>
      </c>
      <c r="AR236" s="118">
        <f>AO236+AQ236</f>
        <v/>
      </c>
      <c r="AT236" s="39">
        <f>IFERROR((VLOOKUP(E236,$AE$11:$AJ$14,5,0)),0)</f>
        <v/>
      </c>
      <c r="AU236" s="39">
        <f>IFERROR((VLOOKUP(E236,$AE$11:$AJ$14,6,0)),0)</f>
        <v/>
      </c>
      <c r="AW236" s="119">
        <f>AR236*AT236</f>
        <v/>
      </c>
      <c r="AX236" s="119">
        <f>AR236*AU236</f>
        <v/>
      </c>
    </row>
    <row r="237">
      <c r="A237" s="32" t="n">
        <v>227</v>
      </c>
      <c r="B237" s="33" t="n"/>
      <c r="C237" s="33" t="n"/>
      <c r="D237" s="33" t="n"/>
      <c r="E237" s="33" t="inlineStr">
        <is>
          <t>-</t>
        </is>
      </c>
      <c r="F237" s="54">
        <f>IFERROR((VLOOKUP(E237,$AE$11:$AG$14,3,0)),"-")</f>
        <v/>
      </c>
      <c r="G237" s="33" t="n"/>
      <c r="H237" s="33" t="n"/>
      <c r="I237" s="46" t="n"/>
      <c r="J237" s="35" t="n"/>
      <c r="K237" s="35" t="n"/>
      <c r="L237" s="36">
        <f>IF($H$4="-",0,IF($H$4="VAREJO",AW237,IF($H$4="ATACADO",AX237,0)))</f>
        <v/>
      </c>
      <c r="M237" s="33" t="n"/>
      <c r="AN237" s="47" t="n">
        <v>227</v>
      </c>
      <c r="AO237" s="117">
        <f>I237+(I237*J237)+(I237*K237)</f>
        <v/>
      </c>
      <c r="AP237" s="43">
        <f>IFERROR(VLOOKUP(E237,$AE$11:$AK$14,4,0),0)</f>
        <v/>
      </c>
      <c r="AQ237" s="117">
        <f>(I237+(I237*J237)+(I237*K237))*AP237</f>
        <v/>
      </c>
      <c r="AR237" s="118">
        <f>AO237+AQ237</f>
        <v/>
      </c>
      <c r="AT237" s="39">
        <f>IFERROR((VLOOKUP(E237,$AE$11:$AJ$14,5,0)),0)</f>
        <v/>
      </c>
      <c r="AU237" s="39">
        <f>IFERROR((VLOOKUP(E237,$AE$11:$AJ$14,6,0)),0)</f>
        <v/>
      </c>
      <c r="AW237" s="119">
        <f>AR237*AT237</f>
        <v/>
      </c>
      <c r="AX237" s="119">
        <f>AR237*AU237</f>
        <v/>
      </c>
    </row>
    <row r="238">
      <c r="A238" s="32" t="n">
        <v>228</v>
      </c>
      <c r="B238" s="33" t="n"/>
      <c r="C238" s="33" t="n"/>
      <c r="D238" s="33" t="n"/>
      <c r="E238" s="33" t="inlineStr">
        <is>
          <t>-</t>
        </is>
      </c>
      <c r="F238" s="54">
        <f>IFERROR((VLOOKUP(E238,$AE$11:$AG$14,3,0)),"-")</f>
        <v/>
      </c>
      <c r="G238" s="33" t="n"/>
      <c r="H238" s="33" t="n"/>
      <c r="I238" s="46" t="n"/>
      <c r="J238" s="35" t="n"/>
      <c r="K238" s="35" t="n"/>
      <c r="L238" s="36">
        <f>IF($H$4="-",0,IF($H$4="VAREJO",AW238,IF($H$4="ATACADO",AX238,0)))</f>
        <v/>
      </c>
      <c r="M238" s="33" t="n"/>
      <c r="AN238" s="47" t="n">
        <v>228</v>
      </c>
      <c r="AO238" s="117">
        <f>I238+(I238*J238)+(I238*K238)</f>
        <v/>
      </c>
      <c r="AP238" s="43">
        <f>IFERROR(VLOOKUP(E238,$AE$11:$AK$14,4,0),0)</f>
        <v/>
      </c>
      <c r="AQ238" s="117">
        <f>(I238+(I238*J238)+(I238*K238))*AP238</f>
        <v/>
      </c>
      <c r="AR238" s="118">
        <f>AO238+AQ238</f>
        <v/>
      </c>
      <c r="AT238" s="39">
        <f>IFERROR((VLOOKUP(E238,$AE$11:$AJ$14,5,0)),0)</f>
        <v/>
      </c>
      <c r="AU238" s="39">
        <f>IFERROR((VLOOKUP(E238,$AE$11:$AJ$14,6,0)),0)</f>
        <v/>
      </c>
      <c r="AW238" s="119">
        <f>AR238*AT238</f>
        <v/>
      </c>
      <c r="AX238" s="119">
        <f>AR238*AU238</f>
        <v/>
      </c>
    </row>
    <row r="239">
      <c r="A239" s="32" t="n">
        <v>229</v>
      </c>
      <c r="B239" s="33" t="n"/>
      <c r="C239" s="33" t="n"/>
      <c r="D239" s="33" t="n"/>
      <c r="E239" s="33" t="inlineStr">
        <is>
          <t>-</t>
        </is>
      </c>
      <c r="F239" s="54">
        <f>IFERROR((VLOOKUP(E239,$AE$11:$AG$14,3,0)),"-")</f>
        <v/>
      </c>
      <c r="G239" s="33" t="n"/>
      <c r="H239" s="33" t="n"/>
      <c r="I239" s="46" t="n"/>
      <c r="J239" s="35" t="n"/>
      <c r="K239" s="35" t="n"/>
      <c r="L239" s="36">
        <f>IF($H$4="-",0,IF($H$4="VAREJO",AW239,IF($H$4="ATACADO",AX239,0)))</f>
        <v/>
      </c>
      <c r="M239" s="33" t="n"/>
      <c r="AN239" s="47" t="n">
        <v>229</v>
      </c>
      <c r="AO239" s="117">
        <f>I239+(I239*J239)+(I239*K239)</f>
        <v/>
      </c>
      <c r="AP239" s="43">
        <f>IFERROR(VLOOKUP(E239,$AE$11:$AK$14,4,0),0)</f>
        <v/>
      </c>
      <c r="AQ239" s="117">
        <f>(I239+(I239*J239)+(I239*K239))*AP239</f>
        <v/>
      </c>
      <c r="AR239" s="118">
        <f>AO239+AQ239</f>
        <v/>
      </c>
      <c r="AT239" s="39">
        <f>IFERROR((VLOOKUP(E239,$AE$11:$AJ$14,5,0)),0)</f>
        <v/>
      </c>
      <c r="AU239" s="39">
        <f>IFERROR((VLOOKUP(E239,$AE$11:$AJ$14,6,0)),0)</f>
        <v/>
      </c>
      <c r="AW239" s="119">
        <f>AR239*AT239</f>
        <v/>
      </c>
      <c r="AX239" s="119">
        <f>AR239*AU239</f>
        <v/>
      </c>
    </row>
    <row r="240">
      <c r="A240" s="32" t="n">
        <v>230</v>
      </c>
      <c r="B240" s="33" t="n"/>
      <c r="C240" s="33" t="n"/>
      <c r="D240" s="33" t="n"/>
      <c r="E240" s="33" t="inlineStr">
        <is>
          <t>-</t>
        </is>
      </c>
      <c r="F240" s="54">
        <f>IFERROR((VLOOKUP(E240,$AE$11:$AG$14,3,0)),"-")</f>
        <v/>
      </c>
      <c r="G240" s="33" t="n"/>
      <c r="H240" s="33" t="n"/>
      <c r="I240" s="46" t="n"/>
      <c r="J240" s="35" t="n"/>
      <c r="K240" s="35" t="n"/>
      <c r="L240" s="36">
        <f>IF($H$4="-",0,IF($H$4="VAREJO",AW240,IF($H$4="ATACADO",AX240,0)))</f>
        <v/>
      </c>
      <c r="M240" s="33" t="n"/>
      <c r="AN240" s="47" t="n">
        <v>230</v>
      </c>
      <c r="AO240" s="117">
        <f>I240+(I240*J240)+(I240*K240)</f>
        <v/>
      </c>
      <c r="AP240" s="43">
        <f>IFERROR(VLOOKUP(E240,$AE$11:$AK$14,4,0),0)</f>
        <v/>
      </c>
      <c r="AQ240" s="117">
        <f>(I240+(I240*J240)+(I240*K240))*AP240</f>
        <v/>
      </c>
      <c r="AR240" s="118">
        <f>AO240+AQ240</f>
        <v/>
      </c>
      <c r="AT240" s="39">
        <f>IFERROR((VLOOKUP(E240,$AE$11:$AJ$14,5,0)),0)</f>
        <v/>
      </c>
      <c r="AU240" s="39">
        <f>IFERROR((VLOOKUP(E240,$AE$11:$AJ$14,6,0)),0)</f>
        <v/>
      </c>
      <c r="AW240" s="119">
        <f>AR240*AT240</f>
        <v/>
      </c>
      <c r="AX240" s="119">
        <f>AR240*AU240</f>
        <v/>
      </c>
    </row>
    <row r="241">
      <c r="A241" s="32" t="n">
        <v>231</v>
      </c>
      <c r="B241" s="33" t="n"/>
      <c r="C241" s="33" t="n"/>
      <c r="D241" s="33" t="n"/>
      <c r="E241" s="33" t="inlineStr">
        <is>
          <t>-</t>
        </is>
      </c>
      <c r="F241" s="54">
        <f>IFERROR((VLOOKUP(E241,$AE$11:$AG$14,3,0)),"-")</f>
        <v/>
      </c>
      <c r="G241" s="33" t="n"/>
      <c r="H241" s="33" t="n"/>
      <c r="I241" s="46" t="n"/>
      <c r="J241" s="35" t="n"/>
      <c r="K241" s="35" t="n"/>
      <c r="L241" s="36">
        <f>IF($H$4="-",0,IF($H$4="VAREJO",AW241,IF($H$4="ATACADO",AX241,0)))</f>
        <v/>
      </c>
      <c r="M241" s="33" t="n"/>
      <c r="AN241" s="47" t="n">
        <v>231</v>
      </c>
      <c r="AO241" s="117">
        <f>I241+(I241*J241)+(I241*K241)</f>
        <v/>
      </c>
      <c r="AP241" s="43">
        <f>IFERROR(VLOOKUP(E241,$AE$11:$AK$14,4,0),0)</f>
        <v/>
      </c>
      <c r="AQ241" s="117">
        <f>(I241+(I241*J241)+(I241*K241))*AP241</f>
        <v/>
      </c>
      <c r="AR241" s="118">
        <f>AO241+AQ241</f>
        <v/>
      </c>
      <c r="AT241" s="39">
        <f>IFERROR((VLOOKUP(E241,$AE$11:$AJ$14,5,0)),0)</f>
        <v/>
      </c>
      <c r="AU241" s="39">
        <f>IFERROR((VLOOKUP(E241,$AE$11:$AJ$14,6,0)),0)</f>
        <v/>
      </c>
      <c r="AW241" s="119">
        <f>AR241*AT241</f>
        <v/>
      </c>
      <c r="AX241" s="119">
        <f>AR241*AU241</f>
        <v/>
      </c>
    </row>
    <row r="242">
      <c r="A242" s="32" t="n">
        <v>232</v>
      </c>
      <c r="B242" s="33" t="n"/>
      <c r="C242" s="33" t="n"/>
      <c r="D242" s="33" t="n"/>
      <c r="E242" s="33" t="inlineStr">
        <is>
          <t>-</t>
        </is>
      </c>
      <c r="F242" s="54">
        <f>IFERROR((VLOOKUP(E242,$AE$11:$AG$14,3,0)),"-")</f>
        <v/>
      </c>
      <c r="G242" s="33" t="n"/>
      <c r="H242" s="33" t="n"/>
      <c r="I242" s="46" t="n"/>
      <c r="J242" s="35" t="n"/>
      <c r="K242" s="35" t="n"/>
      <c r="L242" s="36">
        <f>IF($H$4="-",0,IF($H$4="VAREJO",AW242,IF($H$4="ATACADO",AX242,0)))</f>
        <v/>
      </c>
      <c r="M242" s="33" t="n"/>
      <c r="AN242" s="47" t="n">
        <v>232</v>
      </c>
      <c r="AO242" s="117">
        <f>I242+(I242*J242)+(I242*K242)</f>
        <v/>
      </c>
      <c r="AP242" s="43">
        <f>IFERROR(VLOOKUP(E242,$AE$11:$AK$14,4,0),0)</f>
        <v/>
      </c>
      <c r="AQ242" s="117">
        <f>(I242+(I242*J242)+(I242*K242))*AP242</f>
        <v/>
      </c>
      <c r="AR242" s="118">
        <f>AO242+AQ242</f>
        <v/>
      </c>
      <c r="AT242" s="39">
        <f>IFERROR((VLOOKUP(E242,$AE$11:$AJ$14,5,0)),0)</f>
        <v/>
      </c>
      <c r="AU242" s="39">
        <f>IFERROR((VLOOKUP(E242,$AE$11:$AJ$14,6,0)),0)</f>
        <v/>
      </c>
      <c r="AW242" s="119">
        <f>AR242*AT242</f>
        <v/>
      </c>
      <c r="AX242" s="119">
        <f>AR242*AU242</f>
        <v/>
      </c>
    </row>
    <row r="243">
      <c r="A243" s="32" t="n">
        <v>233</v>
      </c>
      <c r="B243" s="33" t="n"/>
      <c r="C243" s="33" t="n"/>
      <c r="D243" s="33" t="n"/>
      <c r="E243" s="33" t="inlineStr">
        <is>
          <t>-</t>
        </is>
      </c>
      <c r="F243" s="54">
        <f>IFERROR((VLOOKUP(E243,$AE$11:$AG$14,3,0)),"-")</f>
        <v/>
      </c>
      <c r="G243" s="33" t="n"/>
      <c r="H243" s="33" t="n"/>
      <c r="I243" s="46" t="n"/>
      <c r="J243" s="35" t="n"/>
      <c r="K243" s="35" t="n"/>
      <c r="L243" s="36">
        <f>IF($H$4="-",0,IF($H$4="VAREJO",AW243,IF($H$4="ATACADO",AX243,0)))</f>
        <v/>
      </c>
      <c r="M243" s="33" t="n"/>
      <c r="AN243" s="47" t="n">
        <v>233</v>
      </c>
      <c r="AO243" s="117">
        <f>I243+(I243*J243)+(I243*K243)</f>
        <v/>
      </c>
      <c r="AP243" s="43">
        <f>IFERROR(VLOOKUP(E243,$AE$11:$AK$14,4,0),0)</f>
        <v/>
      </c>
      <c r="AQ243" s="117">
        <f>(I243+(I243*J243)+(I243*K243))*AP243</f>
        <v/>
      </c>
      <c r="AR243" s="118">
        <f>AO243+AQ243</f>
        <v/>
      </c>
      <c r="AT243" s="39">
        <f>IFERROR((VLOOKUP(E243,$AE$11:$AJ$14,5,0)),0)</f>
        <v/>
      </c>
      <c r="AU243" s="39">
        <f>IFERROR((VLOOKUP(E243,$AE$11:$AJ$14,6,0)),0)</f>
        <v/>
      </c>
      <c r="AW243" s="119">
        <f>AR243*AT243</f>
        <v/>
      </c>
      <c r="AX243" s="119">
        <f>AR243*AU243</f>
        <v/>
      </c>
    </row>
    <row r="244">
      <c r="A244" s="32" t="n">
        <v>234</v>
      </c>
      <c r="B244" s="33" t="n"/>
      <c r="C244" s="33" t="n"/>
      <c r="D244" s="33" t="n"/>
      <c r="E244" s="33" t="inlineStr">
        <is>
          <t>-</t>
        </is>
      </c>
      <c r="F244" s="54">
        <f>IFERROR((VLOOKUP(E244,$AE$11:$AG$14,3,0)),"-")</f>
        <v/>
      </c>
      <c r="G244" s="33" t="n"/>
      <c r="H244" s="33" t="n"/>
      <c r="I244" s="46" t="n"/>
      <c r="J244" s="35" t="n"/>
      <c r="K244" s="35" t="n"/>
      <c r="L244" s="36">
        <f>IF($H$4="-",0,IF($H$4="VAREJO",AW244,IF($H$4="ATACADO",AX244,0)))</f>
        <v/>
      </c>
      <c r="M244" s="33" t="n"/>
      <c r="AN244" s="47" t="n">
        <v>234</v>
      </c>
      <c r="AO244" s="117">
        <f>I244+(I244*J244)+(I244*K244)</f>
        <v/>
      </c>
      <c r="AP244" s="43">
        <f>IFERROR(VLOOKUP(E244,$AE$11:$AK$14,4,0),0)</f>
        <v/>
      </c>
      <c r="AQ244" s="117">
        <f>(I244+(I244*J244)+(I244*K244))*AP244</f>
        <v/>
      </c>
      <c r="AR244" s="118">
        <f>AO244+AQ244</f>
        <v/>
      </c>
      <c r="AT244" s="39">
        <f>IFERROR((VLOOKUP(E244,$AE$11:$AJ$14,5,0)),0)</f>
        <v/>
      </c>
      <c r="AU244" s="39">
        <f>IFERROR((VLOOKUP(E244,$AE$11:$AJ$14,6,0)),0)</f>
        <v/>
      </c>
      <c r="AW244" s="119">
        <f>AR244*AT244</f>
        <v/>
      </c>
      <c r="AX244" s="119">
        <f>AR244*AU244</f>
        <v/>
      </c>
    </row>
    <row r="245">
      <c r="A245" s="32" t="n">
        <v>235</v>
      </c>
      <c r="B245" s="33" t="n"/>
      <c r="C245" s="33" t="n"/>
      <c r="D245" s="33" t="n"/>
      <c r="E245" s="33" t="inlineStr">
        <is>
          <t>-</t>
        </is>
      </c>
      <c r="F245" s="54">
        <f>IFERROR((VLOOKUP(E245,$AE$11:$AG$14,3,0)),"-")</f>
        <v/>
      </c>
      <c r="G245" s="33" t="n"/>
      <c r="H245" s="33" t="n"/>
      <c r="I245" s="46" t="n"/>
      <c r="J245" s="35" t="n"/>
      <c r="K245" s="35" t="n"/>
      <c r="L245" s="36">
        <f>IF($H$4="-",0,IF($H$4="VAREJO",AW245,IF($H$4="ATACADO",AX245,0)))</f>
        <v/>
      </c>
      <c r="M245" s="33" t="n"/>
      <c r="AN245" s="47" t="n">
        <v>235</v>
      </c>
      <c r="AO245" s="117">
        <f>I245+(I245*J245)+(I245*K245)</f>
        <v/>
      </c>
      <c r="AP245" s="43">
        <f>IFERROR(VLOOKUP(E245,$AE$11:$AK$14,4,0),0)</f>
        <v/>
      </c>
      <c r="AQ245" s="117">
        <f>(I245+(I245*J245)+(I245*K245))*AP245</f>
        <v/>
      </c>
      <c r="AR245" s="118">
        <f>AO245+AQ245</f>
        <v/>
      </c>
      <c r="AT245" s="39">
        <f>IFERROR((VLOOKUP(E245,$AE$11:$AJ$14,5,0)),0)</f>
        <v/>
      </c>
      <c r="AU245" s="39">
        <f>IFERROR((VLOOKUP(E245,$AE$11:$AJ$14,6,0)),0)</f>
        <v/>
      </c>
      <c r="AW245" s="119">
        <f>AR245*AT245</f>
        <v/>
      </c>
      <c r="AX245" s="119">
        <f>AR245*AU245</f>
        <v/>
      </c>
    </row>
    <row r="246">
      <c r="A246" s="32" t="n">
        <v>236</v>
      </c>
      <c r="B246" s="33" t="n"/>
      <c r="C246" s="33" t="n"/>
      <c r="D246" s="33" t="n"/>
      <c r="E246" s="33" t="inlineStr">
        <is>
          <t>-</t>
        </is>
      </c>
      <c r="F246" s="54">
        <f>IFERROR((VLOOKUP(E246,$AE$11:$AG$14,3,0)),"-")</f>
        <v/>
      </c>
      <c r="G246" s="33" t="n"/>
      <c r="H246" s="33" t="n"/>
      <c r="I246" s="46" t="n"/>
      <c r="J246" s="35" t="n"/>
      <c r="K246" s="35" t="n"/>
      <c r="L246" s="36">
        <f>IF($H$4="-",0,IF($H$4="VAREJO",AW246,IF($H$4="ATACADO",AX246,0)))</f>
        <v/>
      </c>
      <c r="M246" s="33" t="n"/>
      <c r="AN246" s="47" t="n">
        <v>236</v>
      </c>
      <c r="AO246" s="117">
        <f>I246+(I246*J246)+(I246*K246)</f>
        <v/>
      </c>
      <c r="AP246" s="43">
        <f>IFERROR(VLOOKUP(E246,$AE$11:$AK$14,4,0),0)</f>
        <v/>
      </c>
      <c r="AQ246" s="117">
        <f>(I246+(I246*J246)+(I246*K246))*AP246</f>
        <v/>
      </c>
      <c r="AR246" s="118">
        <f>AO246+AQ246</f>
        <v/>
      </c>
      <c r="AT246" s="39">
        <f>IFERROR((VLOOKUP(E246,$AE$11:$AJ$14,5,0)),0)</f>
        <v/>
      </c>
      <c r="AU246" s="39">
        <f>IFERROR((VLOOKUP(E246,$AE$11:$AJ$14,6,0)),0)</f>
        <v/>
      </c>
      <c r="AW246" s="119">
        <f>AR246*AT246</f>
        <v/>
      </c>
      <c r="AX246" s="119">
        <f>AR246*AU246</f>
        <v/>
      </c>
    </row>
    <row r="247">
      <c r="A247" s="32" t="n">
        <v>237</v>
      </c>
      <c r="B247" s="33" t="n"/>
      <c r="C247" s="33" t="n"/>
      <c r="D247" s="33" t="n"/>
      <c r="E247" s="33" t="inlineStr">
        <is>
          <t>-</t>
        </is>
      </c>
      <c r="F247" s="54">
        <f>IFERROR((VLOOKUP(E247,$AE$11:$AG$14,3,0)),"-")</f>
        <v/>
      </c>
      <c r="G247" s="33" t="n"/>
      <c r="H247" s="33" t="n"/>
      <c r="I247" s="46" t="n"/>
      <c r="J247" s="35" t="n"/>
      <c r="K247" s="35" t="n"/>
      <c r="L247" s="36">
        <f>IF($H$4="-",0,IF($H$4="VAREJO",AW247,IF($H$4="ATACADO",AX247,0)))</f>
        <v/>
      </c>
      <c r="M247" s="33" t="n"/>
      <c r="AN247" s="47" t="n">
        <v>237</v>
      </c>
      <c r="AO247" s="117">
        <f>I247+(I247*J247)+(I247*K247)</f>
        <v/>
      </c>
      <c r="AP247" s="43">
        <f>IFERROR(VLOOKUP(E247,$AE$11:$AK$14,4,0),0)</f>
        <v/>
      </c>
      <c r="AQ247" s="117">
        <f>(I247+(I247*J247)+(I247*K247))*AP247</f>
        <v/>
      </c>
      <c r="AR247" s="118">
        <f>AO247+AQ247</f>
        <v/>
      </c>
      <c r="AT247" s="39">
        <f>IFERROR((VLOOKUP(E247,$AE$11:$AJ$14,5,0)),0)</f>
        <v/>
      </c>
      <c r="AU247" s="39">
        <f>IFERROR((VLOOKUP(E247,$AE$11:$AJ$14,6,0)),0)</f>
        <v/>
      </c>
      <c r="AW247" s="119">
        <f>AR247*AT247</f>
        <v/>
      </c>
      <c r="AX247" s="119">
        <f>AR247*AU247</f>
        <v/>
      </c>
    </row>
    <row r="248">
      <c r="A248" s="32" t="n">
        <v>238</v>
      </c>
      <c r="B248" s="33" t="n"/>
      <c r="C248" s="33" t="n"/>
      <c r="D248" s="33" t="n"/>
      <c r="E248" s="33" t="inlineStr">
        <is>
          <t>-</t>
        </is>
      </c>
      <c r="F248" s="54">
        <f>IFERROR((VLOOKUP(E248,$AE$11:$AG$14,3,0)),"-")</f>
        <v/>
      </c>
      <c r="G248" s="33" t="n"/>
      <c r="H248" s="33" t="n"/>
      <c r="I248" s="46" t="n"/>
      <c r="J248" s="35" t="n"/>
      <c r="K248" s="35" t="n"/>
      <c r="L248" s="36">
        <f>IF($H$4="-",0,IF($H$4="VAREJO",AW248,IF($H$4="ATACADO",AX248,0)))</f>
        <v/>
      </c>
      <c r="M248" s="33" t="n"/>
      <c r="AN248" s="47" t="n">
        <v>238</v>
      </c>
      <c r="AO248" s="117">
        <f>I248+(I248*J248)+(I248*K248)</f>
        <v/>
      </c>
      <c r="AP248" s="43">
        <f>IFERROR(VLOOKUP(E248,$AE$11:$AK$14,4,0),0)</f>
        <v/>
      </c>
      <c r="AQ248" s="117">
        <f>(I248+(I248*J248)+(I248*K248))*AP248</f>
        <v/>
      </c>
      <c r="AR248" s="118">
        <f>AO248+AQ248</f>
        <v/>
      </c>
      <c r="AT248" s="39">
        <f>IFERROR((VLOOKUP(E248,$AE$11:$AJ$14,5,0)),0)</f>
        <v/>
      </c>
      <c r="AU248" s="39">
        <f>IFERROR((VLOOKUP(E248,$AE$11:$AJ$14,6,0)),0)</f>
        <v/>
      </c>
      <c r="AW248" s="119">
        <f>AR248*AT248</f>
        <v/>
      </c>
      <c r="AX248" s="119">
        <f>AR248*AU248</f>
        <v/>
      </c>
    </row>
    <row r="249">
      <c r="A249" s="32" t="n">
        <v>239</v>
      </c>
      <c r="B249" s="33" t="n"/>
      <c r="C249" s="33" t="n"/>
      <c r="D249" s="33" t="n"/>
      <c r="E249" s="33" t="inlineStr">
        <is>
          <t>-</t>
        </is>
      </c>
      <c r="F249" s="54">
        <f>IFERROR((VLOOKUP(E249,$AE$11:$AG$14,3,0)),"-")</f>
        <v/>
      </c>
      <c r="G249" s="33" t="n"/>
      <c r="H249" s="33" t="n"/>
      <c r="I249" s="46" t="n"/>
      <c r="J249" s="35" t="n"/>
      <c r="K249" s="35" t="n"/>
      <c r="L249" s="36">
        <f>IF($H$4="-",0,IF($H$4="VAREJO",AW249,IF($H$4="ATACADO",AX249,0)))</f>
        <v/>
      </c>
      <c r="M249" s="33" t="n"/>
      <c r="AN249" s="47" t="n">
        <v>239</v>
      </c>
      <c r="AO249" s="117">
        <f>I249+(I249*J249)+(I249*K249)</f>
        <v/>
      </c>
      <c r="AP249" s="43">
        <f>IFERROR(VLOOKUP(E249,$AE$11:$AK$14,4,0),0)</f>
        <v/>
      </c>
      <c r="AQ249" s="117">
        <f>(I249+(I249*J249)+(I249*K249))*AP249</f>
        <v/>
      </c>
      <c r="AR249" s="118">
        <f>AO249+AQ249</f>
        <v/>
      </c>
      <c r="AT249" s="39">
        <f>IFERROR((VLOOKUP(E249,$AE$11:$AJ$14,5,0)),0)</f>
        <v/>
      </c>
      <c r="AU249" s="39">
        <f>IFERROR((VLOOKUP(E249,$AE$11:$AJ$14,6,0)),0)</f>
        <v/>
      </c>
      <c r="AW249" s="119">
        <f>AR249*AT249</f>
        <v/>
      </c>
      <c r="AX249" s="119">
        <f>AR249*AU249</f>
        <v/>
      </c>
    </row>
    <row r="250">
      <c r="A250" s="32" t="n">
        <v>240</v>
      </c>
      <c r="B250" s="33" t="n"/>
      <c r="C250" s="33" t="n"/>
      <c r="D250" s="33" t="n"/>
      <c r="E250" s="33" t="inlineStr">
        <is>
          <t>-</t>
        </is>
      </c>
      <c r="F250" s="54">
        <f>IFERROR((VLOOKUP(E250,$AE$11:$AG$14,3,0)),"-")</f>
        <v/>
      </c>
      <c r="G250" s="33" t="n"/>
      <c r="H250" s="33" t="n"/>
      <c r="I250" s="46" t="n"/>
      <c r="J250" s="35" t="n"/>
      <c r="K250" s="35" t="n"/>
      <c r="L250" s="36">
        <f>IF($H$4="-",0,IF($H$4="VAREJO",AW250,IF($H$4="ATACADO",AX250,0)))</f>
        <v/>
      </c>
      <c r="M250" s="33" t="n"/>
      <c r="AN250" s="47" t="n">
        <v>240</v>
      </c>
      <c r="AO250" s="117">
        <f>I250+(I250*J250)+(I250*K250)</f>
        <v/>
      </c>
      <c r="AP250" s="43">
        <f>IFERROR(VLOOKUP(E250,$AE$11:$AK$14,4,0),0)</f>
        <v/>
      </c>
      <c r="AQ250" s="117">
        <f>(I250+(I250*J250)+(I250*K250))*AP250</f>
        <v/>
      </c>
      <c r="AR250" s="118">
        <f>AO250+AQ250</f>
        <v/>
      </c>
      <c r="AT250" s="39">
        <f>IFERROR((VLOOKUP(E250,$AE$11:$AJ$14,5,0)),0)</f>
        <v/>
      </c>
      <c r="AU250" s="39">
        <f>IFERROR((VLOOKUP(E250,$AE$11:$AJ$14,6,0)),0)</f>
        <v/>
      </c>
      <c r="AW250" s="119">
        <f>AR250*AT250</f>
        <v/>
      </c>
      <c r="AX250" s="119">
        <f>AR250*AU250</f>
        <v/>
      </c>
    </row>
    <row r="251">
      <c r="A251" s="32" t="n">
        <v>241</v>
      </c>
      <c r="B251" s="33" t="n"/>
      <c r="C251" s="33" t="n"/>
      <c r="D251" s="33" t="n"/>
      <c r="E251" s="33" t="inlineStr">
        <is>
          <t>-</t>
        </is>
      </c>
      <c r="F251" s="54">
        <f>IFERROR((VLOOKUP(E251,$AE$11:$AG$14,3,0)),"-")</f>
        <v/>
      </c>
      <c r="G251" s="33" t="n"/>
      <c r="H251" s="33" t="n"/>
      <c r="I251" s="46" t="n"/>
      <c r="J251" s="35" t="n"/>
      <c r="K251" s="35" t="n"/>
      <c r="L251" s="36">
        <f>IF($H$4="-",0,IF($H$4="VAREJO",AW251,IF($H$4="ATACADO",AX251,0)))</f>
        <v/>
      </c>
      <c r="M251" s="33" t="n"/>
      <c r="AN251" s="47" t="n">
        <v>241</v>
      </c>
      <c r="AO251" s="117">
        <f>I251+(I251*J251)+(I251*K251)</f>
        <v/>
      </c>
      <c r="AP251" s="43">
        <f>IFERROR(VLOOKUP(E251,$AE$11:$AK$14,4,0),0)</f>
        <v/>
      </c>
      <c r="AQ251" s="117">
        <f>(I251+(I251*J251)+(I251*K251))*AP251</f>
        <v/>
      </c>
      <c r="AR251" s="118">
        <f>AO251+AQ251</f>
        <v/>
      </c>
      <c r="AT251" s="39">
        <f>IFERROR((VLOOKUP(E251,$AE$11:$AJ$14,5,0)),0)</f>
        <v/>
      </c>
      <c r="AU251" s="39">
        <f>IFERROR((VLOOKUP(E251,$AE$11:$AJ$14,6,0)),0)</f>
        <v/>
      </c>
      <c r="AW251" s="119">
        <f>AR251*AT251</f>
        <v/>
      </c>
      <c r="AX251" s="119">
        <f>AR251*AU251</f>
        <v/>
      </c>
    </row>
    <row r="252">
      <c r="A252" s="32" t="n">
        <v>242</v>
      </c>
      <c r="B252" s="33" t="n"/>
      <c r="C252" s="33" t="n"/>
      <c r="D252" s="33" t="n"/>
      <c r="E252" s="33" t="inlineStr">
        <is>
          <t>-</t>
        </is>
      </c>
      <c r="F252" s="54">
        <f>IFERROR((VLOOKUP(E252,$AE$11:$AG$14,3,0)),"-")</f>
        <v/>
      </c>
      <c r="G252" s="33" t="n"/>
      <c r="H252" s="33" t="n"/>
      <c r="I252" s="46" t="n"/>
      <c r="J252" s="35" t="n"/>
      <c r="K252" s="35" t="n"/>
      <c r="L252" s="36">
        <f>IF($H$4="-",0,IF($H$4="VAREJO",AW252,IF($H$4="ATACADO",AX252,0)))</f>
        <v/>
      </c>
      <c r="M252" s="33" t="n"/>
      <c r="AN252" s="47" t="n">
        <v>242</v>
      </c>
      <c r="AO252" s="117">
        <f>I252+(I252*J252)+(I252*K252)</f>
        <v/>
      </c>
      <c r="AP252" s="43">
        <f>IFERROR(VLOOKUP(E252,$AE$11:$AK$14,4,0),0)</f>
        <v/>
      </c>
      <c r="AQ252" s="117">
        <f>(I252+(I252*J252)+(I252*K252))*AP252</f>
        <v/>
      </c>
      <c r="AR252" s="118">
        <f>AO252+AQ252</f>
        <v/>
      </c>
      <c r="AT252" s="39">
        <f>IFERROR((VLOOKUP(E252,$AE$11:$AJ$14,5,0)),0)</f>
        <v/>
      </c>
      <c r="AU252" s="39">
        <f>IFERROR((VLOOKUP(E252,$AE$11:$AJ$14,6,0)),0)</f>
        <v/>
      </c>
      <c r="AW252" s="119">
        <f>AR252*AT252</f>
        <v/>
      </c>
      <c r="AX252" s="119">
        <f>AR252*AU252</f>
        <v/>
      </c>
    </row>
    <row r="253">
      <c r="A253" s="32" t="n">
        <v>243</v>
      </c>
      <c r="B253" s="33" t="n"/>
      <c r="C253" s="33" t="n"/>
      <c r="D253" s="33" t="n"/>
      <c r="E253" s="33" t="inlineStr">
        <is>
          <t>-</t>
        </is>
      </c>
      <c r="F253" s="54">
        <f>IFERROR((VLOOKUP(E253,$AE$11:$AG$14,3,0)),"-")</f>
        <v/>
      </c>
      <c r="G253" s="33" t="n"/>
      <c r="H253" s="33" t="n"/>
      <c r="I253" s="46" t="n"/>
      <c r="J253" s="35" t="n"/>
      <c r="K253" s="35" t="n"/>
      <c r="L253" s="36">
        <f>IF($H$4="-",0,IF($H$4="VAREJO",AW253,IF($H$4="ATACADO",AX253,0)))</f>
        <v/>
      </c>
      <c r="M253" s="33" t="n"/>
      <c r="AN253" s="47" t="n">
        <v>243</v>
      </c>
      <c r="AO253" s="117">
        <f>I253+(I253*J253)+(I253*K253)</f>
        <v/>
      </c>
      <c r="AP253" s="43">
        <f>IFERROR(VLOOKUP(E253,$AE$11:$AK$14,4,0),0)</f>
        <v/>
      </c>
      <c r="AQ253" s="117">
        <f>(I253+(I253*J253)+(I253*K253))*AP253</f>
        <v/>
      </c>
      <c r="AR253" s="118">
        <f>AO253+AQ253</f>
        <v/>
      </c>
      <c r="AT253" s="39">
        <f>IFERROR((VLOOKUP(E253,$AE$11:$AJ$14,5,0)),0)</f>
        <v/>
      </c>
      <c r="AU253" s="39">
        <f>IFERROR((VLOOKUP(E253,$AE$11:$AJ$14,6,0)),0)</f>
        <v/>
      </c>
      <c r="AW253" s="119">
        <f>AR253*AT253</f>
        <v/>
      </c>
      <c r="AX253" s="119">
        <f>AR253*AU253</f>
        <v/>
      </c>
    </row>
    <row r="254">
      <c r="A254" s="32" t="n">
        <v>244</v>
      </c>
      <c r="B254" s="33" t="n"/>
      <c r="C254" s="33" t="n"/>
      <c r="D254" s="33" t="n"/>
      <c r="E254" s="33" t="inlineStr">
        <is>
          <t>-</t>
        </is>
      </c>
      <c r="F254" s="54">
        <f>IFERROR((VLOOKUP(E254,$AE$11:$AG$14,3,0)),"-")</f>
        <v/>
      </c>
      <c r="G254" s="33" t="n"/>
      <c r="H254" s="33" t="n"/>
      <c r="I254" s="46" t="n"/>
      <c r="J254" s="35" t="n"/>
      <c r="K254" s="35" t="n"/>
      <c r="L254" s="36">
        <f>IF($H$4="-",0,IF($H$4="VAREJO",AW254,IF($H$4="ATACADO",AX254,0)))</f>
        <v/>
      </c>
      <c r="M254" s="33" t="n"/>
      <c r="AN254" s="47" t="n">
        <v>244</v>
      </c>
      <c r="AO254" s="117">
        <f>I254+(I254*J254)+(I254*K254)</f>
        <v/>
      </c>
      <c r="AP254" s="43">
        <f>IFERROR(VLOOKUP(E254,$AE$11:$AK$14,4,0),0)</f>
        <v/>
      </c>
      <c r="AQ254" s="117">
        <f>(I254+(I254*J254)+(I254*K254))*AP254</f>
        <v/>
      </c>
      <c r="AR254" s="118">
        <f>AO254+AQ254</f>
        <v/>
      </c>
      <c r="AT254" s="39">
        <f>IFERROR((VLOOKUP(E254,$AE$11:$AJ$14,5,0)),0)</f>
        <v/>
      </c>
      <c r="AU254" s="39">
        <f>IFERROR((VLOOKUP(E254,$AE$11:$AJ$14,6,0)),0)</f>
        <v/>
      </c>
      <c r="AW254" s="119">
        <f>AR254*AT254</f>
        <v/>
      </c>
      <c r="AX254" s="119">
        <f>AR254*AU254</f>
        <v/>
      </c>
    </row>
    <row r="255">
      <c r="A255" s="32" t="n">
        <v>245</v>
      </c>
      <c r="B255" s="33" t="n"/>
      <c r="C255" s="33" t="n"/>
      <c r="D255" s="33" t="n"/>
      <c r="E255" s="33" t="inlineStr">
        <is>
          <t>-</t>
        </is>
      </c>
      <c r="F255" s="54">
        <f>IFERROR((VLOOKUP(E255,$AE$11:$AG$14,3,0)),"-")</f>
        <v/>
      </c>
      <c r="G255" s="33" t="n"/>
      <c r="H255" s="33" t="n"/>
      <c r="I255" s="46" t="n"/>
      <c r="J255" s="35" t="n"/>
      <c r="K255" s="35" t="n"/>
      <c r="L255" s="36">
        <f>IF($H$4="-",0,IF($H$4="VAREJO",AW255,IF($H$4="ATACADO",AX255,0)))</f>
        <v/>
      </c>
      <c r="M255" s="33" t="n"/>
      <c r="AN255" s="47" t="n">
        <v>245</v>
      </c>
      <c r="AO255" s="117">
        <f>I255+(I255*J255)+(I255*K255)</f>
        <v/>
      </c>
      <c r="AP255" s="43">
        <f>IFERROR(VLOOKUP(E255,$AE$11:$AK$14,4,0),0)</f>
        <v/>
      </c>
      <c r="AQ255" s="117">
        <f>(I255+(I255*J255)+(I255*K255))*AP255</f>
        <v/>
      </c>
      <c r="AR255" s="118">
        <f>AO255+AQ255</f>
        <v/>
      </c>
      <c r="AT255" s="39">
        <f>IFERROR((VLOOKUP(E255,$AE$11:$AJ$14,5,0)),0)</f>
        <v/>
      </c>
      <c r="AU255" s="39">
        <f>IFERROR((VLOOKUP(E255,$AE$11:$AJ$14,6,0)),0)</f>
        <v/>
      </c>
      <c r="AW255" s="119">
        <f>AR255*AT255</f>
        <v/>
      </c>
      <c r="AX255" s="119">
        <f>AR255*AU255</f>
        <v/>
      </c>
    </row>
    <row r="256">
      <c r="A256" s="32" t="n">
        <v>246</v>
      </c>
      <c r="B256" s="33" t="n"/>
      <c r="C256" s="33" t="n"/>
      <c r="D256" s="33" t="n"/>
      <c r="E256" s="33" t="inlineStr">
        <is>
          <t>-</t>
        </is>
      </c>
      <c r="F256" s="54">
        <f>IFERROR((VLOOKUP(E256,$AE$11:$AG$14,3,0)),"-")</f>
        <v/>
      </c>
      <c r="G256" s="33" t="n"/>
      <c r="H256" s="33" t="n"/>
      <c r="I256" s="46" t="n"/>
      <c r="J256" s="35" t="n"/>
      <c r="K256" s="35" t="n"/>
      <c r="L256" s="36">
        <f>IF($H$4="-",0,IF($H$4="VAREJO",AW256,IF($H$4="ATACADO",AX256,0)))</f>
        <v/>
      </c>
      <c r="M256" s="33" t="n"/>
      <c r="AN256" s="47" t="n">
        <v>246</v>
      </c>
      <c r="AO256" s="117">
        <f>I256+(I256*J256)+(I256*K256)</f>
        <v/>
      </c>
      <c r="AP256" s="43">
        <f>IFERROR(VLOOKUP(E256,$AE$11:$AK$14,4,0),0)</f>
        <v/>
      </c>
      <c r="AQ256" s="117">
        <f>(I256+(I256*J256)+(I256*K256))*AP256</f>
        <v/>
      </c>
      <c r="AR256" s="118">
        <f>AO256+AQ256</f>
        <v/>
      </c>
      <c r="AT256" s="39">
        <f>IFERROR((VLOOKUP(E256,$AE$11:$AJ$14,5,0)),0)</f>
        <v/>
      </c>
      <c r="AU256" s="39">
        <f>IFERROR((VLOOKUP(E256,$AE$11:$AJ$14,6,0)),0)</f>
        <v/>
      </c>
      <c r="AW256" s="119">
        <f>AR256*AT256</f>
        <v/>
      </c>
      <c r="AX256" s="119">
        <f>AR256*AU256</f>
        <v/>
      </c>
    </row>
    <row r="257">
      <c r="A257" s="32" t="n">
        <v>247</v>
      </c>
      <c r="B257" s="33" t="n"/>
      <c r="C257" s="33" t="n"/>
      <c r="D257" s="33" t="n"/>
      <c r="E257" s="33" t="inlineStr">
        <is>
          <t>-</t>
        </is>
      </c>
      <c r="F257" s="54">
        <f>IFERROR((VLOOKUP(E257,$AE$11:$AG$14,3,0)),"-")</f>
        <v/>
      </c>
      <c r="G257" s="33" t="n"/>
      <c r="H257" s="33" t="n"/>
      <c r="I257" s="46" t="n"/>
      <c r="J257" s="35" t="n"/>
      <c r="K257" s="35" t="n"/>
      <c r="L257" s="36">
        <f>IF($H$4="-",0,IF($H$4="VAREJO",AW257,IF($H$4="ATACADO",AX257,0)))</f>
        <v/>
      </c>
      <c r="M257" s="33" t="n"/>
      <c r="AN257" s="47" t="n">
        <v>247</v>
      </c>
      <c r="AO257" s="117">
        <f>I257+(I257*J257)+(I257*K257)</f>
        <v/>
      </c>
      <c r="AP257" s="43">
        <f>IFERROR(VLOOKUP(E257,$AE$11:$AK$14,4,0),0)</f>
        <v/>
      </c>
      <c r="AQ257" s="117">
        <f>(I257+(I257*J257)+(I257*K257))*AP257</f>
        <v/>
      </c>
      <c r="AR257" s="118">
        <f>AO257+AQ257</f>
        <v/>
      </c>
      <c r="AT257" s="39">
        <f>IFERROR((VLOOKUP(E257,$AE$11:$AJ$14,5,0)),0)</f>
        <v/>
      </c>
      <c r="AU257" s="39">
        <f>IFERROR((VLOOKUP(E257,$AE$11:$AJ$14,6,0)),0)</f>
        <v/>
      </c>
      <c r="AW257" s="119">
        <f>AR257*AT257</f>
        <v/>
      </c>
      <c r="AX257" s="119">
        <f>AR257*AU257</f>
        <v/>
      </c>
    </row>
    <row r="258">
      <c r="A258" s="32" t="n">
        <v>248</v>
      </c>
      <c r="B258" s="33" t="n"/>
      <c r="C258" s="33" t="n"/>
      <c r="D258" s="33" t="n"/>
      <c r="E258" s="33" t="inlineStr">
        <is>
          <t>-</t>
        </is>
      </c>
      <c r="F258" s="54">
        <f>IFERROR((VLOOKUP(E258,$AE$11:$AG$14,3,0)),"-")</f>
        <v/>
      </c>
      <c r="G258" s="33" t="n"/>
      <c r="H258" s="33" t="n"/>
      <c r="I258" s="46" t="n"/>
      <c r="J258" s="35" t="n"/>
      <c r="K258" s="35" t="n"/>
      <c r="L258" s="36">
        <f>IF($H$4="-",0,IF($H$4="VAREJO",AW258,IF($H$4="ATACADO",AX258,0)))</f>
        <v/>
      </c>
      <c r="M258" s="33" t="n"/>
      <c r="AN258" s="47" t="n">
        <v>248</v>
      </c>
      <c r="AO258" s="117">
        <f>I258+(I258*J258)+(I258*K258)</f>
        <v/>
      </c>
      <c r="AP258" s="43">
        <f>IFERROR(VLOOKUP(E258,$AE$11:$AK$14,4,0),0)</f>
        <v/>
      </c>
      <c r="AQ258" s="117">
        <f>(I258+(I258*J258)+(I258*K258))*AP258</f>
        <v/>
      </c>
      <c r="AR258" s="118">
        <f>AO258+AQ258</f>
        <v/>
      </c>
      <c r="AT258" s="39">
        <f>IFERROR((VLOOKUP(E258,$AE$11:$AJ$14,5,0)),0)</f>
        <v/>
      </c>
      <c r="AU258" s="39">
        <f>IFERROR((VLOOKUP(E258,$AE$11:$AJ$14,6,0)),0)</f>
        <v/>
      </c>
      <c r="AW258" s="119">
        <f>AR258*AT258</f>
        <v/>
      </c>
      <c r="AX258" s="119">
        <f>AR258*AU258</f>
        <v/>
      </c>
    </row>
    <row r="259">
      <c r="A259" s="32" t="n">
        <v>249</v>
      </c>
      <c r="B259" s="33" t="n"/>
      <c r="C259" s="33" t="n"/>
      <c r="D259" s="33" t="n"/>
      <c r="E259" s="33" t="inlineStr">
        <is>
          <t>-</t>
        </is>
      </c>
      <c r="F259" s="54">
        <f>IFERROR((VLOOKUP(E259,$AE$11:$AG$14,3,0)),"-")</f>
        <v/>
      </c>
      <c r="G259" s="33" t="n"/>
      <c r="H259" s="33" t="n"/>
      <c r="I259" s="46" t="n"/>
      <c r="J259" s="35" t="n"/>
      <c r="K259" s="35" t="n"/>
      <c r="L259" s="36">
        <f>IF($H$4="-",0,IF($H$4="VAREJO",AW259,IF($H$4="ATACADO",AX259,0)))</f>
        <v/>
      </c>
      <c r="M259" s="33" t="n"/>
      <c r="AN259" s="47" t="n">
        <v>249</v>
      </c>
      <c r="AO259" s="117">
        <f>I259+(I259*J259)+(I259*K259)</f>
        <v/>
      </c>
      <c r="AP259" s="43">
        <f>IFERROR(VLOOKUP(E259,$AE$11:$AK$14,4,0),0)</f>
        <v/>
      </c>
      <c r="AQ259" s="117">
        <f>(I259+(I259*J259)+(I259*K259))*AP259</f>
        <v/>
      </c>
      <c r="AR259" s="118">
        <f>AO259+AQ259</f>
        <v/>
      </c>
      <c r="AT259" s="39">
        <f>IFERROR((VLOOKUP(E259,$AE$11:$AJ$14,5,0)),0)</f>
        <v/>
      </c>
      <c r="AU259" s="39">
        <f>IFERROR((VLOOKUP(E259,$AE$11:$AJ$14,6,0)),0)</f>
        <v/>
      </c>
      <c r="AW259" s="119">
        <f>AR259*AT259</f>
        <v/>
      </c>
      <c r="AX259" s="119">
        <f>AR259*AU259</f>
        <v/>
      </c>
    </row>
    <row r="260">
      <c r="A260" s="32" t="n">
        <v>250</v>
      </c>
      <c r="B260" s="33" t="n"/>
      <c r="C260" s="33" t="n"/>
      <c r="D260" s="33" t="n"/>
      <c r="E260" s="33" t="inlineStr">
        <is>
          <t>-</t>
        </is>
      </c>
      <c r="F260" s="54">
        <f>IFERROR((VLOOKUP(E260,$AE$11:$AG$14,3,0)),"-")</f>
        <v/>
      </c>
      <c r="G260" s="33" t="n"/>
      <c r="H260" s="33" t="n"/>
      <c r="I260" s="46" t="n"/>
      <c r="J260" s="35" t="n"/>
      <c r="K260" s="35" t="n"/>
      <c r="L260" s="36">
        <f>IF($H$4="-",0,IF($H$4="VAREJO",AW260,IF($H$4="ATACADO",AX260,0)))</f>
        <v/>
      </c>
      <c r="M260" s="33" t="n"/>
      <c r="AN260" s="47" t="n">
        <v>250</v>
      </c>
      <c r="AO260" s="117">
        <f>I260+(I260*J260)+(I260*K260)</f>
        <v/>
      </c>
      <c r="AP260" s="43">
        <f>IFERROR(VLOOKUP(E260,$AE$11:$AK$14,4,0),0)</f>
        <v/>
      </c>
      <c r="AQ260" s="117">
        <f>(I260+(I260*J260)+(I260*K260))*AP260</f>
        <v/>
      </c>
      <c r="AR260" s="118">
        <f>AO260+AQ260</f>
        <v/>
      </c>
      <c r="AT260" s="39">
        <f>IFERROR((VLOOKUP(E260,$AE$11:$AJ$14,5,0)),0)</f>
        <v/>
      </c>
      <c r="AU260" s="39">
        <f>IFERROR((VLOOKUP(E260,$AE$11:$AJ$14,6,0)),0)</f>
        <v/>
      </c>
      <c r="AW260" s="119">
        <f>AR260*AT260</f>
        <v/>
      </c>
      <c r="AX260" s="119">
        <f>AR260*AU260</f>
        <v/>
      </c>
    </row>
    <row r="261">
      <c r="A261" s="32" t="n">
        <v>251</v>
      </c>
      <c r="B261" s="33" t="n"/>
      <c r="C261" s="33" t="n"/>
      <c r="D261" s="33" t="n"/>
      <c r="E261" s="33" t="inlineStr">
        <is>
          <t>-</t>
        </is>
      </c>
      <c r="F261" s="54">
        <f>IFERROR((VLOOKUP(E261,$AE$11:$AG$14,3,0)),"-")</f>
        <v/>
      </c>
      <c r="G261" s="33" t="n"/>
      <c r="H261" s="33" t="n"/>
      <c r="I261" s="46" t="n"/>
      <c r="J261" s="35" t="n"/>
      <c r="K261" s="35" t="n"/>
      <c r="L261" s="36">
        <f>IF($H$4="-",0,IF($H$4="VAREJO",AW261,IF($H$4="ATACADO",AX261,0)))</f>
        <v/>
      </c>
      <c r="M261" s="33" t="n"/>
      <c r="AN261" s="47" t="n">
        <v>251</v>
      </c>
      <c r="AO261" s="117">
        <f>I261+(I261*J261)+(I261*K261)</f>
        <v/>
      </c>
      <c r="AP261" s="43">
        <f>IFERROR(VLOOKUP(E261,$AE$11:$AK$14,4,0),0)</f>
        <v/>
      </c>
      <c r="AQ261" s="117">
        <f>(I261+(I261*J261)+(I261*K261))*AP261</f>
        <v/>
      </c>
      <c r="AR261" s="118">
        <f>AO261+AQ261</f>
        <v/>
      </c>
      <c r="AT261" s="39">
        <f>IFERROR((VLOOKUP(E261,$AE$11:$AJ$14,5,0)),0)</f>
        <v/>
      </c>
      <c r="AU261" s="39">
        <f>IFERROR((VLOOKUP(E261,$AE$11:$AJ$14,6,0)),0)</f>
        <v/>
      </c>
      <c r="AW261" s="119">
        <f>AR261*AT261</f>
        <v/>
      </c>
      <c r="AX261" s="119">
        <f>AR261*AU261</f>
        <v/>
      </c>
    </row>
    <row r="262">
      <c r="A262" s="32" t="n">
        <v>252</v>
      </c>
      <c r="B262" s="33" t="n"/>
      <c r="C262" s="33" t="n"/>
      <c r="D262" s="33" t="n"/>
      <c r="E262" s="33" t="inlineStr">
        <is>
          <t>-</t>
        </is>
      </c>
      <c r="F262" s="54">
        <f>IFERROR((VLOOKUP(E262,$AE$11:$AG$14,3,0)),"-")</f>
        <v/>
      </c>
      <c r="G262" s="33" t="n"/>
      <c r="H262" s="33" t="n"/>
      <c r="I262" s="46" t="n"/>
      <c r="J262" s="35" t="n"/>
      <c r="K262" s="35" t="n"/>
      <c r="L262" s="36">
        <f>IF($H$4="-",0,IF($H$4="VAREJO",AW262,IF($H$4="ATACADO",AX262,0)))</f>
        <v/>
      </c>
      <c r="M262" s="33" t="n"/>
      <c r="AN262" s="47" t="n">
        <v>252</v>
      </c>
      <c r="AO262" s="117">
        <f>I262+(I262*J262)+(I262*K262)</f>
        <v/>
      </c>
      <c r="AP262" s="43">
        <f>IFERROR(VLOOKUP(E262,$AE$11:$AK$14,4,0),0)</f>
        <v/>
      </c>
      <c r="AQ262" s="117">
        <f>(I262+(I262*J262)+(I262*K262))*AP262</f>
        <v/>
      </c>
      <c r="AR262" s="118">
        <f>AO262+AQ262</f>
        <v/>
      </c>
      <c r="AT262" s="39">
        <f>IFERROR((VLOOKUP(E262,$AE$11:$AJ$14,5,0)),0)</f>
        <v/>
      </c>
      <c r="AU262" s="39">
        <f>IFERROR((VLOOKUP(E262,$AE$11:$AJ$14,6,0)),0)</f>
        <v/>
      </c>
      <c r="AW262" s="119">
        <f>AR262*AT262</f>
        <v/>
      </c>
      <c r="AX262" s="119">
        <f>AR262*AU262</f>
        <v/>
      </c>
    </row>
    <row r="263">
      <c r="A263" s="32" t="n">
        <v>253</v>
      </c>
      <c r="B263" s="33" t="n"/>
      <c r="C263" s="33" t="n"/>
      <c r="D263" s="33" t="n"/>
      <c r="E263" s="33" t="inlineStr">
        <is>
          <t>-</t>
        </is>
      </c>
      <c r="F263" s="54">
        <f>IFERROR((VLOOKUP(E263,$AE$11:$AG$14,3,0)),"-")</f>
        <v/>
      </c>
      <c r="G263" s="33" t="n"/>
      <c r="H263" s="33" t="n"/>
      <c r="I263" s="46" t="n"/>
      <c r="J263" s="35" t="n"/>
      <c r="K263" s="35" t="n"/>
      <c r="L263" s="36">
        <f>IF($H$4="-",0,IF($H$4="VAREJO",AW263,IF($H$4="ATACADO",AX263,0)))</f>
        <v/>
      </c>
      <c r="M263" s="33" t="n"/>
      <c r="AN263" s="47" t="n">
        <v>253</v>
      </c>
      <c r="AO263" s="117">
        <f>I263+(I263*J263)+(I263*K263)</f>
        <v/>
      </c>
      <c r="AP263" s="43">
        <f>IFERROR(VLOOKUP(E263,$AE$11:$AK$14,4,0),0)</f>
        <v/>
      </c>
      <c r="AQ263" s="117">
        <f>(I263+(I263*J263)+(I263*K263))*AP263</f>
        <v/>
      </c>
      <c r="AR263" s="118">
        <f>AO263+AQ263</f>
        <v/>
      </c>
      <c r="AT263" s="39">
        <f>IFERROR((VLOOKUP(E263,$AE$11:$AJ$14,5,0)),0)</f>
        <v/>
      </c>
      <c r="AU263" s="39">
        <f>IFERROR((VLOOKUP(E263,$AE$11:$AJ$14,6,0)),0)</f>
        <v/>
      </c>
      <c r="AW263" s="119">
        <f>AR263*AT263</f>
        <v/>
      </c>
      <c r="AX263" s="119">
        <f>AR263*AU263</f>
        <v/>
      </c>
    </row>
    <row r="264">
      <c r="A264" s="32" t="n">
        <v>254</v>
      </c>
      <c r="B264" s="33" t="n"/>
      <c r="C264" s="33" t="n"/>
      <c r="D264" s="33" t="n"/>
      <c r="E264" s="33" t="inlineStr">
        <is>
          <t>-</t>
        </is>
      </c>
      <c r="F264" s="54">
        <f>IFERROR((VLOOKUP(E264,$AE$11:$AG$14,3,0)),"-")</f>
        <v/>
      </c>
      <c r="G264" s="33" t="n"/>
      <c r="H264" s="33" t="n"/>
      <c r="I264" s="46" t="n"/>
      <c r="J264" s="35" t="n"/>
      <c r="K264" s="35" t="n"/>
      <c r="L264" s="36">
        <f>IF($H$4="-",0,IF($H$4="VAREJO",AW264,IF($H$4="ATACADO",AX264,0)))</f>
        <v/>
      </c>
      <c r="M264" s="33" t="n"/>
      <c r="AN264" s="47" t="n">
        <v>254</v>
      </c>
      <c r="AO264" s="117">
        <f>I264+(I264*J264)+(I264*K264)</f>
        <v/>
      </c>
      <c r="AP264" s="43">
        <f>IFERROR(VLOOKUP(E264,$AE$11:$AK$14,4,0),0)</f>
        <v/>
      </c>
      <c r="AQ264" s="117">
        <f>(I264+(I264*J264)+(I264*K264))*AP264</f>
        <v/>
      </c>
      <c r="AR264" s="118">
        <f>AO264+AQ264</f>
        <v/>
      </c>
      <c r="AT264" s="39">
        <f>IFERROR((VLOOKUP(E264,$AE$11:$AJ$14,5,0)),0)</f>
        <v/>
      </c>
      <c r="AU264" s="39">
        <f>IFERROR((VLOOKUP(E264,$AE$11:$AJ$14,6,0)),0)</f>
        <v/>
      </c>
      <c r="AW264" s="119">
        <f>AR264*AT264</f>
        <v/>
      </c>
      <c r="AX264" s="119">
        <f>AR264*AU264</f>
        <v/>
      </c>
    </row>
    <row r="265">
      <c r="A265" s="32" t="n">
        <v>255</v>
      </c>
      <c r="B265" s="33" t="n"/>
      <c r="C265" s="33" t="n"/>
      <c r="D265" s="33" t="n"/>
      <c r="E265" s="33" t="inlineStr">
        <is>
          <t>-</t>
        </is>
      </c>
      <c r="F265" s="54">
        <f>IFERROR((VLOOKUP(E265,$AE$11:$AG$14,3,0)),"-")</f>
        <v/>
      </c>
      <c r="G265" s="33" t="n"/>
      <c r="H265" s="33" t="n"/>
      <c r="I265" s="46" t="n"/>
      <c r="J265" s="35" t="n"/>
      <c r="K265" s="35" t="n"/>
      <c r="L265" s="36">
        <f>IF($H$4="-",0,IF($H$4="VAREJO",AW265,IF($H$4="ATACADO",AX265,0)))</f>
        <v/>
      </c>
      <c r="M265" s="33" t="n"/>
      <c r="AN265" s="47" t="n">
        <v>255</v>
      </c>
      <c r="AO265" s="117">
        <f>I265+(I265*J265)+(I265*K265)</f>
        <v/>
      </c>
      <c r="AP265" s="43">
        <f>IFERROR(VLOOKUP(E265,$AE$11:$AK$14,4,0),0)</f>
        <v/>
      </c>
      <c r="AQ265" s="117">
        <f>(I265+(I265*J265)+(I265*K265))*AP265</f>
        <v/>
      </c>
      <c r="AR265" s="118">
        <f>AO265+AQ265</f>
        <v/>
      </c>
      <c r="AT265" s="39">
        <f>IFERROR((VLOOKUP(E265,$AE$11:$AJ$14,5,0)),0)</f>
        <v/>
      </c>
      <c r="AU265" s="39">
        <f>IFERROR((VLOOKUP(E265,$AE$11:$AJ$14,6,0)),0)</f>
        <v/>
      </c>
      <c r="AW265" s="119">
        <f>AR265*AT265</f>
        <v/>
      </c>
      <c r="AX265" s="119">
        <f>AR265*AU265</f>
        <v/>
      </c>
    </row>
    <row r="266">
      <c r="A266" s="32" t="n">
        <v>256</v>
      </c>
      <c r="B266" s="33" t="n"/>
      <c r="C266" s="33" t="n"/>
      <c r="D266" s="33" t="n"/>
      <c r="E266" s="33" t="inlineStr">
        <is>
          <t>-</t>
        </is>
      </c>
      <c r="F266" s="54">
        <f>IFERROR((VLOOKUP(E266,$AE$11:$AG$14,3,0)),"-")</f>
        <v/>
      </c>
      <c r="G266" s="33" t="n"/>
      <c r="H266" s="33" t="n"/>
      <c r="I266" s="46" t="n"/>
      <c r="J266" s="35" t="n"/>
      <c r="K266" s="35" t="n"/>
      <c r="L266" s="36">
        <f>IF($H$4="-",0,IF($H$4="VAREJO",AW266,IF($H$4="ATACADO",AX266,0)))</f>
        <v/>
      </c>
      <c r="M266" s="33" t="n"/>
      <c r="AN266" s="47" t="n">
        <v>256</v>
      </c>
      <c r="AO266" s="117">
        <f>I266+(I266*J266)+(I266*K266)</f>
        <v/>
      </c>
      <c r="AP266" s="43">
        <f>IFERROR(VLOOKUP(E266,$AE$11:$AK$14,4,0),0)</f>
        <v/>
      </c>
      <c r="AQ266" s="117">
        <f>(I266+(I266*J266)+(I266*K266))*AP266</f>
        <v/>
      </c>
      <c r="AR266" s="118">
        <f>AO266+AQ266</f>
        <v/>
      </c>
      <c r="AT266" s="39">
        <f>IFERROR((VLOOKUP(E266,$AE$11:$AJ$14,5,0)),0)</f>
        <v/>
      </c>
      <c r="AU266" s="39">
        <f>IFERROR((VLOOKUP(E266,$AE$11:$AJ$14,6,0)),0)</f>
        <v/>
      </c>
      <c r="AW266" s="119">
        <f>AR266*AT266</f>
        <v/>
      </c>
      <c r="AX266" s="119">
        <f>AR266*AU266</f>
        <v/>
      </c>
    </row>
    <row r="267">
      <c r="A267" s="32" t="n">
        <v>257</v>
      </c>
      <c r="B267" s="33" t="n"/>
      <c r="C267" s="33" t="n"/>
      <c r="D267" s="33" t="n"/>
      <c r="E267" s="33" t="inlineStr">
        <is>
          <t>-</t>
        </is>
      </c>
      <c r="F267" s="54">
        <f>IFERROR((VLOOKUP(E267,$AE$11:$AG$14,3,0)),"-")</f>
        <v/>
      </c>
      <c r="G267" s="33" t="n"/>
      <c r="H267" s="33" t="n"/>
      <c r="I267" s="46" t="n"/>
      <c r="J267" s="35" t="n"/>
      <c r="K267" s="35" t="n"/>
      <c r="L267" s="36">
        <f>IF($H$4="-",0,IF($H$4="VAREJO",AW267,IF($H$4="ATACADO",AX267,0)))</f>
        <v/>
      </c>
      <c r="M267" s="33" t="n"/>
      <c r="AN267" s="47" t="n">
        <v>257</v>
      </c>
      <c r="AO267" s="117">
        <f>I267+(I267*J267)+(I267*K267)</f>
        <v/>
      </c>
      <c r="AP267" s="43">
        <f>IFERROR(VLOOKUP(E267,$AE$11:$AK$14,4,0),0)</f>
        <v/>
      </c>
      <c r="AQ267" s="117">
        <f>(I267+(I267*J267)+(I267*K267))*AP267</f>
        <v/>
      </c>
      <c r="AR267" s="118">
        <f>AO267+AQ267</f>
        <v/>
      </c>
      <c r="AT267" s="39">
        <f>IFERROR((VLOOKUP(E267,$AE$11:$AJ$14,5,0)),0)</f>
        <v/>
      </c>
      <c r="AU267" s="39">
        <f>IFERROR((VLOOKUP(E267,$AE$11:$AJ$14,6,0)),0)</f>
        <v/>
      </c>
      <c r="AW267" s="119">
        <f>AR267*AT267</f>
        <v/>
      </c>
      <c r="AX267" s="119">
        <f>AR267*AU267</f>
        <v/>
      </c>
    </row>
    <row r="268">
      <c r="A268" s="32" t="n">
        <v>258</v>
      </c>
      <c r="B268" s="33" t="n"/>
      <c r="C268" s="33" t="n"/>
      <c r="D268" s="33" t="n"/>
      <c r="E268" s="33" t="inlineStr">
        <is>
          <t>-</t>
        </is>
      </c>
      <c r="F268" s="54">
        <f>IFERROR((VLOOKUP(E268,$AE$11:$AG$14,3,0)),"-")</f>
        <v/>
      </c>
      <c r="G268" s="33" t="n"/>
      <c r="H268" s="33" t="n"/>
      <c r="I268" s="46" t="n"/>
      <c r="J268" s="35" t="n"/>
      <c r="K268" s="35" t="n"/>
      <c r="L268" s="36">
        <f>IF($H$4="-",0,IF($H$4="VAREJO",AW268,IF($H$4="ATACADO",AX268,0)))</f>
        <v/>
      </c>
      <c r="M268" s="33" t="n"/>
      <c r="AN268" s="47" t="n">
        <v>258</v>
      </c>
      <c r="AO268" s="117">
        <f>I268+(I268*J268)+(I268*K268)</f>
        <v/>
      </c>
      <c r="AP268" s="43">
        <f>IFERROR(VLOOKUP(E268,$AE$11:$AK$14,4,0),0)</f>
        <v/>
      </c>
      <c r="AQ268" s="117">
        <f>(I268+(I268*J268)+(I268*K268))*AP268</f>
        <v/>
      </c>
      <c r="AR268" s="118">
        <f>AO268+AQ268</f>
        <v/>
      </c>
      <c r="AT268" s="39">
        <f>IFERROR((VLOOKUP(E268,$AE$11:$AJ$14,5,0)),0)</f>
        <v/>
      </c>
      <c r="AU268" s="39">
        <f>IFERROR((VLOOKUP(E268,$AE$11:$AJ$14,6,0)),0)</f>
        <v/>
      </c>
      <c r="AW268" s="119">
        <f>AR268*AT268</f>
        <v/>
      </c>
      <c r="AX268" s="119">
        <f>AR268*AU268</f>
        <v/>
      </c>
    </row>
    <row r="269">
      <c r="A269" s="32" t="n">
        <v>259</v>
      </c>
      <c r="B269" s="33" t="n"/>
      <c r="C269" s="33" t="n"/>
      <c r="D269" s="33" t="n"/>
      <c r="E269" s="33" t="inlineStr">
        <is>
          <t>-</t>
        </is>
      </c>
      <c r="F269" s="54">
        <f>IFERROR((VLOOKUP(E269,$AE$11:$AG$14,3,0)),"-")</f>
        <v/>
      </c>
      <c r="G269" s="33" t="n"/>
      <c r="H269" s="33" t="n"/>
      <c r="I269" s="46" t="n"/>
      <c r="J269" s="35" t="n"/>
      <c r="K269" s="35" t="n"/>
      <c r="L269" s="36">
        <f>IF($H$4="-",0,IF($H$4="VAREJO",AW269,IF($H$4="ATACADO",AX269,0)))</f>
        <v/>
      </c>
      <c r="M269" s="33" t="n"/>
      <c r="AN269" s="47" t="n">
        <v>259</v>
      </c>
      <c r="AO269" s="117">
        <f>I269+(I269*J269)+(I269*K269)</f>
        <v/>
      </c>
      <c r="AP269" s="43">
        <f>IFERROR(VLOOKUP(E269,$AE$11:$AK$14,4,0),0)</f>
        <v/>
      </c>
      <c r="AQ269" s="117">
        <f>(I269+(I269*J269)+(I269*K269))*AP269</f>
        <v/>
      </c>
      <c r="AR269" s="118">
        <f>AO269+AQ269</f>
        <v/>
      </c>
      <c r="AT269" s="39">
        <f>IFERROR((VLOOKUP(E269,$AE$11:$AJ$14,5,0)),0)</f>
        <v/>
      </c>
      <c r="AU269" s="39">
        <f>IFERROR((VLOOKUP(E269,$AE$11:$AJ$14,6,0)),0)</f>
        <v/>
      </c>
      <c r="AW269" s="119">
        <f>AR269*AT269</f>
        <v/>
      </c>
      <c r="AX269" s="119">
        <f>AR269*AU269</f>
        <v/>
      </c>
    </row>
    <row r="270">
      <c r="A270" s="32" t="n">
        <v>260</v>
      </c>
      <c r="B270" s="33" t="n"/>
      <c r="C270" s="33" t="n"/>
      <c r="D270" s="33" t="n"/>
      <c r="E270" s="33" t="inlineStr">
        <is>
          <t>-</t>
        </is>
      </c>
      <c r="F270" s="54">
        <f>IFERROR((VLOOKUP(E270,$AE$11:$AG$14,3,0)),"-")</f>
        <v/>
      </c>
      <c r="G270" s="33" t="n"/>
      <c r="H270" s="33" t="n"/>
      <c r="I270" s="46" t="n"/>
      <c r="J270" s="35" t="n"/>
      <c r="K270" s="35" t="n"/>
      <c r="L270" s="36">
        <f>IF($H$4="-",0,IF($H$4="VAREJO",AW270,IF($H$4="ATACADO",AX270,0)))</f>
        <v/>
      </c>
      <c r="M270" s="33" t="n"/>
      <c r="AN270" s="47" t="n">
        <v>260</v>
      </c>
      <c r="AO270" s="117">
        <f>I270+(I270*J270)+(I270*K270)</f>
        <v/>
      </c>
      <c r="AP270" s="43">
        <f>IFERROR(VLOOKUP(E270,$AE$11:$AK$14,4,0),0)</f>
        <v/>
      </c>
      <c r="AQ270" s="117">
        <f>(I270+(I270*J270)+(I270*K270))*AP270</f>
        <v/>
      </c>
      <c r="AR270" s="118">
        <f>AO270+AQ270</f>
        <v/>
      </c>
      <c r="AT270" s="39">
        <f>IFERROR((VLOOKUP(E270,$AE$11:$AJ$14,5,0)),0)</f>
        <v/>
      </c>
      <c r="AU270" s="39">
        <f>IFERROR((VLOOKUP(E270,$AE$11:$AJ$14,6,0)),0)</f>
        <v/>
      </c>
      <c r="AW270" s="119">
        <f>AR270*AT270</f>
        <v/>
      </c>
      <c r="AX270" s="119">
        <f>AR270*AU270</f>
        <v/>
      </c>
    </row>
    <row r="271">
      <c r="A271" s="32" t="n">
        <v>261</v>
      </c>
      <c r="B271" s="33" t="n"/>
      <c r="C271" s="33" t="n"/>
      <c r="D271" s="33" t="n"/>
      <c r="E271" s="33" t="inlineStr">
        <is>
          <t>-</t>
        </is>
      </c>
      <c r="F271" s="54">
        <f>IFERROR((VLOOKUP(E271,$AE$11:$AG$14,3,0)),"-")</f>
        <v/>
      </c>
      <c r="G271" s="33" t="n"/>
      <c r="H271" s="33" t="n"/>
      <c r="I271" s="46" t="n"/>
      <c r="J271" s="35" t="n"/>
      <c r="K271" s="35" t="n"/>
      <c r="L271" s="36">
        <f>IF($H$4="-",0,IF($H$4="VAREJO",AW271,IF($H$4="ATACADO",AX271,0)))</f>
        <v/>
      </c>
      <c r="M271" s="33" t="n"/>
      <c r="AN271" s="47" t="n">
        <v>261</v>
      </c>
      <c r="AO271" s="117">
        <f>I271+(I271*J271)+(I271*K271)</f>
        <v/>
      </c>
      <c r="AP271" s="43">
        <f>IFERROR(VLOOKUP(E271,$AE$11:$AK$14,4,0),0)</f>
        <v/>
      </c>
      <c r="AQ271" s="117">
        <f>(I271+(I271*J271)+(I271*K271))*AP271</f>
        <v/>
      </c>
      <c r="AR271" s="118">
        <f>AO271+AQ271</f>
        <v/>
      </c>
      <c r="AT271" s="39">
        <f>IFERROR((VLOOKUP(E271,$AE$11:$AJ$14,5,0)),0)</f>
        <v/>
      </c>
      <c r="AU271" s="39">
        <f>IFERROR((VLOOKUP(E271,$AE$11:$AJ$14,6,0)),0)</f>
        <v/>
      </c>
      <c r="AW271" s="119">
        <f>AR271*AT271</f>
        <v/>
      </c>
      <c r="AX271" s="119">
        <f>AR271*AU271</f>
        <v/>
      </c>
    </row>
    <row r="272">
      <c r="A272" s="32" t="n">
        <v>262</v>
      </c>
      <c r="B272" s="33" t="n"/>
      <c r="C272" s="33" t="n"/>
      <c r="D272" s="33" t="n"/>
      <c r="E272" s="33" t="inlineStr">
        <is>
          <t>-</t>
        </is>
      </c>
      <c r="F272" s="54">
        <f>IFERROR((VLOOKUP(E272,$AE$11:$AG$14,3,0)),"-")</f>
        <v/>
      </c>
      <c r="G272" s="33" t="n"/>
      <c r="H272" s="33" t="n"/>
      <c r="I272" s="46" t="n"/>
      <c r="J272" s="35" t="n"/>
      <c r="K272" s="35" t="n"/>
      <c r="L272" s="36">
        <f>IF($H$4="-",0,IF($H$4="VAREJO",AW272,IF($H$4="ATACADO",AX272,0)))</f>
        <v/>
      </c>
      <c r="M272" s="33" t="n"/>
      <c r="AN272" s="47" t="n">
        <v>262</v>
      </c>
      <c r="AO272" s="117">
        <f>I272+(I272*J272)+(I272*K272)</f>
        <v/>
      </c>
      <c r="AP272" s="43">
        <f>IFERROR(VLOOKUP(E272,$AE$11:$AK$14,4,0),0)</f>
        <v/>
      </c>
      <c r="AQ272" s="117">
        <f>(I272+(I272*J272)+(I272*K272))*AP272</f>
        <v/>
      </c>
      <c r="AR272" s="118">
        <f>AO272+AQ272</f>
        <v/>
      </c>
      <c r="AT272" s="39">
        <f>IFERROR((VLOOKUP(E272,$AE$11:$AJ$14,5,0)),0)</f>
        <v/>
      </c>
      <c r="AU272" s="39">
        <f>IFERROR((VLOOKUP(E272,$AE$11:$AJ$14,6,0)),0)</f>
        <v/>
      </c>
      <c r="AW272" s="119">
        <f>AR272*AT272</f>
        <v/>
      </c>
      <c r="AX272" s="119">
        <f>AR272*AU272</f>
        <v/>
      </c>
    </row>
    <row r="273">
      <c r="A273" s="32" t="n">
        <v>263</v>
      </c>
      <c r="B273" s="33" t="n"/>
      <c r="C273" s="33" t="n"/>
      <c r="D273" s="33" t="n"/>
      <c r="E273" s="33" t="inlineStr">
        <is>
          <t>-</t>
        </is>
      </c>
      <c r="F273" s="54">
        <f>IFERROR((VLOOKUP(E273,$AE$11:$AG$14,3,0)),"-")</f>
        <v/>
      </c>
      <c r="G273" s="33" t="n"/>
      <c r="H273" s="33" t="n"/>
      <c r="I273" s="46" t="n"/>
      <c r="J273" s="35" t="n"/>
      <c r="K273" s="35" t="n"/>
      <c r="L273" s="36">
        <f>IF($H$4="-",0,IF($H$4="VAREJO",AW273,IF($H$4="ATACADO",AX273,0)))</f>
        <v/>
      </c>
      <c r="M273" s="33" t="n"/>
      <c r="AN273" s="47" t="n">
        <v>263</v>
      </c>
      <c r="AO273" s="117">
        <f>I273+(I273*J273)+(I273*K273)</f>
        <v/>
      </c>
      <c r="AP273" s="43">
        <f>IFERROR(VLOOKUP(E273,$AE$11:$AK$14,4,0),0)</f>
        <v/>
      </c>
      <c r="AQ273" s="117">
        <f>(I273+(I273*J273)+(I273*K273))*AP273</f>
        <v/>
      </c>
      <c r="AR273" s="118">
        <f>AO273+AQ273</f>
        <v/>
      </c>
      <c r="AT273" s="39">
        <f>IFERROR((VLOOKUP(E273,$AE$11:$AJ$14,5,0)),0)</f>
        <v/>
      </c>
      <c r="AU273" s="39">
        <f>IFERROR((VLOOKUP(E273,$AE$11:$AJ$14,6,0)),0)</f>
        <v/>
      </c>
      <c r="AW273" s="119">
        <f>AR273*AT273</f>
        <v/>
      </c>
      <c r="AX273" s="119">
        <f>AR273*AU273</f>
        <v/>
      </c>
    </row>
    <row r="274">
      <c r="A274" s="32" t="n">
        <v>264</v>
      </c>
      <c r="B274" s="33" t="n"/>
      <c r="C274" s="33" t="n"/>
      <c r="D274" s="33" t="n"/>
      <c r="E274" s="33" t="inlineStr">
        <is>
          <t>-</t>
        </is>
      </c>
      <c r="F274" s="54">
        <f>IFERROR((VLOOKUP(E274,$AE$11:$AG$14,3,0)),"-")</f>
        <v/>
      </c>
      <c r="G274" s="33" t="n"/>
      <c r="H274" s="33" t="n"/>
      <c r="I274" s="46" t="n"/>
      <c r="J274" s="35" t="n"/>
      <c r="K274" s="35" t="n"/>
      <c r="L274" s="36">
        <f>IF($H$4="-",0,IF($H$4="VAREJO",AW274,IF($H$4="ATACADO",AX274,0)))</f>
        <v/>
      </c>
      <c r="M274" s="33" t="n"/>
      <c r="AN274" s="47" t="n">
        <v>264</v>
      </c>
      <c r="AO274" s="117">
        <f>I274+(I274*J274)+(I274*K274)</f>
        <v/>
      </c>
      <c r="AP274" s="43">
        <f>IFERROR(VLOOKUP(E274,$AE$11:$AK$14,4,0),0)</f>
        <v/>
      </c>
      <c r="AQ274" s="117">
        <f>(I274+(I274*J274)+(I274*K274))*AP274</f>
        <v/>
      </c>
      <c r="AR274" s="118">
        <f>AO274+AQ274</f>
        <v/>
      </c>
      <c r="AT274" s="39">
        <f>IFERROR((VLOOKUP(E274,$AE$11:$AJ$14,5,0)),0)</f>
        <v/>
      </c>
      <c r="AU274" s="39">
        <f>IFERROR((VLOOKUP(E274,$AE$11:$AJ$14,6,0)),0)</f>
        <v/>
      </c>
      <c r="AW274" s="119">
        <f>AR274*AT274</f>
        <v/>
      </c>
      <c r="AX274" s="119">
        <f>AR274*AU274</f>
        <v/>
      </c>
    </row>
    <row r="275">
      <c r="A275" s="32" t="n">
        <v>265</v>
      </c>
      <c r="B275" s="33" t="n"/>
      <c r="C275" s="33" t="n"/>
      <c r="D275" s="33" t="n"/>
      <c r="E275" s="33" t="inlineStr">
        <is>
          <t>-</t>
        </is>
      </c>
      <c r="F275" s="54">
        <f>IFERROR((VLOOKUP(E275,$AE$11:$AG$14,3,0)),"-")</f>
        <v/>
      </c>
      <c r="G275" s="33" t="n"/>
      <c r="H275" s="33" t="n"/>
      <c r="I275" s="46" t="n"/>
      <c r="J275" s="35" t="n"/>
      <c r="K275" s="35" t="n"/>
      <c r="L275" s="36">
        <f>IF($H$4="-",0,IF($H$4="VAREJO",AW275,IF($H$4="ATACADO",AX275,0)))</f>
        <v/>
      </c>
      <c r="M275" s="33" t="n"/>
      <c r="AN275" s="47" t="n">
        <v>265</v>
      </c>
      <c r="AO275" s="117">
        <f>I275+(I275*J275)+(I275*K275)</f>
        <v/>
      </c>
      <c r="AP275" s="43">
        <f>IFERROR(VLOOKUP(E275,$AE$11:$AK$14,4,0),0)</f>
        <v/>
      </c>
      <c r="AQ275" s="117">
        <f>(I275+(I275*J275)+(I275*K275))*AP275</f>
        <v/>
      </c>
      <c r="AR275" s="118">
        <f>AO275+AQ275</f>
        <v/>
      </c>
      <c r="AT275" s="39">
        <f>IFERROR((VLOOKUP(E275,$AE$11:$AJ$14,5,0)),0)</f>
        <v/>
      </c>
      <c r="AU275" s="39">
        <f>IFERROR((VLOOKUP(E275,$AE$11:$AJ$14,6,0)),0)</f>
        <v/>
      </c>
      <c r="AW275" s="119">
        <f>AR275*AT275</f>
        <v/>
      </c>
      <c r="AX275" s="119">
        <f>AR275*AU275</f>
        <v/>
      </c>
    </row>
    <row r="276">
      <c r="A276" s="32" t="n">
        <v>266</v>
      </c>
      <c r="B276" s="33" t="n"/>
      <c r="C276" s="33" t="n"/>
      <c r="D276" s="33" t="n"/>
      <c r="E276" s="33" t="inlineStr">
        <is>
          <t>-</t>
        </is>
      </c>
      <c r="F276" s="54">
        <f>IFERROR((VLOOKUP(E276,$AE$11:$AG$14,3,0)),"-")</f>
        <v/>
      </c>
      <c r="G276" s="33" t="n"/>
      <c r="H276" s="33" t="n"/>
      <c r="I276" s="46" t="n"/>
      <c r="J276" s="35" t="n"/>
      <c r="K276" s="35" t="n"/>
      <c r="L276" s="36">
        <f>IF($H$4="-",0,IF($H$4="VAREJO",AW276,IF($H$4="ATACADO",AX276,0)))</f>
        <v/>
      </c>
      <c r="M276" s="33" t="n"/>
      <c r="AN276" s="47" t="n">
        <v>266</v>
      </c>
      <c r="AO276" s="117">
        <f>I276+(I276*J276)+(I276*K276)</f>
        <v/>
      </c>
      <c r="AP276" s="43">
        <f>IFERROR(VLOOKUP(E276,$AE$11:$AK$14,4,0),0)</f>
        <v/>
      </c>
      <c r="AQ276" s="117">
        <f>(I276+(I276*J276)+(I276*K276))*AP276</f>
        <v/>
      </c>
      <c r="AR276" s="118">
        <f>AO276+AQ276</f>
        <v/>
      </c>
      <c r="AT276" s="39">
        <f>IFERROR((VLOOKUP(E276,$AE$11:$AJ$14,5,0)),0)</f>
        <v/>
      </c>
      <c r="AU276" s="39">
        <f>IFERROR((VLOOKUP(E276,$AE$11:$AJ$14,6,0)),0)</f>
        <v/>
      </c>
      <c r="AW276" s="119">
        <f>AR276*AT276</f>
        <v/>
      </c>
      <c r="AX276" s="119">
        <f>AR276*AU276</f>
        <v/>
      </c>
    </row>
    <row r="277">
      <c r="A277" s="32" t="n">
        <v>267</v>
      </c>
      <c r="B277" s="33" t="n"/>
      <c r="C277" s="33" t="n"/>
      <c r="D277" s="33" t="n"/>
      <c r="E277" s="33" t="inlineStr">
        <is>
          <t>-</t>
        </is>
      </c>
      <c r="F277" s="54">
        <f>IFERROR((VLOOKUP(E277,$AE$11:$AG$14,3,0)),"-")</f>
        <v/>
      </c>
      <c r="G277" s="33" t="n"/>
      <c r="H277" s="33" t="n"/>
      <c r="I277" s="46" t="n"/>
      <c r="J277" s="35" t="n"/>
      <c r="K277" s="35" t="n"/>
      <c r="L277" s="36">
        <f>IF($H$4="-",0,IF($H$4="VAREJO",AW277,IF($H$4="ATACADO",AX277,0)))</f>
        <v/>
      </c>
      <c r="M277" s="33" t="n"/>
      <c r="AN277" s="47" t="n">
        <v>267</v>
      </c>
      <c r="AO277" s="117">
        <f>I277+(I277*J277)+(I277*K277)</f>
        <v/>
      </c>
      <c r="AP277" s="43">
        <f>IFERROR(VLOOKUP(E277,$AE$11:$AK$14,4,0),0)</f>
        <v/>
      </c>
      <c r="AQ277" s="117">
        <f>(I277+(I277*J277)+(I277*K277))*AP277</f>
        <v/>
      </c>
      <c r="AR277" s="118">
        <f>AO277+AQ277</f>
        <v/>
      </c>
      <c r="AT277" s="39">
        <f>IFERROR((VLOOKUP(E277,$AE$11:$AJ$14,5,0)),0)</f>
        <v/>
      </c>
      <c r="AU277" s="39">
        <f>IFERROR((VLOOKUP(E277,$AE$11:$AJ$14,6,0)),0)</f>
        <v/>
      </c>
      <c r="AW277" s="119">
        <f>AR277*AT277</f>
        <v/>
      </c>
      <c r="AX277" s="119">
        <f>AR277*AU277</f>
        <v/>
      </c>
    </row>
    <row r="278">
      <c r="A278" s="32" t="n">
        <v>268</v>
      </c>
      <c r="B278" s="33" t="n"/>
      <c r="C278" s="33" t="n"/>
      <c r="D278" s="33" t="n"/>
      <c r="E278" s="33" t="inlineStr">
        <is>
          <t>-</t>
        </is>
      </c>
      <c r="F278" s="54">
        <f>IFERROR((VLOOKUP(E278,$AE$11:$AG$14,3,0)),"-")</f>
        <v/>
      </c>
      <c r="G278" s="33" t="n"/>
      <c r="H278" s="33" t="n"/>
      <c r="I278" s="46" t="n"/>
      <c r="J278" s="35" t="n"/>
      <c r="K278" s="35" t="n"/>
      <c r="L278" s="36">
        <f>IF($H$4="-",0,IF($H$4="VAREJO",AW278,IF($H$4="ATACADO",AX278,0)))</f>
        <v/>
      </c>
      <c r="M278" s="33" t="n"/>
      <c r="AN278" s="47" t="n">
        <v>268</v>
      </c>
      <c r="AO278" s="117">
        <f>I278+(I278*J278)+(I278*K278)</f>
        <v/>
      </c>
      <c r="AP278" s="43">
        <f>IFERROR(VLOOKUP(E278,$AE$11:$AK$14,4,0),0)</f>
        <v/>
      </c>
      <c r="AQ278" s="117">
        <f>(I278+(I278*J278)+(I278*K278))*AP278</f>
        <v/>
      </c>
      <c r="AR278" s="118">
        <f>AO278+AQ278</f>
        <v/>
      </c>
      <c r="AT278" s="39">
        <f>IFERROR((VLOOKUP(E278,$AE$11:$AJ$14,5,0)),0)</f>
        <v/>
      </c>
      <c r="AU278" s="39">
        <f>IFERROR((VLOOKUP(E278,$AE$11:$AJ$14,6,0)),0)</f>
        <v/>
      </c>
      <c r="AW278" s="119">
        <f>AR278*AT278</f>
        <v/>
      </c>
      <c r="AX278" s="119">
        <f>AR278*AU278</f>
        <v/>
      </c>
    </row>
    <row r="279">
      <c r="A279" s="32" t="n">
        <v>269</v>
      </c>
      <c r="B279" s="33" t="n"/>
      <c r="C279" s="33" t="n"/>
      <c r="D279" s="33" t="n"/>
      <c r="E279" s="33" t="inlineStr">
        <is>
          <t>-</t>
        </is>
      </c>
      <c r="F279" s="54">
        <f>IFERROR((VLOOKUP(E279,$AE$11:$AG$14,3,0)),"-")</f>
        <v/>
      </c>
      <c r="G279" s="33" t="n"/>
      <c r="H279" s="33" t="n"/>
      <c r="I279" s="46" t="n"/>
      <c r="J279" s="35" t="n"/>
      <c r="K279" s="35" t="n"/>
      <c r="L279" s="36">
        <f>IF($H$4="-",0,IF($H$4="VAREJO",AW279,IF($H$4="ATACADO",AX279,0)))</f>
        <v/>
      </c>
      <c r="M279" s="33" t="n"/>
      <c r="AN279" s="47" t="n">
        <v>269</v>
      </c>
      <c r="AO279" s="117">
        <f>I279+(I279*J279)+(I279*K279)</f>
        <v/>
      </c>
      <c r="AP279" s="43">
        <f>IFERROR(VLOOKUP(E279,$AE$11:$AK$14,4,0),0)</f>
        <v/>
      </c>
      <c r="AQ279" s="117">
        <f>(I279+(I279*J279)+(I279*K279))*AP279</f>
        <v/>
      </c>
      <c r="AR279" s="118">
        <f>AO279+AQ279</f>
        <v/>
      </c>
      <c r="AT279" s="39">
        <f>IFERROR((VLOOKUP(E279,$AE$11:$AJ$14,5,0)),0)</f>
        <v/>
      </c>
      <c r="AU279" s="39">
        <f>IFERROR((VLOOKUP(E279,$AE$11:$AJ$14,6,0)),0)</f>
        <v/>
      </c>
      <c r="AW279" s="119">
        <f>AR279*AT279</f>
        <v/>
      </c>
      <c r="AX279" s="119">
        <f>AR279*AU279</f>
        <v/>
      </c>
    </row>
    <row r="280">
      <c r="A280" s="32" t="n">
        <v>270</v>
      </c>
      <c r="B280" s="33" t="n"/>
      <c r="C280" s="33" t="n"/>
      <c r="D280" s="33" t="n"/>
      <c r="E280" s="33" t="inlineStr">
        <is>
          <t>-</t>
        </is>
      </c>
      <c r="F280" s="54">
        <f>IFERROR((VLOOKUP(E280,$AE$11:$AG$14,3,0)),"-")</f>
        <v/>
      </c>
      <c r="G280" s="33" t="n"/>
      <c r="H280" s="33" t="n"/>
      <c r="I280" s="46" t="n"/>
      <c r="J280" s="35" t="n"/>
      <c r="K280" s="35" t="n"/>
      <c r="L280" s="36">
        <f>IF($H$4="-",0,IF($H$4="VAREJO",AW280,IF($H$4="ATACADO",AX280,0)))</f>
        <v/>
      </c>
      <c r="M280" s="33" t="n"/>
      <c r="AN280" s="47" t="n">
        <v>270</v>
      </c>
      <c r="AO280" s="117">
        <f>I280+(I280*J280)+(I280*K280)</f>
        <v/>
      </c>
      <c r="AP280" s="43">
        <f>IFERROR(VLOOKUP(E280,$AE$11:$AK$14,4,0),0)</f>
        <v/>
      </c>
      <c r="AQ280" s="117">
        <f>(I280+(I280*J280)+(I280*K280))*AP280</f>
        <v/>
      </c>
      <c r="AR280" s="118">
        <f>AO280+AQ280</f>
        <v/>
      </c>
      <c r="AT280" s="39">
        <f>IFERROR((VLOOKUP(E280,$AE$11:$AJ$14,5,0)),0)</f>
        <v/>
      </c>
      <c r="AU280" s="39">
        <f>IFERROR((VLOOKUP(E280,$AE$11:$AJ$14,6,0)),0)</f>
        <v/>
      </c>
      <c r="AW280" s="119">
        <f>AR280*AT280</f>
        <v/>
      </c>
      <c r="AX280" s="119">
        <f>AR280*AU280</f>
        <v/>
      </c>
    </row>
    <row r="281">
      <c r="A281" s="32" t="n">
        <v>271</v>
      </c>
      <c r="B281" s="33" t="n"/>
      <c r="C281" s="33" t="n"/>
      <c r="D281" s="33" t="n"/>
      <c r="E281" s="33" t="inlineStr">
        <is>
          <t>-</t>
        </is>
      </c>
      <c r="F281" s="54">
        <f>IFERROR((VLOOKUP(E281,$AE$11:$AG$14,3,0)),"-")</f>
        <v/>
      </c>
      <c r="G281" s="33" t="n"/>
      <c r="H281" s="33" t="n"/>
      <c r="I281" s="46" t="n"/>
      <c r="J281" s="35" t="n"/>
      <c r="K281" s="35" t="n"/>
      <c r="L281" s="36">
        <f>IF($H$4="-",0,IF($H$4="VAREJO",AW281,IF($H$4="ATACADO",AX281,0)))</f>
        <v/>
      </c>
      <c r="M281" s="33" t="n"/>
      <c r="AN281" s="47" t="n">
        <v>271</v>
      </c>
      <c r="AO281" s="117">
        <f>I281+(I281*J281)+(I281*K281)</f>
        <v/>
      </c>
      <c r="AP281" s="43">
        <f>IFERROR(VLOOKUP(E281,$AE$11:$AK$14,4,0),0)</f>
        <v/>
      </c>
      <c r="AQ281" s="117">
        <f>(I281+(I281*J281)+(I281*K281))*AP281</f>
        <v/>
      </c>
      <c r="AR281" s="118">
        <f>AO281+AQ281</f>
        <v/>
      </c>
      <c r="AT281" s="39">
        <f>IFERROR((VLOOKUP(E281,$AE$11:$AJ$14,5,0)),0)</f>
        <v/>
      </c>
      <c r="AU281" s="39">
        <f>IFERROR((VLOOKUP(E281,$AE$11:$AJ$14,6,0)),0)</f>
        <v/>
      </c>
      <c r="AW281" s="119">
        <f>AR281*AT281</f>
        <v/>
      </c>
      <c r="AX281" s="119">
        <f>AR281*AU281</f>
        <v/>
      </c>
    </row>
    <row r="282">
      <c r="A282" s="32" t="n">
        <v>272</v>
      </c>
      <c r="B282" s="33" t="n"/>
      <c r="C282" s="33" t="n"/>
      <c r="D282" s="33" t="n"/>
      <c r="E282" s="33" t="inlineStr">
        <is>
          <t>-</t>
        </is>
      </c>
      <c r="F282" s="54">
        <f>IFERROR((VLOOKUP(E282,$AE$11:$AG$14,3,0)),"-")</f>
        <v/>
      </c>
      <c r="G282" s="33" t="n"/>
      <c r="H282" s="33" t="n"/>
      <c r="I282" s="46" t="n"/>
      <c r="J282" s="35" t="n"/>
      <c r="K282" s="35" t="n"/>
      <c r="L282" s="36">
        <f>IF($H$4="-",0,IF($H$4="VAREJO",AW282,IF($H$4="ATACADO",AX282,0)))</f>
        <v/>
      </c>
      <c r="M282" s="33" t="n"/>
      <c r="AN282" s="47" t="n">
        <v>272</v>
      </c>
      <c r="AO282" s="117">
        <f>I282+(I282*J282)+(I282*K282)</f>
        <v/>
      </c>
      <c r="AP282" s="43">
        <f>IFERROR(VLOOKUP(E282,$AE$11:$AK$14,4,0),0)</f>
        <v/>
      </c>
      <c r="AQ282" s="117">
        <f>(I282+(I282*J282)+(I282*K282))*AP282</f>
        <v/>
      </c>
      <c r="AR282" s="118">
        <f>AO282+AQ282</f>
        <v/>
      </c>
      <c r="AT282" s="39">
        <f>IFERROR((VLOOKUP(E282,$AE$11:$AJ$14,5,0)),0)</f>
        <v/>
      </c>
      <c r="AU282" s="39">
        <f>IFERROR((VLOOKUP(E282,$AE$11:$AJ$14,6,0)),0)</f>
        <v/>
      </c>
      <c r="AW282" s="119">
        <f>AR282*AT282</f>
        <v/>
      </c>
      <c r="AX282" s="119">
        <f>AR282*AU282</f>
        <v/>
      </c>
    </row>
    <row r="283">
      <c r="A283" s="32" t="n">
        <v>273</v>
      </c>
      <c r="B283" s="33" t="n"/>
      <c r="C283" s="33" t="n"/>
      <c r="D283" s="33" t="n"/>
      <c r="E283" s="33" t="inlineStr">
        <is>
          <t>-</t>
        </is>
      </c>
      <c r="F283" s="54">
        <f>IFERROR((VLOOKUP(E283,$AE$11:$AG$14,3,0)),"-")</f>
        <v/>
      </c>
      <c r="G283" s="33" t="n"/>
      <c r="H283" s="33" t="n"/>
      <c r="I283" s="46" t="n"/>
      <c r="J283" s="35" t="n"/>
      <c r="K283" s="35" t="n"/>
      <c r="L283" s="36">
        <f>IF($H$4="-",0,IF($H$4="VAREJO",AW283,IF($H$4="ATACADO",AX283,0)))</f>
        <v/>
      </c>
      <c r="M283" s="33" t="n"/>
      <c r="AN283" s="47" t="n">
        <v>273</v>
      </c>
      <c r="AO283" s="117">
        <f>I283+(I283*J283)+(I283*K283)</f>
        <v/>
      </c>
      <c r="AP283" s="43">
        <f>IFERROR(VLOOKUP(E283,$AE$11:$AK$14,4,0),0)</f>
        <v/>
      </c>
      <c r="AQ283" s="117">
        <f>(I283+(I283*J283)+(I283*K283))*AP283</f>
        <v/>
      </c>
      <c r="AR283" s="118">
        <f>AO283+AQ283</f>
        <v/>
      </c>
      <c r="AT283" s="39">
        <f>IFERROR((VLOOKUP(E283,$AE$11:$AJ$14,5,0)),0)</f>
        <v/>
      </c>
      <c r="AU283" s="39">
        <f>IFERROR((VLOOKUP(E283,$AE$11:$AJ$14,6,0)),0)</f>
        <v/>
      </c>
      <c r="AW283" s="119">
        <f>AR283*AT283</f>
        <v/>
      </c>
      <c r="AX283" s="119">
        <f>AR283*AU283</f>
        <v/>
      </c>
    </row>
    <row r="284">
      <c r="A284" s="32" t="n">
        <v>274</v>
      </c>
      <c r="B284" s="33" t="n"/>
      <c r="C284" s="33" t="n"/>
      <c r="D284" s="33" t="n"/>
      <c r="E284" s="33" t="inlineStr">
        <is>
          <t>-</t>
        </is>
      </c>
      <c r="F284" s="54">
        <f>IFERROR((VLOOKUP(E284,$AE$11:$AG$14,3,0)),"-")</f>
        <v/>
      </c>
      <c r="G284" s="33" t="n"/>
      <c r="H284" s="33" t="n"/>
      <c r="I284" s="46" t="n"/>
      <c r="J284" s="35" t="n"/>
      <c r="K284" s="35" t="n"/>
      <c r="L284" s="36">
        <f>IF($H$4="-",0,IF($H$4="VAREJO",AW284,IF($H$4="ATACADO",AX284,0)))</f>
        <v/>
      </c>
      <c r="M284" s="33" t="n"/>
      <c r="AN284" s="47" t="n">
        <v>274</v>
      </c>
      <c r="AO284" s="117">
        <f>I284+(I284*J284)+(I284*K284)</f>
        <v/>
      </c>
      <c r="AP284" s="43">
        <f>IFERROR(VLOOKUP(E284,$AE$11:$AK$14,4,0),0)</f>
        <v/>
      </c>
      <c r="AQ284" s="117">
        <f>(I284+(I284*J284)+(I284*K284))*AP284</f>
        <v/>
      </c>
      <c r="AR284" s="118">
        <f>AO284+AQ284</f>
        <v/>
      </c>
      <c r="AT284" s="39">
        <f>IFERROR((VLOOKUP(E284,$AE$11:$AJ$14,5,0)),0)</f>
        <v/>
      </c>
      <c r="AU284" s="39">
        <f>IFERROR((VLOOKUP(E284,$AE$11:$AJ$14,6,0)),0)</f>
        <v/>
      </c>
      <c r="AW284" s="119">
        <f>AR284*AT284</f>
        <v/>
      </c>
      <c r="AX284" s="119">
        <f>AR284*AU284</f>
        <v/>
      </c>
    </row>
    <row r="285">
      <c r="A285" s="32" t="n">
        <v>275</v>
      </c>
      <c r="B285" s="33" t="n"/>
      <c r="C285" s="33" t="n"/>
      <c r="D285" s="33" t="n"/>
      <c r="E285" s="33" t="inlineStr">
        <is>
          <t>-</t>
        </is>
      </c>
      <c r="F285" s="54">
        <f>IFERROR((VLOOKUP(E285,$AE$11:$AG$14,3,0)),"-")</f>
        <v/>
      </c>
      <c r="G285" s="33" t="n"/>
      <c r="H285" s="33" t="n"/>
      <c r="I285" s="46" t="n"/>
      <c r="J285" s="35" t="n"/>
      <c r="K285" s="35" t="n"/>
      <c r="L285" s="36">
        <f>IF($H$4="-",0,IF($H$4="VAREJO",AW285,IF($H$4="ATACADO",AX285,0)))</f>
        <v/>
      </c>
      <c r="M285" s="33" t="n"/>
      <c r="AN285" s="47" t="n">
        <v>275</v>
      </c>
      <c r="AO285" s="117">
        <f>I285+(I285*J285)+(I285*K285)</f>
        <v/>
      </c>
      <c r="AP285" s="43">
        <f>IFERROR(VLOOKUP(E285,$AE$11:$AK$14,4,0),0)</f>
        <v/>
      </c>
      <c r="AQ285" s="117">
        <f>(I285+(I285*J285)+(I285*K285))*AP285</f>
        <v/>
      </c>
      <c r="AR285" s="118">
        <f>AO285+AQ285</f>
        <v/>
      </c>
      <c r="AT285" s="39">
        <f>IFERROR((VLOOKUP(E285,$AE$11:$AJ$14,5,0)),0)</f>
        <v/>
      </c>
      <c r="AU285" s="39">
        <f>IFERROR((VLOOKUP(E285,$AE$11:$AJ$14,6,0)),0)</f>
        <v/>
      </c>
      <c r="AW285" s="119">
        <f>AR285*AT285</f>
        <v/>
      </c>
      <c r="AX285" s="119">
        <f>AR285*AU285</f>
        <v/>
      </c>
    </row>
    <row r="286">
      <c r="A286" s="32" t="n">
        <v>276</v>
      </c>
      <c r="B286" s="33" t="n"/>
      <c r="C286" s="33" t="n"/>
      <c r="D286" s="33" t="n"/>
      <c r="E286" s="33" t="inlineStr">
        <is>
          <t>-</t>
        </is>
      </c>
      <c r="F286" s="54">
        <f>IFERROR((VLOOKUP(E286,$AE$11:$AG$14,3,0)),"-")</f>
        <v/>
      </c>
      <c r="G286" s="33" t="n"/>
      <c r="H286" s="33" t="n"/>
      <c r="I286" s="46" t="n"/>
      <c r="J286" s="35" t="n"/>
      <c r="K286" s="35" t="n"/>
      <c r="L286" s="36">
        <f>IF($H$4="-",0,IF($H$4="VAREJO",AW286,IF($H$4="ATACADO",AX286,0)))</f>
        <v/>
      </c>
      <c r="M286" s="33" t="n"/>
      <c r="AN286" s="47" t="n">
        <v>276</v>
      </c>
      <c r="AO286" s="117">
        <f>I286+(I286*J286)+(I286*K286)</f>
        <v/>
      </c>
      <c r="AP286" s="43">
        <f>IFERROR(VLOOKUP(E286,$AE$11:$AK$14,4,0),0)</f>
        <v/>
      </c>
      <c r="AQ286" s="117">
        <f>(I286+(I286*J286)+(I286*K286))*AP286</f>
        <v/>
      </c>
      <c r="AR286" s="118">
        <f>AO286+AQ286</f>
        <v/>
      </c>
      <c r="AT286" s="39">
        <f>IFERROR((VLOOKUP(E286,$AE$11:$AJ$14,5,0)),0)</f>
        <v/>
      </c>
      <c r="AU286" s="39">
        <f>IFERROR((VLOOKUP(E286,$AE$11:$AJ$14,6,0)),0)</f>
        <v/>
      </c>
      <c r="AW286" s="119">
        <f>AR286*AT286</f>
        <v/>
      </c>
      <c r="AX286" s="119">
        <f>AR286*AU286</f>
        <v/>
      </c>
    </row>
    <row r="287">
      <c r="A287" s="32" t="n">
        <v>277</v>
      </c>
      <c r="B287" s="33" t="n"/>
      <c r="C287" s="33" t="n"/>
      <c r="D287" s="33" t="n"/>
      <c r="E287" s="33" t="inlineStr">
        <is>
          <t>-</t>
        </is>
      </c>
      <c r="F287" s="54">
        <f>IFERROR((VLOOKUP(E287,$AE$11:$AG$14,3,0)),"-")</f>
        <v/>
      </c>
      <c r="G287" s="33" t="n"/>
      <c r="H287" s="33" t="n"/>
      <c r="I287" s="46" t="n"/>
      <c r="J287" s="35" t="n"/>
      <c r="K287" s="35" t="n"/>
      <c r="L287" s="36">
        <f>IF($H$4="-",0,IF($H$4="VAREJO",AW287,IF($H$4="ATACADO",AX287,0)))</f>
        <v/>
      </c>
      <c r="M287" s="33" t="n"/>
      <c r="AN287" s="47" t="n">
        <v>277</v>
      </c>
      <c r="AO287" s="117">
        <f>I287+(I287*J287)+(I287*K287)</f>
        <v/>
      </c>
      <c r="AP287" s="43">
        <f>IFERROR(VLOOKUP(E287,$AE$11:$AK$14,4,0),0)</f>
        <v/>
      </c>
      <c r="AQ287" s="117">
        <f>(I287+(I287*J287)+(I287*K287))*AP287</f>
        <v/>
      </c>
      <c r="AR287" s="118">
        <f>AO287+AQ287</f>
        <v/>
      </c>
      <c r="AT287" s="39">
        <f>IFERROR((VLOOKUP(E287,$AE$11:$AJ$14,5,0)),0)</f>
        <v/>
      </c>
      <c r="AU287" s="39">
        <f>IFERROR((VLOOKUP(E287,$AE$11:$AJ$14,6,0)),0)</f>
        <v/>
      </c>
      <c r="AW287" s="119">
        <f>AR287*AT287</f>
        <v/>
      </c>
      <c r="AX287" s="119">
        <f>AR287*AU287</f>
        <v/>
      </c>
    </row>
    <row r="288">
      <c r="A288" s="32" t="n">
        <v>278</v>
      </c>
      <c r="B288" s="33" t="n"/>
      <c r="C288" s="33" t="n"/>
      <c r="D288" s="33" t="n"/>
      <c r="E288" s="33" t="inlineStr">
        <is>
          <t>-</t>
        </is>
      </c>
      <c r="F288" s="54">
        <f>IFERROR((VLOOKUP(E288,$AE$11:$AG$14,3,0)),"-")</f>
        <v/>
      </c>
      <c r="G288" s="33" t="n"/>
      <c r="H288" s="33" t="n"/>
      <c r="I288" s="46" t="n"/>
      <c r="J288" s="35" t="n"/>
      <c r="K288" s="35" t="n"/>
      <c r="L288" s="36">
        <f>IF($H$4="-",0,IF($H$4="VAREJO",AW288,IF($H$4="ATACADO",AX288,0)))</f>
        <v/>
      </c>
      <c r="M288" s="33" t="n"/>
      <c r="AN288" s="47" t="n">
        <v>278</v>
      </c>
      <c r="AO288" s="117">
        <f>I288+(I288*J288)+(I288*K288)</f>
        <v/>
      </c>
      <c r="AP288" s="43">
        <f>IFERROR(VLOOKUP(E288,$AE$11:$AK$14,4,0),0)</f>
        <v/>
      </c>
      <c r="AQ288" s="117">
        <f>(I288+(I288*J288)+(I288*K288))*AP288</f>
        <v/>
      </c>
      <c r="AR288" s="118">
        <f>AO288+AQ288</f>
        <v/>
      </c>
      <c r="AT288" s="39">
        <f>IFERROR((VLOOKUP(E288,$AE$11:$AJ$14,5,0)),0)</f>
        <v/>
      </c>
      <c r="AU288" s="39">
        <f>IFERROR((VLOOKUP(E288,$AE$11:$AJ$14,6,0)),0)</f>
        <v/>
      </c>
      <c r="AW288" s="119">
        <f>AR288*AT288</f>
        <v/>
      </c>
      <c r="AX288" s="119">
        <f>AR288*AU288</f>
        <v/>
      </c>
    </row>
    <row r="289">
      <c r="A289" s="32" t="n">
        <v>279</v>
      </c>
      <c r="B289" s="33" t="n"/>
      <c r="C289" s="33" t="n"/>
      <c r="D289" s="33" t="n"/>
      <c r="E289" s="33" t="inlineStr">
        <is>
          <t>-</t>
        </is>
      </c>
      <c r="F289" s="54">
        <f>IFERROR((VLOOKUP(E289,$AE$11:$AG$14,3,0)),"-")</f>
        <v/>
      </c>
      <c r="G289" s="33" t="n"/>
      <c r="H289" s="33" t="n"/>
      <c r="I289" s="46" t="n"/>
      <c r="J289" s="35" t="n"/>
      <c r="K289" s="35" t="n"/>
      <c r="L289" s="36">
        <f>IF($H$4="-",0,IF($H$4="VAREJO",AW289,IF($H$4="ATACADO",AX289,0)))</f>
        <v/>
      </c>
      <c r="M289" s="33" t="n"/>
      <c r="AN289" s="47" t="n">
        <v>279</v>
      </c>
      <c r="AO289" s="117">
        <f>I289+(I289*J289)+(I289*K289)</f>
        <v/>
      </c>
      <c r="AP289" s="43">
        <f>IFERROR(VLOOKUP(E289,$AE$11:$AK$14,4,0),0)</f>
        <v/>
      </c>
      <c r="AQ289" s="117">
        <f>(I289+(I289*J289)+(I289*K289))*AP289</f>
        <v/>
      </c>
      <c r="AR289" s="118">
        <f>AO289+AQ289</f>
        <v/>
      </c>
      <c r="AT289" s="39">
        <f>IFERROR((VLOOKUP(E289,$AE$11:$AJ$14,5,0)),0)</f>
        <v/>
      </c>
      <c r="AU289" s="39">
        <f>IFERROR((VLOOKUP(E289,$AE$11:$AJ$14,6,0)),0)</f>
        <v/>
      </c>
      <c r="AW289" s="119">
        <f>AR289*AT289</f>
        <v/>
      </c>
      <c r="AX289" s="119">
        <f>AR289*AU289</f>
        <v/>
      </c>
    </row>
    <row r="290">
      <c r="A290" s="32" t="n">
        <v>280</v>
      </c>
      <c r="B290" s="33" t="n"/>
      <c r="C290" s="33" t="n"/>
      <c r="D290" s="33" t="n"/>
      <c r="E290" s="33" t="inlineStr">
        <is>
          <t>-</t>
        </is>
      </c>
      <c r="F290" s="54">
        <f>IFERROR((VLOOKUP(E290,$AE$11:$AG$14,3,0)),"-")</f>
        <v/>
      </c>
      <c r="G290" s="33" t="n"/>
      <c r="H290" s="33" t="n"/>
      <c r="I290" s="46" t="n"/>
      <c r="J290" s="35" t="n"/>
      <c r="K290" s="35" t="n"/>
      <c r="L290" s="36">
        <f>IF($H$4="-",0,IF($H$4="VAREJO",AW290,IF($H$4="ATACADO",AX290,0)))</f>
        <v/>
      </c>
      <c r="M290" s="33" t="n"/>
      <c r="AN290" s="47" t="n">
        <v>280</v>
      </c>
      <c r="AO290" s="117">
        <f>I290+(I290*J290)+(I290*K290)</f>
        <v/>
      </c>
      <c r="AP290" s="43">
        <f>IFERROR(VLOOKUP(E290,$AE$11:$AK$14,4,0),0)</f>
        <v/>
      </c>
      <c r="AQ290" s="117">
        <f>(I290+(I290*J290)+(I290*K290))*AP290</f>
        <v/>
      </c>
      <c r="AR290" s="118">
        <f>AO290+AQ290</f>
        <v/>
      </c>
      <c r="AT290" s="39">
        <f>IFERROR((VLOOKUP(E290,$AE$11:$AJ$14,5,0)),0)</f>
        <v/>
      </c>
      <c r="AU290" s="39">
        <f>IFERROR((VLOOKUP(E290,$AE$11:$AJ$14,6,0)),0)</f>
        <v/>
      </c>
      <c r="AW290" s="119">
        <f>AR290*AT290</f>
        <v/>
      </c>
      <c r="AX290" s="119">
        <f>AR290*AU290</f>
        <v/>
      </c>
    </row>
    <row r="291">
      <c r="A291" s="32" t="n">
        <v>281</v>
      </c>
      <c r="B291" s="33" t="n"/>
      <c r="C291" s="33" t="n"/>
      <c r="D291" s="33" t="n"/>
      <c r="E291" s="33" t="inlineStr">
        <is>
          <t>-</t>
        </is>
      </c>
      <c r="F291" s="54">
        <f>IFERROR((VLOOKUP(E291,$AE$11:$AG$14,3,0)),"-")</f>
        <v/>
      </c>
      <c r="G291" s="33" t="n"/>
      <c r="H291" s="33" t="n"/>
      <c r="I291" s="46" t="n"/>
      <c r="J291" s="35" t="n"/>
      <c r="K291" s="35" t="n"/>
      <c r="L291" s="36">
        <f>IF($H$4="-",0,IF($H$4="VAREJO",AW291,IF($H$4="ATACADO",AX291,0)))</f>
        <v/>
      </c>
      <c r="M291" s="33" t="n"/>
      <c r="AN291" s="47" t="n">
        <v>281</v>
      </c>
      <c r="AO291" s="117">
        <f>I291+(I291*J291)+(I291*K291)</f>
        <v/>
      </c>
      <c r="AP291" s="43">
        <f>IFERROR(VLOOKUP(E291,$AE$11:$AK$14,4,0),0)</f>
        <v/>
      </c>
      <c r="AQ291" s="117">
        <f>(I291+(I291*J291)+(I291*K291))*AP291</f>
        <v/>
      </c>
      <c r="AR291" s="118">
        <f>AO291+AQ291</f>
        <v/>
      </c>
      <c r="AT291" s="39">
        <f>IFERROR((VLOOKUP(E291,$AE$11:$AJ$14,5,0)),0)</f>
        <v/>
      </c>
      <c r="AU291" s="39">
        <f>IFERROR((VLOOKUP(E291,$AE$11:$AJ$14,6,0)),0)</f>
        <v/>
      </c>
      <c r="AW291" s="119">
        <f>AR291*AT291</f>
        <v/>
      </c>
      <c r="AX291" s="119">
        <f>AR291*AU291</f>
        <v/>
      </c>
    </row>
    <row r="292">
      <c r="A292" s="32" t="n">
        <v>282</v>
      </c>
      <c r="B292" s="33" t="n"/>
      <c r="C292" s="33" t="n"/>
      <c r="D292" s="33" t="n"/>
      <c r="E292" s="33" t="inlineStr">
        <is>
          <t>-</t>
        </is>
      </c>
      <c r="F292" s="54">
        <f>IFERROR((VLOOKUP(E292,$AE$11:$AG$14,3,0)),"-")</f>
        <v/>
      </c>
      <c r="G292" s="33" t="n"/>
      <c r="H292" s="33" t="n"/>
      <c r="I292" s="46" t="n"/>
      <c r="J292" s="35" t="n"/>
      <c r="K292" s="35" t="n"/>
      <c r="L292" s="36">
        <f>IF($H$4="-",0,IF($H$4="VAREJO",AW292,IF($H$4="ATACADO",AX292,0)))</f>
        <v/>
      </c>
      <c r="M292" s="33" t="n"/>
      <c r="AN292" s="47" t="n">
        <v>282</v>
      </c>
      <c r="AO292" s="117">
        <f>I292+(I292*J292)+(I292*K292)</f>
        <v/>
      </c>
      <c r="AP292" s="43">
        <f>IFERROR(VLOOKUP(E292,$AE$11:$AK$14,4,0),0)</f>
        <v/>
      </c>
      <c r="AQ292" s="117">
        <f>(I292+(I292*J292)+(I292*K292))*AP292</f>
        <v/>
      </c>
      <c r="AR292" s="118">
        <f>AO292+AQ292</f>
        <v/>
      </c>
      <c r="AT292" s="39">
        <f>IFERROR((VLOOKUP(E292,$AE$11:$AJ$14,5,0)),0)</f>
        <v/>
      </c>
      <c r="AU292" s="39">
        <f>IFERROR((VLOOKUP(E292,$AE$11:$AJ$14,6,0)),0)</f>
        <v/>
      </c>
      <c r="AW292" s="119">
        <f>AR292*AT292</f>
        <v/>
      </c>
      <c r="AX292" s="119">
        <f>AR292*AU292</f>
        <v/>
      </c>
    </row>
    <row r="293">
      <c r="A293" s="32" t="n">
        <v>283</v>
      </c>
      <c r="B293" s="33" t="n"/>
      <c r="C293" s="33" t="n"/>
      <c r="D293" s="33" t="n"/>
      <c r="E293" s="33" t="inlineStr">
        <is>
          <t>-</t>
        </is>
      </c>
      <c r="F293" s="54">
        <f>IFERROR((VLOOKUP(E293,$AE$11:$AG$14,3,0)),"-")</f>
        <v/>
      </c>
      <c r="G293" s="33" t="n"/>
      <c r="H293" s="33" t="n"/>
      <c r="I293" s="46" t="n"/>
      <c r="J293" s="35" t="n"/>
      <c r="K293" s="35" t="n"/>
      <c r="L293" s="36">
        <f>IF($H$4="-",0,IF($H$4="VAREJO",AW293,IF($H$4="ATACADO",AX293,0)))</f>
        <v/>
      </c>
      <c r="M293" s="33" t="n"/>
      <c r="AN293" s="47" t="n">
        <v>283</v>
      </c>
      <c r="AO293" s="117">
        <f>I293+(I293*J293)+(I293*K293)</f>
        <v/>
      </c>
      <c r="AP293" s="43">
        <f>IFERROR(VLOOKUP(E293,$AE$11:$AK$14,4,0),0)</f>
        <v/>
      </c>
      <c r="AQ293" s="117">
        <f>(I293+(I293*J293)+(I293*K293))*AP293</f>
        <v/>
      </c>
      <c r="AR293" s="118">
        <f>AO293+AQ293</f>
        <v/>
      </c>
      <c r="AT293" s="39">
        <f>IFERROR((VLOOKUP(E293,$AE$11:$AJ$14,5,0)),0)</f>
        <v/>
      </c>
      <c r="AU293" s="39">
        <f>IFERROR((VLOOKUP(E293,$AE$11:$AJ$14,6,0)),0)</f>
        <v/>
      </c>
      <c r="AW293" s="119">
        <f>AR293*AT293</f>
        <v/>
      </c>
      <c r="AX293" s="119">
        <f>AR293*AU293</f>
        <v/>
      </c>
    </row>
    <row r="294">
      <c r="A294" s="32" t="n">
        <v>284</v>
      </c>
      <c r="B294" s="33" t="n"/>
      <c r="C294" s="33" t="n"/>
      <c r="D294" s="33" t="n"/>
      <c r="E294" s="33" t="inlineStr">
        <is>
          <t>-</t>
        </is>
      </c>
      <c r="F294" s="54">
        <f>IFERROR((VLOOKUP(E294,$AE$11:$AG$14,3,0)),"-")</f>
        <v/>
      </c>
      <c r="G294" s="33" t="n"/>
      <c r="H294" s="33" t="n"/>
      <c r="I294" s="46" t="n"/>
      <c r="J294" s="35" t="n"/>
      <c r="K294" s="35" t="n"/>
      <c r="L294" s="36">
        <f>IF($H$4="-",0,IF($H$4="VAREJO",AW294,IF($H$4="ATACADO",AX294,0)))</f>
        <v/>
      </c>
      <c r="M294" s="33" t="n"/>
      <c r="AN294" s="47" t="n">
        <v>284</v>
      </c>
      <c r="AO294" s="117">
        <f>I294+(I294*J294)+(I294*K294)</f>
        <v/>
      </c>
      <c r="AP294" s="43">
        <f>IFERROR(VLOOKUP(E294,$AE$11:$AK$14,4,0),0)</f>
        <v/>
      </c>
      <c r="AQ294" s="117">
        <f>(I294+(I294*J294)+(I294*K294))*AP294</f>
        <v/>
      </c>
      <c r="AR294" s="118">
        <f>AO294+AQ294</f>
        <v/>
      </c>
      <c r="AT294" s="39">
        <f>IFERROR((VLOOKUP(E294,$AE$11:$AJ$14,5,0)),0)</f>
        <v/>
      </c>
      <c r="AU294" s="39">
        <f>IFERROR((VLOOKUP(E294,$AE$11:$AJ$14,6,0)),0)</f>
        <v/>
      </c>
      <c r="AW294" s="119">
        <f>AR294*AT294</f>
        <v/>
      </c>
      <c r="AX294" s="119">
        <f>AR294*AU294</f>
        <v/>
      </c>
    </row>
    <row r="295">
      <c r="A295" s="32" t="n">
        <v>285</v>
      </c>
      <c r="B295" s="33" t="n"/>
      <c r="C295" s="33" t="n"/>
      <c r="D295" s="33" t="n"/>
      <c r="E295" s="33" t="inlineStr">
        <is>
          <t>-</t>
        </is>
      </c>
      <c r="F295" s="54">
        <f>IFERROR((VLOOKUP(E295,$AE$11:$AG$14,3,0)),"-")</f>
        <v/>
      </c>
      <c r="G295" s="33" t="n"/>
      <c r="H295" s="33" t="n"/>
      <c r="I295" s="46" t="n"/>
      <c r="J295" s="35" t="n"/>
      <c r="K295" s="35" t="n"/>
      <c r="L295" s="36">
        <f>IF($H$4="-",0,IF($H$4="VAREJO",AW295,IF($H$4="ATACADO",AX295,0)))</f>
        <v/>
      </c>
      <c r="M295" s="33" t="n"/>
      <c r="AN295" s="47" t="n">
        <v>285</v>
      </c>
      <c r="AO295" s="117">
        <f>I295+(I295*J295)+(I295*K295)</f>
        <v/>
      </c>
      <c r="AP295" s="43">
        <f>IFERROR(VLOOKUP(E295,$AE$11:$AK$14,4,0),0)</f>
        <v/>
      </c>
      <c r="AQ295" s="117">
        <f>(I295+(I295*J295)+(I295*K295))*AP295</f>
        <v/>
      </c>
      <c r="AR295" s="118">
        <f>AO295+AQ295</f>
        <v/>
      </c>
      <c r="AT295" s="39">
        <f>IFERROR((VLOOKUP(E295,$AE$11:$AJ$14,5,0)),0)</f>
        <v/>
      </c>
      <c r="AU295" s="39">
        <f>IFERROR((VLOOKUP(E295,$AE$11:$AJ$14,6,0)),0)</f>
        <v/>
      </c>
      <c r="AW295" s="119">
        <f>AR295*AT295</f>
        <v/>
      </c>
      <c r="AX295" s="119">
        <f>AR295*AU295</f>
        <v/>
      </c>
    </row>
    <row r="296">
      <c r="A296" s="32" t="n">
        <v>286</v>
      </c>
      <c r="B296" s="33" t="n"/>
      <c r="C296" s="33" t="n"/>
      <c r="D296" s="33" t="n"/>
      <c r="E296" s="33" t="inlineStr">
        <is>
          <t>-</t>
        </is>
      </c>
      <c r="F296" s="54">
        <f>IFERROR((VLOOKUP(E296,$AE$11:$AG$14,3,0)),"-")</f>
        <v/>
      </c>
      <c r="G296" s="33" t="n"/>
      <c r="H296" s="33" t="n"/>
      <c r="I296" s="46" t="n"/>
      <c r="J296" s="35" t="n"/>
      <c r="K296" s="35" t="n"/>
      <c r="L296" s="36">
        <f>IF($H$4="-",0,IF($H$4="VAREJO",AW296,IF($H$4="ATACADO",AX296,0)))</f>
        <v/>
      </c>
      <c r="M296" s="33" t="n"/>
      <c r="AN296" s="47" t="n">
        <v>286</v>
      </c>
      <c r="AO296" s="117">
        <f>I296+(I296*J296)+(I296*K296)</f>
        <v/>
      </c>
      <c r="AP296" s="43">
        <f>IFERROR(VLOOKUP(E296,$AE$11:$AK$14,4,0),0)</f>
        <v/>
      </c>
      <c r="AQ296" s="117">
        <f>(I296+(I296*J296)+(I296*K296))*AP296</f>
        <v/>
      </c>
      <c r="AR296" s="118">
        <f>AO296+AQ296</f>
        <v/>
      </c>
      <c r="AT296" s="39">
        <f>IFERROR((VLOOKUP(E296,$AE$11:$AJ$14,5,0)),0)</f>
        <v/>
      </c>
      <c r="AU296" s="39">
        <f>IFERROR((VLOOKUP(E296,$AE$11:$AJ$14,6,0)),0)</f>
        <v/>
      </c>
      <c r="AW296" s="119">
        <f>AR296*AT296</f>
        <v/>
      </c>
      <c r="AX296" s="119">
        <f>AR296*AU296</f>
        <v/>
      </c>
    </row>
    <row r="297">
      <c r="A297" s="32" t="n">
        <v>287</v>
      </c>
      <c r="B297" s="33" t="n"/>
      <c r="C297" s="33" t="n"/>
      <c r="D297" s="33" t="n"/>
      <c r="E297" s="33" t="inlineStr">
        <is>
          <t>-</t>
        </is>
      </c>
      <c r="F297" s="54">
        <f>IFERROR((VLOOKUP(E297,$AE$11:$AG$14,3,0)),"-")</f>
        <v/>
      </c>
      <c r="G297" s="33" t="n"/>
      <c r="H297" s="33" t="n"/>
      <c r="I297" s="46" t="n"/>
      <c r="J297" s="35" t="n"/>
      <c r="K297" s="35" t="n"/>
      <c r="L297" s="36">
        <f>IF($H$4="-",0,IF($H$4="VAREJO",AW297,IF($H$4="ATACADO",AX297,0)))</f>
        <v/>
      </c>
      <c r="M297" s="33" t="n"/>
      <c r="AN297" s="47" t="n">
        <v>287</v>
      </c>
      <c r="AO297" s="117">
        <f>I297+(I297*J297)+(I297*K297)</f>
        <v/>
      </c>
      <c r="AP297" s="43">
        <f>IFERROR(VLOOKUP(E297,$AE$11:$AK$14,4,0),0)</f>
        <v/>
      </c>
      <c r="AQ297" s="117">
        <f>(I297+(I297*J297)+(I297*K297))*AP297</f>
        <v/>
      </c>
      <c r="AR297" s="118">
        <f>AO297+AQ297</f>
        <v/>
      </c>
      <c r="AT297" s="39">
        <f>IFERROR((VLOOKUP(E297,$AE$11:$AJ$14,5,0)),0)</f>
        <v/>
      </c>
      <c r="AU297" s="39">
        <f>IFERROR((VLOOKUP(E297,$AE$11:$AJ$14,6,0)),0)</f>
        <v/>
      </c>
      <c r="AW297" s="119">
        <f>AR297*AT297</f>
        <v/>
      </c>
      <c r="AX297" s="119">
        <f>AR297*AU297</f>
        <v/>
      </c>
    </row>
    <row r="298">
      <c r="A298" s="32" t="n">
        <v>288</v>
      </c>
      <c r="B298" s="33" t="n"/>
      <c r="C298" s="33" t="n"/>
      <c r="D298" s="33" t="n"/>
      <c r="E298" s="33" t="inlineStr">
        <is>
          <t>-</t>
        </is>
      </c>
      <c r="F298" s="54">
        <f>IFERROR((VLOOKUP(E298,$AE$11:$AG$14,3,0)),"-")</f>
        <v/>
      </c>
      <c r="G298" s="33" t="n"/>
      <c r="H298" s="33" t="n"/>
      <c r="I298" s="46" t="n"/>
      <c r="J298" s="35" t="n"/>
      <c r="K298" s="35" t="n"/>
      <c r="L298" s="36">
        <f>IF($H$4="-",0,IF($H$4="VAREJO",AW298,IF($H$4="ATACADO",AX298,0)))</f>
        <v/>
      </c>
      <c r="M298" s="33" t="n"/>
      <c r="AN298" s="47" t="n">
        <v>288</v>
      </c>
      <c r="AO298" s="117">
        <f>I298+(I298*J298)+(I298*K298)</f>
        <v/>
      </c>
      <c r="AP298" s="43">
        <f>IFERROR(VLOOKUP(E298,$AE$11:$AK$14,4,0),0)</f>
        <v/>
      </c>
      <c r="AQ298" s="117">
        <f>(I298+(I298*J298)+(I298*K298))*AP298</f>
        <v/>
      </c>
      <c r="AR298" s="118">
        <f>AO298+AQ298</f>
        <v/>
      </c>
      <c r="AT298" s="39">
        <f>IFERROR((VLOOKUP(E298,$AE$11:$AJ$14,5,0)),0)</f>
        <v/>
      </c>
      <c r="AU298" s="39">
        <f>IFERROR((VLOOKUP(E298,$AE$11:$AJ$14,6,0)),0)</f>
        <v/>
      </c>
      <c r="AW298" s="119">
        <f>AR298*AT298</f>
        <v/>
      </c>
      <c r="AX298" s="119">
        <f>AR298*AU298</f>
        <v/>
      </c>
    </row>
    <row r="299">
      <c r="A299" s="32" t="n">
        <v>289</v>
      </c>
      <c r="B299" s="33" t="n"/>
      <c r="C299" s="33" t="n"/>
      <c r="D299" s="33" t="n"/>
      <c r="E299" s="33" t="inlineStr">
        <is>
          <t>-</t>
        </is>
      </c>
      <c r="F299" s="54">
        <f>IFERROR((VLOOKUP(E299,$AE$11:$AG$14,3,0)),"-")</f>
        <v/>
      </c>
      <c r="G299" s="33" t="n"/>
      <c r="H299" s="33" t="n"/>
      <c r="I299" s="46" t="n"/>
      <c r="J299" s="35" t="n"/>
      <c r="K299" s="35" t="n"/>
      <c r="L299" s="36">
        <f>IF($H$4="-",0,IF($H$4="VAREJO",AW299,IF($H$4="ATACADO",AX299,0)))</f>
        <v/>
      </c>
      <c r="M299" s="33" t="n"/>
      <c r="AN299" s="47" t="n">
        <v>289</v>
      </c>
      <c r="AO299" s="117">
        <f>I299+(I299*J299)+(I299*K299)</f>
        <v/>
      </c>
      <c r="AP299" s="43">
        <f>IFERROR(VLOOKUP(E299,$AE$11:$AK$14,4,0),0)</f>
        <v/>
      </c>
      <c r="AQ299" s="117">
        <f>(I299+(I299*J299)+(I299*K299))*AP299</f>
        <v/>
      </c>
      <c r="AR299" s="118">
        <f>AO299+AQ299</f>
        <v/>
      </c>
      <c r="AT299" s="39">
        <f>IFERROR((VLOOKUP(E299,$AE$11:$AJ$14,5,0)),0)</f>
        <v/>
      </c>
      <c r="AU299" s="39">
        <f>IFERROR((VLOOKUP(E299,$AE$11:$AJ$14,6,0)),0)</f>
        <v/>
      </c>
      <c r="AW299" s="119">
        <f>AR299*AT299</f>
        <v/>
      </c>
      <c r="AX299" s="119">
        <f>AR299*AU299</f>
        <v/>
      </c>
    </row>
    <row r="300">
      <c r="A300" s="32" t="n">
        <v>290</v>
      </c>
      <c r="B300" s="33" t="n"/>
      <c r="C300" s="33" t="n"/>
      <c r="D300" s="33" t="n"/>
      <c r="E300" s="33" t="inlineStr">
        <is>
          <t>-</t>
        </is>
      </c>
      <c r="F300" s="54">
        <f>IFERROR((VLOOKUP(E300,$AE$11:$AG$14,3,0)),"-")</f>
        <v/>
      </c>
      <c r="G300" s="33" t="n"/>
      <c r="H300" s="33" t="n"/>
      <c r="I300" s="46" t="n"/>
      <c r="J300" s="35" t="n"/>
      <c r="K300" s="35" t="n"/>
      <c r="L300" s="36">
        <f>IF($H$4="-",0,IF($H$4="VAREJO",AW300,IF($H$4="ATACADO",AX300,0)))</f>
        <v/>
      </c>
      <c r="M300" s="33" t="n"/>
      <c r="AN300" s="47" t="n">
        <v>290</v>
      </c>
      <c r="AO300" s="117">
        <f>I300+(I300*J300)+(I300*K300)</f>
        <v/>
      </c>
      <c r="AP300" s="43">
        <f>IFERROR(VLOOKUP(E300,$AE$11:$AK$14,4,0),0)</f>
        <v/>
      </c>
      <c r="AQ300" s="117">
        <f>(I300+(I300*J300)+(I300*K300))*AP300</f>
        <v/>
      </c>
      <c r="AR300" s="118">
        <f>AO300+AQ300</f>
        <v/>
      </c>
      <c r="AT300" s="39">
        <f>IFERROR((VLOOKUP(E300,$AE$11:$AJ$14,5,0)),0)</f>
        <v/>
      </c>
      <c r="AU300" s="39">
        <f>IFERROR((VLOOKUP(E300,$AE$11:$AJ$14,6,0)),0)</f>
        <v/>
      </c>
      <c r="AW300" s="119">
        <f>AR300*AT300</f>
        <v/>
      </c>
      <c r="AX300" s="119">
        <f>AR300*AU300</f>
        <v/>
      </c>
    </row>
    <row r="301">
      <c r="A301" s="32" t="n">
        <v>291</v>
      </c>
      <c r="B301" s="33" t="n"/>
      <c r="C301" s="33" t="n"/>
      <c r="D301" s="33" t="n"/>
      <c r="E301" s="33" t="inlineStr">
        <is>
          <t>-</t>
        </is>
      </c>
      <c r="F301" s="54">
        <f>IFERROR((VLOOKUP(E301,$AE$11:$AG$14,3,0)),"-")</f>
        <v/>
      </c>
      <c r="G301" s="33" t="n"/>
      <c r="H301" s="33" t="n"/>
      <c r="I301" s="46" t="n"/>
      <c r="J301" s="35" t="n"/>
      <c r="K301" s="35" t="n"/>
      <c r="L301" s="36">
        <f>IF($H$4="-",0,IF($H$4="VAREJO",AW301,IF($H$4="ATACADO",AX301,0)))</f>
        <v/>
      </c>
      <c r="M301" s="33" t="n"/>
      <c r="AN301" s="47" t="n">
        <v>291</v>
      </c>
      <c r="AO301" s="117">
        <f>I301+(I301*J301)+(I301*K301)</f>
        <v/>
      </c>
      <c r="AP301" s="43">
        <f>IFERROR(VLOOKUP(E301,$AE$11:$AK$14,4,0),0)</f>
        <v/>
      </c>
      <c r="AQ301" s="117">
        <f>(I301+(I301*J301)+(I301*K301))*AP301</f>
        <v/>
      </c>
      <c r="AR301" s="118">
        <f>AO301+AQ301</f>
        <v/>
      </c>
      <c r="AT301" s="39">
        <f>IFERROR((VLOOKUP(E301,$AE$11:$AJ$14,5,0)),0)</f>
        <v/>
      </c>
      <c r="AU301" s="39">
        <f>IFERROR((VLOOKUP(E301,$AE$11:$AJ$14,6,0)),0)</f>
        <v/>
      </c>
      <c r="AW301" s="119">
        <f>AR301*AT301</f>
        <v/>
      </c>
      <c r="AX301" s="119">
        <f>AR301*AU301</f>
        <v/>
      </c>
    </row>
    <row r="302">
      <c r="A302" s="32" t="n">
        <v>292</v>
      </c>
      <c r="B302" s="33" t="n"/>
      <c r="C302" s="33" t="n"/>
      <c r="D302" s="33" t="n"/>
      <c r="E302" s="33" t="inlineStr">
        <is>
          <t>-</t>
        </is>
      </c>
      <c r="F302" s="54">
        <f>IFERROR((VLOOKUP(E302,$AE$11:$AG$14,3,0)),"-")</f>
        <v/>
      </c>
      <c r="G302" s="33" t="n"/>
      <c r="H302" s="33" t="n"/>
      <c r="I302" s="46" t="n"/>
      <c r="J302" s="35" t="n"/>
      <c r="K302" s="35" t="n"/>
      <c r="L302" s="36">
        <f>IF($H$4="-",0,IF($H$4="VAREJO",AW302,IF($H$4="ATACADO",AX302,0)))</f>
        <v/>
      </c>
      <c r="M302" s="33" t="n"/>
      <c r="AN302" s="47" t="n">
        <v>292</v>
      </c>
      <c r="AO302" s="117">
        <f>I302+(I302*J302)+(I302*K302)</f>
        <v/>
      </c>
      <c r="AP302" s="43">
        <f>IFERROR(VLOOKUP(E302,$AE$11:$AK$14,4,0),0)</f>
        <v/>
      </c>
      <c r="AQ302" s="117">
        <f>(I302+(I302*J302)+(I302*K302))*AP302</f>
        <v/>
      </c>
      <c r="AR302" s="118">
        <f>AO302+AQ302</f>
        <v/>
      </c>
      <c r="AT302" s="39">
        <f>IFERROR((VLOOKUP(E302,$AE$11:$AJ$14,5,0)),0)</f>
        <v/>
      </c>
      <c r="AU302" s="39">
        <f>IFERROR((VLOOKUP(E302,$AE$11:$AJ$14,6,0)),0)</f>
        <v/>
      </c>
      <c r="AW302" s="119">
        <f>AR302*AT302</f>
        <v/>
      </c>
      <c r="AX302" s="119">
        <f>AR302*AU302</f>
        <v/>
      </c>
    </row>
    <row r="303">
      <c r="A303" s="32" t="n">
        <v>293</v>
      </c>
      <c r="B303" s="33" t="n"/>
      <c r="C303" s="33" t="n"/>
      <c r="D303" s="33" t="n"/>
      <c r="E303" s="33" t="inlineStr">
        <is>
          <t>-</t>
        </is>
      </c>
      <c r="F303" s="54">
        <f>IFERROR((VLOOKUP(E303,$AE$11:$AG$14,3,0)),"-")</f>
        <v/>
      </c>
      <c r="G303" s="33" t="n"/>
      <c r="H303" s="33" t="n"/>
      <c r="I303" s="46" t="n"/>
      <c r="J303" s="35" t="n"/>
      <c r="K303" s="35" t="n"/>
      <c r="L303" s="36">
        <f>IF($H$4="-",0,IF($H$4="VAREJO",AW303,IF($H$4="ATACADO",AX303,0)))</f>
        <v/>
      </c>
      <c r="M303" s="33" t="n"/>
      <c r="AN303" s="47" t="n">
        <v>293</v>
      </c>
      <c r="AO303" s="117">
        <f>I303+(I303*J303)+(I303*K303)</f>
        <v/>
      </c>
      <c r="AP303" s="43">
        <f>IFERROR(VLOOKUP(E303,$AE$11:$AK$14,4,0),0)</f>
        <v/>
      </c>
      <c r="AQ303" s="117">
        <f>(I303+(I303*J303)+(I303*K303))*AP303</f>
        <v/>
      </c>
      <c r="AR303" s="118">
        <f>AO303+AQ303</f>
        <v/>
      </c>
      <c r="AT303" s="39">
        <f>IFERROR((VLOOKUP(E303,$AE$11:$AJ$14,5,0)),0)</f>
        <v/>
      </c>
      <c r="AU303" s="39">
        <f>IFERROR((VLOOKUP(E303,$AE$11:$AJ$14,6,0)),0)</f>
        <v/>
      </c>
      <c r="AW303" s="119">
        <f>AR303*AT303</f>
        <v/>
      </c>
      <c r="AX303" s="119">
        <f>AR303*AU303</f>
        <v/>
      </c>
    </row>
    <row r="304">
      <c r="A304" s="32" t="n">
        <v>294</v>
      </c>
      <c r="B304" s="33" t="n"/>
      <c r="C304" s="33" t="n"/>
      <c r="D304" s="33" t="n"/>
      <c r="E304" s="33" t="inlineStr">
        <is>
          <t>-</t>
        </is>
      </c>
      <c r="F304" s="54">
        <f>IFERROR((VLOOKUP(E304,$AE$11:$AG$14,3,0)),"-")</f>
        <v/>
      </c>
      <c r="G304" s="33" t="n"/>
      <c r="H304" s="33" t="n"/>
      <c r="I304" s="46" t="n"/>
      <c r="J304" s="35" t="n"/>
      <c r="K304" s="35" t="n"/>
      <c r="L304" s="36">
        <f>IF($H$4="-",0,IF($H$4="VAREJO",AW304,IF($H$4="ATACADO",AX304,0)))</f>
        <v/>
      </c>
      <c r="M304" s="33" t="n"/>
      <c r="AN304" s="47" t="n">
        <v>294</v>
      </c>
      <c r="AO304" s="117">
        <f>I304+(I304*J304)+(I304*K304)</f>
        <v/>
      </c>
      <c r="AP304" s="43">
        <f>IFERROR(VLOOKUP(E304,$AE$11:$AK$14,4,0),0)</f>
        <v/>
      </c>
      <c r="AQ304" s="117">
        <f>(I304+(I304*J304)+(I304*K304))*AP304</f>
        <v/>
      </c>
      <c r="AR304" s="118">
        <f>AO304+AQ304</f>
        <v/>
      </c>
      <c r="AT304" s="39">
        <f>IFERROR((VLOOKUP(E304,$AE$11:$AJ$14,5,0)),0)</f>
        <v/>
      </c>
      <c r="AU304" s="39">
        <f>IFERROR((VLOOKUP(E304,$AE$11:$AJ$14,6,0)),0)</f>
        <v/>
      </c>
      <c r="AW304" s="119">
        <f>AR304*AT304</f>
        <v/>
      </c>
      <c r="AX304" s="119">
        <f>AR304*AU304</f>
        <v/>
      </c>
    </row>
    <row r="305">
      <c r="A305" s="32" t="n">
        <v>295</v>
      </c>
      <c r="B305" s="33" t="n"/>
      <c r="C305" s="33" t="n"/>
      <c r="D305" s="33" t="n"/>
      <c r="E305" s="33" t="inlineStr">
        <is>
          <t>-</t>
        </is>
      </c>
      <c r="F305" s="54">
        <f>IFERROR((VLOOKUP(E305,$AE$11:$AG$14,3,0)),"-")</f>
        <v/>
      </c>
      <c r="G305" s="33" t="n"/>
      <c r="H305" s="33" t="n"/>
      <c r="I305" s="46" t="n"/>
      <c r="J305" s="35" t="n"/>
      <c r="K305" s="35" t="n"/>
      <c r="L305" s="36">
        <f>IF($H$4="-",0,IF($H$4="VAREJO",AW305,IF($H$4="ATACADO",AX305,0)))</f>
        <v/>
      </c>
      <c r="M305" s="33" t="n"/>
      <c r="AN305" s="47" t="n">
        <v>295</v>
      </c>
      <c r="AO305" s="117">
        <f>I305+(I305*J305)+(I305*K305)</f>
        <v/>
      </c>
      <c r="AP305" s="43">
        <f>IFERROR(VLOOKUP(E305,$AE$11:$AK$14,4,0),0)</f>
        <v/>
      </c>
      <c r="AQ305" s="117">
        <f>(I305+(I305*J305)+(I305*K305))*AP305</f>
        <v/>
      </c>
      <c r="AR305" s="118">
        <f>AO305+AQ305</f>
        <v/>
      </c>
      <c r="AT305" s="39">
        <f>IFERROR((VLOOKUP(E305,$AE$11:$AJ$14,5,0)),0)</f>
        <v/>
      </c>
      <c r="AU305" s="39">
        <f>IFERROR((VLOOKUP(E305,$AE$11:$AJ$14,6,0)),0)</f>
        <v/>
      </c>
      <c r="AW305" s="119">
        <f>AR305*AT305</f>
        <v/>
      </c>
      <c r="AX305" s="119">
        <f>AR305*AU305</f>
        <v/>
      </c>
    </row>
    <row r="306">
      <c r="A306" s="32" t="n">
        <v>296</v>
      </c>
      <c r="B306" s="33" t="n"/>
      <c r="C306" s="33" t="n"/>
      <c r="D306" s="33" t="n"/>
      <c r="E306" s="33" t="inlineStr">
        <is>
          <t>-</t>
        </is>
      </c>
      <c r="F306" s="54">
        <f>IFERROR((VLOOKUP(E306,$AE$11:$AG$14,3,0)),"-")</f>
        <v/>
      </c>
      <c r="G306" s="33" t="n"/>
      <c r="H306" s="33" t="n"/>
      <c r="I306" s="46" t="n"/>
      <c r="J306" s="35" t="n"/>
      <c r="K306" s="35" t="n"/>
      <c r="L306" s="36">
        <f>IF($H$4="-",0,IF($H$4="VAREJO",AW306,IF($H$4="ATACADO",AX306,0)))</f>
        <v/>
      </c>
      <c r="M306" s="33" t="n"/>
      <c r="AN306" s="47" t="n">
        <v>296</v>
      </c>
      <c r="AO306" s="117">
        <f>I306+(I306*J306)+(I306*K306)</f>
        <v/>
      </c>
      <c r="AP306" s="43">
        <f>IFERROR(VLOOKUP(E306,$AE$11:$AK$14,4,0),0)</f>
        <v/>
      </c>
      <c r="AQ306" s="117">
        <f>(I306+(I306*J306)+(I306*K306))*AP306</f>
        <v/>
      </c>
      <c r="AR306" s="118">
        <f>AO306+AQ306</f>
        <v/>
      </c>
      <c r="AT306" s="39">
        <f>IFERROR((VLOOKUP(E306,$AE$11:$AJ$14,5,0)),0)</f>
        <v/>
      </c>
      <c r="AU306" s="39">
        <f>IFERROR((VLOOKUP(E306,$AE$11:$AJ$14,6,0)),0)</f>
        <v/>
      </c>
      <c r="AW306" s="119">
        <f>AR306*AT306</f>
        <v/>
      </c>
      <c r="AX306" s="119">
        <f>AR306*AU306</f>
        <v/>
      </c>
    </row>
    <row r="307">
      <c r="A307" s="32" t="n">
        <v>297</v>
      </c>
      <c r="B307" s="33" t="n"/>
      <c r="C307" s="33" t="n"/>
      <c r="D307" s="33" t="n"/>
      <c r="E307" s="33" t="inlineStr">
        <is>
          <t>-</t>
        </is>
      </c>
      <c r="F307" s="54">
        <f>IFERROR((VLOOKUP(E307,$AE$11:$AG$14,3,0)),"-")</f>
        <v/>
      </c>
      <c r="G307" s="33" t="n"/>
      <c r="H307" s="33" t="n"/>
      <c r="I307" s="46" t="n"/>
      <c r="J307" s="35" t="n"/>
      <c r="K307" s="35" t="n"/>
      <c r="L307" s="36">
        <f>IF($H$4="-",0,IF($H$4="VAREJO",AW307,IF($H$4="ATACADO",AX307,0)))</f>
        <v/>
      </c>
      <c r="M307" s="33" t="n"/>
      <c r="AN307" s="47" t="n">
        <v>297</v>
      </c>
      <c r="AO307" s="117">
        <f>I307+(I307*J307)+(I307*K307)</f>
        <v/>
      </c>
      <c r="AP307" s="43">
        <f>IFERROR(VLOOKUP(E307,$AE$11:$AK$14,4,0),0)</f>
        <v/>
      </c>
      <c r="AQ307" s="117">
        <f>(I307+(I307*J307)+(I307*K307))*AP307</f>
        <v/>
      </c>
      <c r="AR307" s="118">
        <f>AO307+AQ307</f>
        <v/>
      </c>
      <c r="AT307" s="39">
        <f>IFERROR((VLOOKUP(E307,$AE$11:$AJ$14,5,0)),0)</f>
        <v/>
      </c>
      <c r="AU307" s="39">
        <f>IFERROR((VLOOKUP(E307,$AE$11:$AJ$14,6,0)),0)</f>
        <v/>
      </c>
      <c r="AW307" s="119">
        <f>AR307*AT307</f>
        <v/>
      </c>
      <c r="AX307" s="119">
        <f>AR307*AU307</f>
        <v/>
      </c>
    </row>
    <row r="308">
      <c r="A308" s="32" t="n">
        <v>298</v>
      </c>
      <c r="B308" s="33" t="n"/>
      <c r="C308" s="33" t="n"/>
      <c r="D308" s="33" t="n"/>
      <c r="E308" s="33" t="inlineStr">
        <is>
          <t>-</t>
        </is>
      </c>
      <c r="F308" s="54">
        <f>IFERROR((VLOOKUP(E308,$AE$11:$AG$14,3,0)),"-")</f>
        <v/>
      </c>
      <c r="G308" s="33" t="n"/>
      <c r="H308" s="33" t="n"/>
      <c r="I308" s="46" t="n"/>
      <c r="J308" s="35" t="n"/>
      <c r="K308" s="35" t="n"/>
      <c r="L308" s="36">
        <f>IF($H$4="-",0,IF($H$4="VAREJO",AW308,IF($H$4="ATACADO",AX308,0)))</f>
        <v/>
      </c>
      <c r="M308" s="33" t="n"/>
      <c r="AN308" s="47" t="n">
        <v>298</v>
      </c>
      <c r="AO308" s="117">
        <f>I308+(I308*J308)+(I308*K308)</f>
        <v/>
      </c>
      <c r="AP308" s="43">
        <f>IFERROR(VLOOKUP(E308,$AE$11:$AK$14,4,0),0)</f>
        <v/>
      </c>
      <c r="AQ308" s="117">
        <f>(I308+(I308*J308)+(I308*K308))*AP308</f>
        <v/>
      </c>
      <c r="AR308" s="118">
        <f>AO308+AQ308</f>
        <v/>
      </c>
      <c r="AT308" s="39">
        <f>IFERROR((VLOOKUP(E308,$AE$11:$AJ$14,5,0)),0)</f>
        <v/>
      </c>
      <c r="AU308" s="39">
        <f>IFERROR((VLOOKUP(E308,$AE$11:$AJ$14,6,0)),0)</f>
        <v/>
      </c>
      <c r="AW308" s="119">
        <f>AR308*AT308</f>
        <v/>
      </c>
      <c r="AX308" s="119">
        <f>AR308*AU308</f>
        <v/>
      </c>
    </row>
    <row r="309">
      <c r="A309" s="32" t="n">
        <v>299</v>
      </c>
      <c r="B309" s="33" t="n"/>
      <c r="C309" s="33" t="n"/>
      <c r="D309" s="33" t="n"/>
      <c r="E309" s="33" t="inlineStr">
        <is>
          <t>-</t>
        </is>
      </c>
      <c r="F309" s="54">
        <f>IFERROR((VLOOKUP(E309,$AE$11:$AG$14,3,0)),"-")</f>
        <v/>
      </c>
      <c r="G309" s="33" t="n"/>
      <c r="H309" s="33" t="n"/>
      <c r="I309" s="46" t="n"/>
      <c r="J309" s="35" t="n"/>
      <c r="K309" s="35" t="n"/>
      <c r="L309" s="36">
        <f>IF($H$4="-",0,IF($H$4="VAREJO",AW309,IF($H$4="ATACADO",AX309,0)))</f>
        <v/>
      </c>
      <c r="M309" s="33" t="n"/>
      <c r="AN309" s="47" t="n">
        <v>299</v>
      </c>
      <c r="AO309" s="117">
        <f>I309+(I309*J309)+(I309*K309)</f>
        <v/>
      </c>
      <c r="AP309" s="43">
        <f>IFERROR(VLOOKUP(E309,$AE$11:$AK$14,4,0),0)</f>
        <v/>
      </c>
      <c r="AQ309" s="117">
        <f>(I309+(I309*J309)+(I309*K309))*AP309</f>
        <v/>
      </c>
      <c r="AR309" s="118">
        <f>AO309+AQ309</f>
        <v/>
      </c>
      <c r="AT309" s="39">
        <f>IFERROR((VLOOKUP(E309,$AE$11:$AJ$14,5,0)),0)</f>
        <v/>
      </c>
      <c r="AU309" s="39">
        <f>IFERROR((VLOOKUP(E309,$AE$11:$AJ$14,6,0)),0)</f>
        <v/>
      </c>
      <c r="AW309" s="119">
        <f>AR309*AT309</f>
        <v/>
      </c>
      <c r="AX309" s="119">
        <f>AR309*AU309</f>
        <v/>
      </c>
    </row>
    <row r="310">
      <c r="A310" s="32" t="n">
        <v>300</v>
      </c>
      <c r="B310" s="33" t="n"/>
      <c r="C310" s="33" t="n"/>
      <c r="D310" s="33" t="n"/>
      <c r="E310" s="33" t="inlineStr">
        <is>
          <t>-</t>
        </is>
      </c>
      <c r="F310" s="54">
        <f>IFERROR((VLOOKUP(E310,$AE$11:$AG$14,3,0)),"-")</f>
        <v/>
      </c>
      <c r="G310" s="33" t="n"/>
      <c r="H310" s="33" t="n"/>
      <c r="I310" s="46" t="n"/>
      <c r="J310" s="35" t="n"/>
      <c r="K310" s="35" t="n"/>
      <c r="L310" s="36">
        <f>IF($H$4="-",0,IF($H$4="VAREJO",AW310,IF($H$4="ATACADO",AX310,0)))</f>
        <v/>
      </c>
      <c r="M310" s="33" t="n"/>
      <c r="AN310" s="47" t="n">
        <v>300</v>
      </c>
      <c r="AO310" s="117">
        <f>I310+(I310*J310)+(I310*K310)</f>
        <v/>
      </c>
      <c r="AP310" s="43">
        <f>IFERROR(VLOOKUP(E310,$AE$11:$AK$14,4,0),0)</f>
        <v/>
      </c>
      <c r="AQ310" s="117">
        <f>(I310+(I310*J310)+(I310*K310))*AP310</f>
        <v/>
      </c>
      <c r="AR310" s="118">
        <f>AO310+AQ310</f>
        <v/>
      </c>
      <c r="AT310" s="39">
        <f>IFERROR((VLOOKUP(E310,$AE$11:$AJ$14,5,0)),0)</f>
        <v/>
      </c>
      <c r="AU310" s="39">
        <f>IFERROR((VLOOKUP(E310,$AE$11:$AJ$14,6,0)),0)</f>
        <v/>
      </c>
      <c r="AW310" s="119">
        <f>AR310*AT310</f>
        <v/>
      </c>
      <c r="AX310" s="119">
        <f>AR310*AU310</f>
        <v/>
      </c>
    </row>
    <row r="311">
      <c r="A311" s="32" t="n">
        <v>301</v>
      </c>
      <c r="B311" s="33" t="n"/>
      <c r="C311" s="33" t="n"/>
      <c r="D311" s="33" t="n"/>
      <c r="E311" s="33" t="inlineStr">
        <is>
          <t>-</t>
        </is>
      </c>
      <c r="F311" s="54">
        <f>IFERROR((VLOOKUP(E311,$AE$11:$AG$14,3,0)),"-")</f>
        <v/>
      </c>
      <c r="G311" s="33" t="n"/>
      <c r="H311" s="33" t="n"/>
      <c r="I311" s="46" t="n"/>
      <c r="J311" s="35" t="n"/>
      <c r="K311" s="35" t="n"/>
      <c r="L311" s="36">
        <f>IF($H$4="-",0,IF($H$4="VAREJO",AW311,IF($H$4="ATACADO",AX311,0)))</f>
        <v/>
      </c>
      <c r="M311" s="33" t="n"/>
      <c r="AN311" s="47" t="n">
        <v>301</v>
      </c>
      <c r="AO311" s="117">
        <f>I311+(I311*J311)+(I311*K311)</f>
        <v/>
      </c>
      <c r="AP311" s="43">
        <f>IFERROR(VLOOKUP(E311,$AE$11:$AK$14,4,0),0)</f>
        <v/>
      </c>
      <c r="AQ311" s="117">
        <f>(I311+(I311*J311)+(I311*K311))*AP311</f>
        <v/>
      </c>
      <c r="AR311" s="118">
        <f>AO311+AQ311</f>
        <v/>
      </c>
      <c r="AT311" s="39">
        <f>IFERROR((VLOOKUP(E311,$AE$11:$AJ$14,5,0)),0)</f>
        <v/>
      </c>
      <c r="AU311" s="39">
        <f>IFERROR((VLOOKUP(E311,$AE$11:$AJ$14,6,0)),0)</f>
        <v/>
      </c>
      <c r="AW311" s="119">
        <f>AR311*AT311</f>
        <v/>
      </c>
      <c r="AX311" s="119">
        <f>AR311*AU311</f>
        <v/>
      </c>
    </row>
    <row r="312">
      <c r="A312" s="32" t="n">
        <v>302</v>
      </c>
      <c r="B312" s="33" t="n"/>
      <c r="C312" s="33" t="n"/>
      <c r="D312" s="33" t="n"/>
      <c r="E312" s="33" t="inlineStr">
        <is>
          <t>-</t>
        </is>
      </c>
      <c r="F312" s="54">
        <f>IFERROR((VLOOKUP(E312,$AE$11:$AG$14,3,0)),"-")</f>
        <v/>
      </c>
      <c r="G312" s="33" t="n"/>
      <c r="H312" s="33" t="n"/>
      <c r="I312" s="46" t="n"/>
      <c r="J312" s="35" t="n"/>
      <c r="K312" s="35" t="n"/>
      <c r="L312" s="36">
        <f>IF($H$4="-",0,IF($H$4="VAREJO",AW312,IF($H$4="ATACADO",AX312,0)))</f>
        <v/>
      </c>
      <c r="M312" s="33" t="n"/>
      <c r="AN312" s="47" t="n">
        <v>302</v>
      </c>
      <c r="AO312" s="117">
        <f>I312+(I312*J312)+(I312*K312)</f>
        <v/>
      </c>
      <c r="AP312" s="43">
        <f>IFERROR(VLOOKUP(E312,$AE$11:$AK$14,4,0),0)</f>
        <v/>
      </c>
      <c r="AQ312" s="117">
        <f>(I312+(I312*J312)+(I312*K312))*AP312</f>
        <v/>
      </c>
      <c r="AR312" s="118">
        <f>AO312+AQ312</f>
        <v/>
      </c>
      <c r="AT312" s="39">
        <f>IFERROR((VLOOKUP(E312,$AE$11:$AJ$14,5,0)),0)</f>
        <v/>
      </c>
      <c r="AU312" s="39">
        <f>IFERROR((VLOOKUP(E312,$AE$11:$AJ$14,6,0)),0)</f>
        <v/>
      </c>
      <c r="AW312" s="119">
        <f>AR312*AT312</f>
        <v/>
      </c>
      <c r="AX312" s="119">
        <f>AR312*AU312</f>
        <v/>
      </c>
    </row>
    <row r="313">
      <c r="A313" s="32" t="n">
        <v>303</v>
      </c>
      <c r="B313" s="33" t="n"/>
      <c r="C313" s="33" t="n"/>
      <c r="D313" s="33" t="n"/>
      <c r="E313" s="33" t="inlineStr">
        <is>
          <t>-</t>
        </is>
      </c>
      <c r="F313" s="54">
        <f>IFERROR((VLOOKUP(E313,$AE$11:$AG$14,3,0)),"-")</f>
        <v/>
      </c>
      <c r="G313" s="33" t="n"/>
      <c r="H313" s="33" t="n"/>
      <c r="I313" s="46" t="n"/>
      <c r="J313" s="35" t="n"/>
      <c r="K313" s="35" t="n"/>
      <c r="L313" s="36">
        <f>IF($H$4="-",0,IF($H$4="VAREJO",AW313,IF($H$4="ATACADO",AX313,0)))</f>
        <v/>
      </c>
      <c r="M313" s="33" t="n"/>
      <c r="AN313" s="47" t="n">
        <v>303</v>
      </c>
      <c r="AO313" s="117">
        <f>I313+(I313*J313)+(I313*K313)</f>
        <v/>
      </c>
      <c r="AP313" s="43">
        <f>IFERROR(VLOOKUP(E313,$AE$11:$AK$14,4,0),0)</f>
        <v/>
      </c>
      <c r="AQ313" s="117">
        <f>(I313+(I313*J313)+(I313*K313))*AP313</f>
        <v/>
      </c>
      <c r="AR313" s="118">
        <f>AO313+AQ313</f>
        <v/>
      </c>
      <c r="AT313" s="39">
        <f>IFERROR((VLOOKUP(E313,$AE$11:$AJ$14,5,0)),0)</f>
        <v/>
      </c>
      <c r="AU313" s="39">
        <f>IFERROR((VLOOKUP(E313,$AE$11:$AJ$14,6,0)),0)</f>
        <v/>
      </c>
      <c r="AW313" s="119">
        <f>AR313*AT313</f>
        <v/>
      </c>
      <c r="AX313" s="119">
        <f>AR313*AU313</f>
        <v/>
      </c>
    </row>
    <row r="314">
      <c r="A314" s="32" t="n">
        <v>304</v>
      </c>
      <c r="B314" s="33" t="n"/>
      <c r="C314" s="33" t="n"/>
      <c r="D314" s="33" t="n"/>
      <c r="E314" s="33" t="inlineStr">
        <is>
          <t>-</t>
        </is>
      </c>
      <c r="F314" s="54">
        <f>IFERROR((VLOOKUP(E314,$AE$11:$AG$14,3,0)),"-")</f>
        <v/>
      </c>
      <c r="G314" s="33" t="n"/>
      <c r="H314" s="33" t="n"/>
      <c r="I314" s="46" t="n"/>
      <c r="J314" s="35" t="n"/>
      <c r="K314" s="35" t="n"/>
      <c r="L314" s="36">
        <f>IF($H$4="-",0,IF($H$4="VAREJO",AW314,IF($H$4="ATACADO",AX314,0)))</f>
        <v/>
      </c>
      <c r="M314" s="33" t="n"/>
      <c r="AN314" s="47" t="n">
        <v>304</v>
      </c>
      <c r="AO314" s="117">
        <f>I314+(I314*J314)+(I314*K314)</f>
        <v/>
      </c>
      <c r="AP314" s="43">
        <f>IFERROR(VLOOKUP(E314,$AE$11:$AK$14,4,0),0)</f>
        <v/>
      </c>
      <c r="AQ314" s="117">
        <f>(I314+(I314*J314)+(I314*K314))*AP314</f>
        <v/>
      </c>
      <c r="AR314" s="118">
        <f>AO314+AQ314</f>
        <v/>
      </c>
      <c r="AT314" s="39">
        <f>IFERROR((VLOOKUP(E314,$AE$11:$AJ$14,5,0)),0)</f>
        <v/>
      </c>
      <c r="AU314" s="39">
        <f>IFERROR((VLOOKUP(E314,$AE$11:$AJ$14,6,0)),0)</f>
        <v/>
      </c>
      <c r="AW314" s="119">
        <f>AR314*AT314</f>
        <v/>
      </c>
      <c r="AX314" s="119">
        <f>AR314*AU314</f>
        <v/>
      </c>
    </row>
    <row r="315">
      <c r="A315" s="32" t="n">
        <v>305</v>
      </c>
      <c r="B315" s="33" t="n"/>
      <c r="C315" s="33" t="n"/>
      <c r="D315" s="33" t="n"/>
      <c r="E315" s="33" t="inlineStr">
        <is>
          <t>-</t>
        </is>
      </c>
      <c r="F315" s="54">
        <f>IFERROR((VLOOKUP(E315,$AE$11:$AG$14,3,0)),"-")</f>
        <v/>
      </c>
      <c r="G315" s="33" t="n"/>
      <c r="H315" s="33" t="n"/>
      <c r="I315" s="46" t="n"/>
      <c r="J315" s="35" t="n"/>
      <c r="K315" s="35" t="n"/>
      <c r="L315" s="36">
        <f>IF($H$4="-",0,IF($H$4="VAREJO",AW315,IF($H$4="ATACADO",AX315,0)))</f>
        <v/>
      </c>
      <c r="M315" s="33" t="n"/>
      <c r="AN315" s="47" t="n">
        <v>305</v>
      </c>
      <c r="AO315" s="117">
        <f>I315+(I315*J315)+(I315*K315)</f>
        <v/>
      </c>
      <c r="AP315" s="43">
        <f>IFERROR(VLOOKUP(E315,$AE$11:$AK$14,4,0),0)</f>
        <v/>
      </c>
      <c r="AQ315" s="117">
        <f>(I315+(I315*J315)+(I315*K315))*AP315</f>
        <v/>
      </c>
      <c r="AR315" s="118">
        <f>AO315+AQ315</f>
        <v/>
      </c>
      <c r="AT315" s="39">
        <f>IFERROR((VLOOKUP(E315,$AE$11:$AJ$14,5,0)),0)</f>
        <v/>
      </c>
      <c r="AU315" s="39">
        <f>IFERROR((VLOOKUP(E315,$AE$11:$AJ$14,6,0)),0)</f>
        <v/>
      </c>
      <c r="AW315" s="119">
        <f>AR315*AT315</f>
        <v/>
      </c>
      <c r="AX315" s="119">
        <f>AR315*AU315</f>
        <v/>
      </c>
    </row>
    <row r="316">
      <c r="A316" s="32" t="n">
        <v>306</v>
      </c>
      <c r="B316" s="33" t="n"/>
      <c r="C316" s="33" t="n"/>
      <c r="D316" s="33" t="n"/>
      <c r="E316" s="33" t="inlineStr">
        <is>
          <t>-</t>
        </is>
      </c>
      <c r="F316" s="54">
        <f>IFERROR((VLOOKUP(E316,$AE$11:$AG$14,3,0)),"-")</f>
        <v/>
      </c>
      <c r="G316" s="33" t="n"/>
      <c r="H316" s="33" t="n"/>
      <c r="I316" s="46" t="n"/>
      <c r="J316" s="35" t="n"/>
      <c r="K316" s="35" t="n"/>
      <c r="L316" s="36">
        <f>IF($H$4="-",0,IF($H$4="VAREJO",AW316,IF($H$4="ATACADO",AX316,0)))</f>
        <v/>
      </c>
      <c r="M316" s="33" t="n"/>
      <c r="AN316" s="47" t="n">
        <v>306</v>
      </c>
      <c r="AO316" s="117">
        <f>I316+(I316*J316)+(I316*K316)</f>
        <v/>
      </c>
      <c r="AP316" s="43">
        <f>IFERROR(VLOOKUP(E316,$AE$11:$AK$14,4,0),0)</f>
        <v/>
      </c>
      <c r="AQ316" s="117">
        <f>(I316+(I316*J316)+(I316*K316))*AP316</f>
        <v/>
      </c>
      <c r="AR316" s="118">
        <f>AO316+AQ316</f>
        <v/>
      </c>
      <c r="AT316" s="39">
        <f>IFERROR((VLOOKUP(E316,$AE$11:$AJ$14,5,0)),0)</f>
        <v/>
      </c>
      <c r="AU316" s="39">
        <f>IFERROR((VLOOKUP(E316,$AE$11:$AJ$14,6,0)),0)</f>
        <v/>
      </c>
      <c r="AW316" s="119">
        <f>AR316*AT316</f>
        <v/>
      </c>
      <c r="AX316" s="119">
        <f>AR316*AU316</f>
        <v/>
      </c>
    </row>
    <row r="317">
      <c r="A317" s="32" t="n">
        <v>307</v>
      </c>
      <c r="B317" s="33" t="n"/>
      <c r="C317" s="33" t="n"/>
      <c r="D317" s="33" t="n"/>
      <c r="E317" s="33" t="inlineStr">
        <is>
          <t>-</t>
        </is>
      </c>
      <c r="F317" s="54">
        <f>IFERROR((VLOOKUP(E317,$AE$11:$AG$14,3,0)),"-")</f>
        <v/>
      </c>
      <c r="G317" s="33" t="n"/>
      <c r="H317" s="33" t="n"/>
      <c r="I317" s="46" t="n"/>
      <c r="J317" s="35" t="n"/>
      <c r="K317" s="35" t="n"/>
      <c r="L317" s="36">
        <f>IF($H$4="-",0,IF($H$4="VAREJO",AW317,IF($H$4="ATACADO",AX317,0)))</f>
        <v/>
      </c>
      <c r="M317" s="33" t="n"/>
      <c r="AN317" s="47" t="n">
        <v>307</v>
      </c>
      <c r="AO317" s="117">
        <f>I317+(I317*J317)+(I317*K317)</f>
        <v/>
      </c>
      <c r="AP317" s="43">
        <f>IFERROR(VLOOKUP(E317,$AE$11:$AK$14,4,0),0)</f>
        <v/>
      </c>
      <c r="AQ317" s="117">
        <f>(I317+(I317*J317)+(I317*K317))*AP317</f>
        <v/>
      </c>
      <c r="AR317" s="118">
        <f>AO317+AQ317</f>
        <v/>
      </c>
      <c r="AT317" s="39">
        <f>IFERROR((VLOOKUP(E317,$AE$11:$AJ$14,5,0)),0)</f>
        <v/>
      </c>
      <c r="AU317" s="39">
        <f>IFERROR((VLOOKUP(E317,$AE$11:$AJ$14,6,0)),0)</f>
        <v/>
      </c>
      <c r="AW317" s="119">
        <f>AR317*AT317</f>
        <v/>
      </c>
      <c r="AX317" s="119">
        <f>AR317*AU317</f>
        <v/>
      </c>
    </row>
    <row r="318">
      <c r="A318" s="32" t="n">
        <v>308</v>
      </c>
      <c r="B318" s="33" t="n"/>
      <c r="C318" s="33" t="n"/>
      <c r="D318" s="33" t="n"/>
      <c r="E318" s="33" t="inlineStr">
        <is>
          <t>-</t>
        </is>
      </c>
      <c r="F318" s="54">
        <f>IFERROR((VLOOKUP(E318,$AE$11:$AG$14,3,0)),"-")</f>
        <v/>
      </c>
      <c r="G318" s="33" t="n"/>
      <c r="H318" s="33" t="n"/>
      <c r="I318" s="46" t="n"/>
      <c r="J318" s="35" t="n"/>
      <c r="K318" s="35" t="n"/>
      <c r="L318" s="36">
        <f>IF($H$4="-",0,IF($H$4="VAREJO",AW318,IF($H$4="ATACADO",AX318,0)))</f>
        <v/>
      </c>
      <c r="M318" s="33" t="n"/>
      <c r="AN318" s="47" t="n">
        <v>308</v>
      </c>
      <c r="AO318" s="117">
        <f>I318+(I318*J318)+(I318*K318)</f>
        <v/>
      </c>
      <c r="AP318" s="43">
        <f>IFERROR(VLOOKUP(E318,$AE$11:$AK$14,4,0),0)</f>
        <v/>
      </c>
      <c r="AQ318" s="117">
        <f>(I318+(I318*J318)+(I318*K318))*AP318</f>
        <v/>
      </c>
      <c r="AR318" s="118">
        <f>AO318+AQ318</f>
        <v/>
      </c>
      <c r="AT318" s="39">
        <f>IFERROR((VLOOKUP(E318,$AE$11:$AJ$14,5,0)),0)</f>
        <v/>
      </c>
      <c r="AU318" s="39">
        <f>IFERROR((VLOOKUP(E318,$AE$11:$AJ$14,6,0)),0)</f>
        <v/>
      </c>
      <c r="AW318" s="119">
        <f>AR318*AT318</f>
        <v/>
      </c>
      <c r="AX318" s="119">
        <f>AR318*AU318</f>
        <v/>
      </c>
    </row>
    <row r="319">
      <c r="A319" s="32" t="n">
        <v>309</v>
      </c>
      <c r="B319" s="33" t="n"/>
      <c r="C319" s="33" t="n"/>
      <c r="D319" s="33" t="n"/>
      <c r="E319" s="33" t="inlineStr">
        <is>
          <t>-</t>
        </is>
      </c>
      <c r="F319" s="54">
        <f>IFERROR((VLOOKUP(E319,$AE$11:$AG$14,3,0)),"-")</f>
        <v/>
      </c>
      <c r="G319" s="33" t="n"/>
      <c r="H319" s="33" t="n"/>
      <c r="I319" s="46" t="n"/>
      <c r="J319" s="35" t="n"/>
      <c r="K319" s="35" t="n"/>
      <c r="L319" s="36">
        <f>IF($H$4="-",0,IF($H$4="VAREJO",AW319,IF($H$4="ATACADO",AX319,0)))</f>
        <v/>
      </c>
      <c r="M319" s="33" t="n"/>
      <c r="AN319" s="47" t="n">
        <v>309</v>
      </c>
      <c r="AO319" s="117">
        <f>I319+(I319*J319)+(I319*K319)</f>
        <v/>
      </c>
      <c r="AP319" s="43">
        <f>IFERROR(VLOOKUP(E319,$AE$11:$AK$14,4,0),0)</f>
        <v/>
      </c>
      <c r="AQ319" s="117">
        <f>(I319+(I319*J319)+(I319*K319))*AP319</f>
        <v/>
      </c>
      <c r="AR319" s="118">
        <f>AO319+AQ319</f>
        <v/>
      </c>
      <c r="AT319" s="39">
        <f>IFERROR((VLOOKUP(E319,$AE$11:$AJ$14,5,0)),0)</f>
        <v/>
      </c>
      <c r="AU319" s="39">
        <f>IFERROR((VLOOKUP(E319,$AE$11:$AJ$14,6,0)),0)</f>
        <v/>
      </c>
      <c r="AW319" s="119">
        <f>AR319*AT319</f>
        <v/>
      </c>
      <c r="AX319" s="119">
        <f>AR319*AU319</f>
        <v/>
      </c>
    </row>
    <row r="320">
      <c r="A320" s="32" t="n">
        <v>310</v>
      </c>
      <c r="B320" s="33" t="n"/>
      <c r="C320" s="33" t="n"/>
      <c r="D320" s="33" t="n"/>
      <c r="E320" s="33" t="inlineStr">
        <is>
          <t>-</t>
        </is>
      </c>
      <c r="F320" s="54">
        <f>IFERROR((VLOOKUP(E320,$AE$11:$AG$14,3,0)),"-")</f>
        <v/>
      </c>
      <c r="G320" s="33" t="n"/>
      <c r="H320" s="33" t="n"/>
      <c r="I320" s="46" t="n"/>
      <c r="J320" s="35" t="n"/>
      <c r="K320" s="35" t="n"/>
      <c r="L320" s="36">
        <f>IF($H$4="-",0,IF($H$4="VAREJO",AW320,IF($H$4="ATACADO",AX320,0)))</f>
        <v/>
      </c>
      <c r="M320" s="33" t="n"/>
      <c r="AN320" s="47" t="n">
        <v>310</v>
      </c>
      <c r="AO320" s="117">
        <f>I320+(I320*J320)+(I320*K320)</f>
        <v/>
      </c>
      <c r="AP320" s="43">
        <f>IFERROR(VLOOKUP(E320,$AE$11:$AK$14,4,0),0)</f>
        <v/>
      </c>
      <c r="AQ320" s="117">
        <f>(I320+(I320*J320)+(I320*K320))*AP320</f>
        <v/>
      </c>
      <c r="AR320" s="118">
        <f>AO320+AQ320</f>
        <v/>
      </c>
      <c r="AT320" s="39">
        <f>IFERROR((VLOOKUP(E320,$AE$11:$AJ$14,5,0)),0)</f>
        <v/>
      </c>
      <c r="AU320" s="39">
        <f>IFERROR((VLOOKUP(E320,$AE$11:$AJ$14,6,0)),0)</f>
        <v/>
      </c>
      <c r="AW320" s="119">
        <f>AR320*AT320</f>
        <v/>
      </c>
      <c r="AX320" s="119">
        <f>AR320*AU320</f>
        <v/>
      </c>
    </row>
    <row r="321">
      <c r="A321" s="32" t="n">
        <v>311</v>
      </c>
      <c r="B321" s="33" t="n"/>
      <c r="C321" s="33" t="n"/>
      <c r="D321" s="33" t="n"/>
      <c r="E321" s="33" t="inlineStr">
        <is>
          <t>-</t>
        </is>
      </c>
      <c r="F321" s="54">
        <f>IFERROR((VLOOKUP(E321,$AE$11:$AG$14,3,0)),"-")</f>
        <v/>
      </c>
      <c r="G321" s="33" t="n"/>
      <c r="H321" s="33" t="n"/>
      <c r="I321" s="46" t="n"/>
      <c r="J321" s="35" t="n"/>
      <c r="K321" s="35" t="n"/>
      <c r="L321" s="36">
        <f>IF($H$4="-",0,IF($H$4="VAREJO",AW321,IF($H$4="ATACADO",AX321,0)))</f>
        <v/>
      </c>
      <c r="M321" s="33" t="n"/>
      <c r="AN321" s="47" t="n">
        <v>311</v>
      </c>
      <c r="AO321" s="117">
        <f>I321+(I321*J321)+(I321*K321)</f>
        <v/>
      </c>
      <c r="AP321" s="43">
        <f>IFERROR(VLOOKUP(E321,$AE$11:$AK$14,4,0),0)</f>
        <v/>
      </c>
      <c r="AQ321" s="117">
        <f>(I321+(I321*J321)+(I321*K321))*AP321</f>
        <v/>
      </c>
      <c r="AR321" s="118">
        <f>AO321+AQ321</f>
        <v/>
      </c>
      <c r="AT321" s="39">
        <f>IFERROR((VLOOKUP(E321,$AE$11:$AJ$14,5,0)),0)</f>
        <v/>
      </c>
      <c r="AU321" s="39">
        <f>IFERROR((VLOOKUP(E321,$AE$11:$AJ$14,6,0)),0)</f>
        <v/>
      </c>
      <c r="AW321" s="119">
        <f>AR321*AT321</f>
        <v/>
      </c>
      <c r="AX321" s="119">
        <f>AR321*AU321</f>
        <v/>
      </c>
    </row>
    <row r="322">
      <c r="A322" s="32" t="n">
        <v>312</v>
      </c>
      <c r="B322" s="33" t="n"/>
      <c r="C322" s="33" t="n"/>
      <c r="D322" s="33" t="n"/>
      <c r="E322" s="33" t="inlineStr">
        <is>
          <t>-</t>
        </is>
      </c>
      <c r="F322" s="54">
        <f>IFERROR((VLOOKUP(E322,$AE$11:$AG$14,3,0)),"-")</f>
        <v/>
      </c>
      <c r="G322" s="33" t="n"/>
      <c r="H322" s="33" t="n"/>
      <c r="I322" s="46" t="n"/>
      <c r="J322" s="35" t="n"/>
      <c r="K322" s="35" t="n"/>
      <c r="L322" s="36">
        <f>IF($H$4="-",0,IF($H$4="VAREJO",AW322,IF($H$4="ATACADO",AX322,0)))</f>
        <v/>
      </c>
      <c r="M322" s="33" t="n"/>
      <c r="AN322" s="47" t="n">
        <v>312</v>
      </c>
      <c r="AO322" s="117">
        <f>I322+(I322*J322)+(I322*K322)</f>
        <v/>
      </c>
      <c r="AP322" s="43">
        <f>IFERROR(VLOOKUP(E322,$AE$11:$AK$14,4,0),0)</f>
        <v/>
      </c>
      <c r="AQ322" s="117">
        <f>(I322+(I322*J322)+(I322*K322))*AP322</f>
        <v/>
      </c>
      <c r="AR322" s="118">
        <f>AO322+AQ322</f>
        <v/>
      </c>
      <c r="AT322" s="39">
        <f>IFERROR((VLOOKUP(E322,$AE$11:$AJ$14,5,0)),0)</f>
        <v/>
      </c>
      <c r="AU322" s="39">
        <f>IFERROR((VLOOKUP(E322,$AE$11:$AJ$14,6,0)),0)</f>
        <v/>
      </c>
      <c r="AW322" s="119">
        <f>AR322*AT322</f>
        <v/>
      </c>
      <c r="AX322" s="119">
        <f>AR322*AU322</f>
        <v/>
      </c>
    </row>
    <row r="323">
      <c r="A323" s="32" t="n">
        <v>313</v>
      </c>
      <c r="B323" s="33" t="n"/>
      <c r="C323" s="33" t="n"/>
      <c r="D323" s="33" t="n"/>
      <c r="E323" s="33" t="inlineStr">
        <is>
          <t>-</t>
        </is>
      </c>
      <c r="F323" s="54">
        <f>IFERROR((VLOOKUP(E323,$AE$11:$AG$14,3,0)),"-")</f>
        <v/>
      </c>
      <c r="G323" s="33" t="n"/>
      <c r="H323" s="33" t="n"/>
      <c r="I323" s="46" t="n"/>
      <c r="J323" s="35" t="n"/>
      <c r="K323" s="35" t="n"/>
      <c r="L323" s="36">
        <f>IF($H$4="-",0,IF($H$4="VAREJO",AW323,IF($H$4="ATACADO",AX323,0)))</f>
        <v/>
      </c>
      <c r="M323" s="33" t="n"/>
      <c r="AN323" s="47" t="n">
        <v>313</v>
      </c>
      <c r="AO323" s="117">
        <f>I323+(I323*J323)+(I323*K323)</f>
        <v/>
      </c>
      <c r="AP323" s="43">
        <f>IFERROR(VLOOKUP(E323,$AE$11:$AK$14,4,0),0)</f>
        <v/>
      </c>
      <c r="AQ323" s="117">
        <f>(I323+(I323*J323)+(I323*K323))*AP323</f>
        <v/>
      </c>
      <c r="AR323" s="118">
        <f>AO323+AQ323</f>
        <v/>
      </c>
      <c r="AT323" s="39">
        <f>IFERROR((VLOOKUP(E323,$AE$11:$AJ$14,5,0)),0)</f>
        <v/>
      </c>
      <c r="AU323" s="39">
        <f>IFERROR((VLOOKUP(E323,$AE$11:$AJ$14,6,0)),0)</f>
        <v/>
      </c>
      <c r="AW323" s="119">
        <f>AR323*AT323</f>
        <v/>
      </c>
      <c r="AX323" s="119">
        <f>AR323*AU323</f>
        <v/>
      </c>
    </row>
    <row r="324">
      <c r="A324" s="32" t="n">
        <v>314</v>
      </c>
      <c r="B324" s="33" t="n"/>
      <c r="C324" s="33" t="n"/>
      <c r="D324" s="33" t="n"/>
      <c r="E324" s="33" t="inlineStr">
        <is>
          <t>-</t>
        </is>
      </c>
      <c r="F324" s="54">
        <f>IFERROR((VLOOKUP(E324,$AE$11:$AG$14,3,0)),"-")</f>
        <v/>
      </c>
      <c r="G324" s="33" t="n"/>
      <c r="H324" s="33" t="n"/>
      <c r="I324" s="46" t="n"/>
      <c r="J324" s="35" t="n"/>
      <c r="K324" s="35" t="n"/>
      <c r="L324" s="36">
        <f>IF($H$4="-",0,IF($H$4="VAREJO",AW324,IF($H$4="ATACADO",AX324,0)))</f>
        <v/>
      </c>
      <c r="M324" s="33" t="n"/>
      <c r="AN324" s="47" t="n">
        <v>314</v>
      </c>
      <c r="AO324" s="117">
        <f>I324+(I324*J324)+(I324*K324)</f>
        <v/>
      </c>
      <c r="AP324" s="43">
        <f>IFERROR(VLOOKUP(E324,$AE$11:$AK$14,4,0),0)</f>
        <v/>
      </c>
      <c r="AQ324" s="117">
        <f>(I324+(I324*J324)+(I324*K324))*AP324</f>
        <v/>
      </c>
      <c r="AR324" s="118">
        <f>AO324+AQ324</f>
        <v/>
      </c>
      <c r="AT324" s="39">
        <f>IFERROR((VLOOKUP(E324,$AE$11:$AJ$14,5,0)),0)</f>
        <v/>
      </c>
      <c r="AU324" s="39">
        <f>IFERROR((VLOOKUP(E324,$AE$11:$AJ$14,6,0)),0)</f>
        <v/>
      </c>
      <c r="AW324" s="119">
        <f>AR324*AT324</f>
        <v/>
      </c>
      <c r="AX324" s="119">
        <f>AR324*AU324</f>
        <v/>
      </c>
    </row>
    <row r="325">
      <c r="A325" s="32" t="n">
        <v>315</v>
      </c>
      <c r="B325" s="33" t="n"/>
      <c r="C325" s="33" t="n"/>
      <c r="D325" s="33" t="n"/>
      <c r="E325" s="33" t="inlineStr">
        <is>
          <t>-</t>
        </is>
      </c>
      <c r="F325" s="54">
        <f>IFERROR((VLOOKUP(E325,$AE$11:$AG$14,3,0)),"-")</f>
        <v/>
      </c>
      <c r="G325" s="33" t="n"/>
      <c r="H325" s="33" t="n"/>
      <c r="I325" s="46" t="n"/>
      <c r="J325" s="35" t="n"/>
      <c r="K325" s="35" t="n"/>
      <c r="L325" s="36">
        <f>IF($H$4="-",0,IF($H$4="VAREJO",AW325,IF($H$4="ATACADO",AX325,0)))</f>
        <v/>
      </c>
      <c r="M325" s="33" t="n"/>
      <c r="AN325" s="47" t="n">
        <v>315</v>
      </c>
      <c r="AO325" s="117">
        <f>I325+(I325*J325)+(I325*K325)</f>
        <v/>
      </c>
      <c r="AP325" s="43">
        <f>IFERROR(VLOOKUP(E325,$AE$11:$AK$14,4,0),0)</f>
        <v/>
      </c>
      <c r="AQ325" s="117">
        <f>(I325+(I325*J325)+(I325*K325))*AP325</f>
        <v/>
      </c>
      <c r="AR325" s="118">
        <f>AO325+AQ325</f>
        <v/>
      </c>
      <c r="AT325" s="39">
        <f>IFERROR((VLOOKUP(E325,$AE$11:$AJ$14,5,0)),0)</f>
        <v/>
      </c>
      <c r="AU325" s="39">
        <f>IFERROR((VLOOKUP(E325,$AE$11:$AJ$14,6,0)),0)</f>
        <v/>
      </c>
      <c r="AW325" s="119">
        <f>AR325*AT325</f>
        <v/>
      </c>
      <c r="AX325" s="119">
        <f>AR325*AU325</f>
        <v/>
      </c>
    </row>
    <row r="326">
      <c r="A326" s="32" t="n">
        <v>316</v>
      </c>
      <c r="B326" s="33" t="n"/>
      <c r="C326" s="33" t="n"/>
      <c r="D326" s="33" t="n"/>
      <c r="E326" s="33" t="inlineStr">
        <is>
          <t>-</t>
        </is>
      </c>
      <c r="F326" s="54">
        <f>IFERROR((VLOOKUP(E326,$AE$11:$AG$14,3,0)),"-")</f>
        <v/>
      </c>
      <c r="G326" s="33" t="n"/>
      <c r="H326" s="33" t="n"/>
      <c r="I326" s="46" t="n"/>
      <c r="J326" s="35" t="n"/>
      <c r="K326" s="35" t="n"/>
      <c r="L326" s="36">
        <f>IF($H$4="-",0,IF($H$4="VAREJO",AW326,IF($H$4="ATACADO",AX326,0)))</f>
        <v/>
      </c>
      <c r="M326" s="33" t="n"/>
      <c r="AN326" s="47" t="n">
        <v>316</v>
      </c>
      <c r="AO326" s="117">
        <f>I326+(I326*J326)+(I326*K326)</f>
        <v/>
      </c>
      <c r="AP326" s="43">
        <f>IFERROR(VLOOKUP(E326,$AE$11:$AK$14,4,0),0)</f>
        <v/>
      </c>
      <c r="AQ326" s="117">
        <f>(I326+(I326*J326)+(I326*K326))*AP326</f>
        <v/>
      </c>
      <c r="AR326" s="118">
        <f>AO326+AQ326</f>
        <v/>
      </c>
      <c r="AT326" s="39">
        <f>IFERROR((VLOOKUP(E326,$AE$11:$AJ$14,5,0)),0)</f>
        <v/>
      </c>
      <c r="AU326" s="39">
        <f>IFERROR((VLOOKUP(E326,$AE$11:$AJ$14,6,0)),0)</f>
        <v/>
      </c>
      <c r="AW326" s="119">
        <f>AR326*AT326</f>
        <v/>
      </c>
      <c r="AX326" s="119">
        <f>AR326*AU326</f>
        <v/>
      </c>
    </row>
    <row r="327">
      <c r="A327" s="32" t="n">
        <v>317</v>
      </c>
      <c r="B327" s="33" t="n"/>
      <c r="C327" s="33" t="n"/>
      <c r="D327" s="33" t="n"/>
      <c r="E327" s="33" t="inlineStr">
        <is>
          <t>-</t>
        </is>
      </c>
      <c r="F327" s="54">
        <f>IFERROR((VLOOKUP(E327,$AE$11:$AG$14,3,0)),"-")</f>
        <v/>
      </c>
      <c r="G327" s="33" t="n"/>
      <c r="H327" s="33" t="n"/>
      <c r="I327" s="46" t="n"/>
      <c r="J327" s="35" t="n"/>
      <c r="K327" s="35" t="n"/>
      <c r="L327" s="36">
        <f>IF($H$4="-",0,IF($H$4="VAREJO",AW327,IF($H$4="ATACADO",AX327,0)))</f>
        <v/>
      </c>
      <c r="M327" s="33" t="n"/>
      <c r="AN327" s="47" t="n">
        <v>317</v>
      </c>
      <c r="AO327" s="117">
        <f>I327+(I327*J327)+(I327*K327)</f>
        <v/>
      </c>
      <c r="AP327" s="43">
        <f>IFERROR(VLOOKUP(E327,$AE$11:$AK$14,4,0),0)</f>
        <v/>
      </c>
      <c r="AQ327" s="117">
        <f>(I327+(I327*J327)+(I327*K327))*AP327</f>
        <v/>
      </c>
      <c r="AR327" s="118">
        <f>AO327+AQ327</f>
        <v/>
      </c>
      <c r="AT327" s="39">
        <f>IFERROR((VLOOKUP(E327,$AE$11:$AJ$14,5,0)),0)</f>
        <v/>
      </c>
      <c r="AU327" s="39">
        <f>IFERROR((VLOOKUP(E327,$AE$11:$AJ$14,6,0)),0)</f>
        <v/>
      </c>
      <c r="AW327" s="119">
        <f>AR327*AT327</f>
        <v/>
      </c>
      <c r="AX327" s="119">
        <f>AR327*AU327</f>
        <v/>
      </c>
    </row>
    <row r="328">
      <c r="A328" s="32" t="n">
        <v>318</v>
      </c>
      <c r="B328" s="33" t="n"/>
      <c r="C328" s="33" t="n"/>
      <c r="D328" s="33" t="n"/>
      <c r="E328" s="33" t="inlineStr">
        <is>
          <t>-</t>
        </is>
      </c>
      <c r="F328" s="54">
        <f>IFERROR((VLOOKUP(E328,$AE$11:$AG$14,3,0)),"-")</f>
        <v/>
      </c>
      <c r="G328" s="33" t="n"/>
      <c r="H328" s="33" t="n"/>
      <c r="I328" s="46" t="n"/>
      <c r="J328" s="35" t="n"/>
      <c r="K328" s="35" t="n"/>
      <c r="L328" s="36">
        <f>IF($H$4="-",0,IF($H$4="VAREJO",AW328,IF($H$4="ATACADO",AX328,0)))</f>
        <v/>
      </c>
      <c r="M328" s="33" t="n"/>
      <c r="AN328" s="47" t="n">
        <v>318</v>
      </c>
      <c r="AO328" s="117">
        <f>I328+(I328*J328)+(I328*K328)</f>
        <v/>
      </c>
      <c r="AP328" s="43">
        <f>IFERROR(VLOOKUP(E328,$AE$11:$AK$14,4,0),0)</f>
        <v/>
      </c>
      <c r="AQ328" s="117">
        <f>(I328+(I328*J328)+(I328*K328))*AP328</f>
        <v/>
      </c>
      <c r="AR328" s="118">
        <f>AO328+AQ328</f>
        <v/>
      </c>
      <c r="AT328" s="39">
        <f>IFERROR((VLOOKUP(E328,$AE$11:$AJ$14,5,0)),0)</f>
        <v/>
      </c>
      <c r="AU328" s="39">
        <f>IFERROR((VLOOKUP(E328,$AE$11:$AJ$14,6,0)),0)</f>
        <v/>
      </c>
      <c r="AW328" s="119">
        <f>AR328*AT328</f>
        <v/>
      </c>
      <c r="AX328" s="119">
        <f>AR328*AU328</f>
        <v/>
      </c>
    </row>
    <row r="329">
      <c r="A329" s="32" t="n">
        <v>319</v>
      </c>
      <c r="B329" s="33" t="n"/>
      <c r="C329" s="33" t="n"/>
      <c r="D329" s="33" t="n"/>
      <c r="E329" s="33" t="inlineStr">
        <is>
          <t>-</t>
        </is>
      </c>
      <c r="F329" s="54">
        <f>IFERROR((VLOOKUP(E329,$AE$11:$AG$14,3,0)),"-")</f>
        <v/>
      </c>
      <c r="G329" s="33" t="n"/>
      <c r="H329" s="33" t="n"/>
      <c r="I329" s="46" t="n"/>
      <c r="J329" s="35" t="n"/>
      <c r="K329" s="35" t="n"/>
      <c r="L329" s="36">
        <f>IF($H$4="-",0,IF($H$4="VAREJO",AW329,IF($H$4="ATACADO",AX329,0)))</f>
        <v/>
      </c>
      <c r="M329" s="33" t="n"/>
      <c r="AN329" s="47" t="n">
        <v>319</v>
      </c>
      <c r="AO329" s="117">
        <f>I329+(I329*J329)+(I329*K329)</f>
        <v/>
      </c>
      <c r="AP329" s="43">
        <f>IFERROR(VLOOKUP(E329,$AE$11:$AK$14,4,0),0)</f>
        <v/>
      </c>
      <c r="AQ329" s="117">
        <f>(I329+(I329*J329)+(I329*K329))*AP329</f>
        <v/>
      </c>
      <c r="AR329" s="118">
        <f>AO329+AQ329</f>
        <v/>
      </c>
      <c r="AT329" s="39">
        <f>IFERROR((VLOOKUP(E329,$AE$11:$AJ$14,5,0)),0)</f>
        <v/>
      </c>
      <c r="AU329" s="39">
        <f>IFERROR((VLOOKUP(E329,$AE$11:$AJ$14,6,0)),0)</f>
        <v/>
      </c>
      <c r="AW329" s="119">
        <f>AR329*AT329</f>
        <v/>
      </c>
      <c r="AX329" s="119">
        <f>AR329*AU329</f>
        <v/>
      </c>
    </row>
    <row r="330">
      <c r="A330" s="32" t="n">
        <v>320</v>
      </c>
      <c r="B330" s="33" t="n"/>
      <c r="C330" s="33" t="n"/>
      <c r="D330" s="33" t="n"/>
      <c r="E330" s="33" t="inlineStr">
        <is>
          <t>-</t>
        </is>
      </c>
      <c r="F330" s="54">
        <f>IFERROR((VLOOKUP(E330,$AE$11:$AG$14,3,0)),"-")</f>
        <v/>
      </c>
      <c r="G330" s="33" t="n"/>
      <c r="H330" s="33" t="n"/>
      <c r="I330" s="46" t="n"/>
      <c r="J330" s="35" t="n"/>
      <c r="K330" s="35" t="n"/>
      <c r="L330" s="36">
        <f>IF($H$4="-",0,IF($H$4="VAREJO",AW330,IF($H$4="ATACADO",AX330,0)))</f>
        <v/>
      </c>
      <c r="M330" s="33" t="n"/>
      <c r="AN330" s="47" t="n">
        <v>320</v>
      </c>
      <c r="AO330" s="117">
        <f>I330+(I330*J330)+(I330*K330)</f>
        <v/>
      </c>
      <c r="AP330" s="43">
        <f>IFERROR(VLOOKUP(E330,$AE$11:$AK$14,4,0),0)</f>
        <v/>
      </c>
      <c r="AQ330" s="117">
        <f>(I330+(I330*J330)+(I330*K330))*AP330</f>
        <v/>
      </c>
      <c r="AR330" s="118">
        <f>AO330+AQ330</f>
        <v/>
      </c>
      <c r="AT330" s="39">
        <f>IFERROR((VLOOKUP(E330,$AE$11:$AJ$14,5,0)),0)</f>
        <v/>
      </c>
      <c r="AU330" s="39">
        <f>IFERROR((VLOOKUP(E330,$AE$11:$AJ$14,6,0)),0)</f>
        <v/>
      </c>
      <c r="AW330" s="119">
        <f>AR330*AT330</f>
        <v/>
      </c>
      <c r="AX330" s="119">
        <f>AR330*AU330</f>
        <v/>
      </c>
    </row>
    <row r="331">
      <c r="A331" s="32" t="n">
        <v>321</v>
      </c>
      <c r="B331" s="33" t="n"/>
      <c r="C331" s="33" t="n"/>
      <c r="D331" s="33" t="n"/>
      <c r="E331" s="33" t="inlineStr">
        <is>
          <t>-</t>
        </is>
      </c>
      <c r="F331" s="54">
        <f>IFERROR((VLOOKUP(E331,$AE$11:$AG$14,3,0)),"-")</f>
        <v/>
      </c>
      <c r="G331" s="33" t="n"/>
      <c r="H331" s="33" t="n"/>
      <c r="I331" s="46" t="n"/>
      <c r="J331" s="35" t="n"/>
      <c r="K331" s="35" t="n"/>
      <c r="L331" s="36">
        <f>IF($H$4="-",0,IF($H$4="VAREJO",AW331,IF($H$4="ATACADO",AX331,0)))</f>
        <v/>
      </c>
      <c r="M331" s="33" t="n"/>
      <c r="AN331" s="47" t="n">
        <v>321</v>
      </c>
      <c r="AO331" s="117">
        <f>I331+(I331*J331)+(I331*K331)</f>
        <v/>
      </c>
      <c r="AP331" s="43">
        <f>IFERROR(VLOOKUP(E331,$AE$11:$AK$14,4,0),0)</f>
        <v/>
      </c>
      <c r="AQ331" s="117">
        <f>(I331+(I331*J331)+(I331*K331))*AP331</f>
        <v/>
      </c>
      <c r="AR331" s="118">
        <f>AO331+AQ331</f>
        <v/>
      </c>
      <c r="AT331" s="39">
        <f>IFERROR((VLOOKUP(E331,$AE$11:$AJ$14,5,0)),0)</f>
        <v/>
      </c>
      <c r="AU331" s="39">
        <f>IFERROR((VLOOKUP(E331,$AE$11:$AJ$14,6,0)),0)</f>
        <v/>
      </c>
      <c r="AW331" s="119">
        <f>AR331*AT331</f>
        <v/>
      </c>
      <c r="AX331" s="119">
        <f>AR331*AU331</f>
        <v/>
      </c>
    </row>
    <row r="332">
      <c r="A332" s="32" t="n">
        <v>322</v>
      </c>
      <c r="B332" s="33" t="n"/>
      <c r="C332" s="33" t="n"/>
      <c r="D332" s="33" t="n"/>
      <c r="E332" s="33" t="inlineStr">
        <is>
          <t>-</t>
        </is>
      </c>
      <c r="F332" s="54">
        <f>IFERROR((VLOOKUP(E332,$AE$11:$AG$14,3,0)),"-")</f>
        <v/>
      </c>
      <c r="G332" s="33" t="n"/>
      <c r="H332" s="33" t="n"/>
      <c r="I332" s="46" t="n"/>
      <c r="J332" s="35" t="n"/>
      <c r="K332" s="35" t="n"/>
      <c r="L332" s="36">
        <f>IF($H$4="-",0,IF($H$4="VAREJO",AW332,IF($H$4="ATACADO",AX332,0)))</f>
        <v/>
      </c>
      <c r="M332" s="33" t="n"/>
      <c r="AN332" s="47" t="n">
        <v>322</v>
      </c>
      <c r="AO332" s="117">
        <f>I332+(I332*J332)+(I332*K332)</f>
        <v/>
      </c>
      <c r="AP332" s="43">
        <f>IFERROR(VLOOKUP(E332,$AE$11:$AK$14,4,0),0)</f>
        <v/>
      </c>
      <c r="AQ332" s="117">
        <f>(I332+(I332*J332)+(I332*K332))*AP332</f>
        <v/>
      </c>
      <c r="AR332" s="118">
        <f>AO332+AQ332</f>
        <v/>
      </c>
      <c r="AT332" s="39">
        <f>IFERROR((VLOOKUP(E332,$AE$11:$AJ$14,5,0)),0)</f>
        <v/>
      </c>
      <c r="AU332" s="39">
        <f>IFERROR((VLOOKUP(E332,$AE$11:$AJ$14,6,0)),0)</f>
        <v/>
      </c>
      <c r="AW332" s="119">
        <f>AR332*AT332</f>
        <v/>
      </c>
      <c r="AX332" s="119">
        <f>AR332*AU332</f>
        <v/>
      </c>
    </row>
    <row r="333">
      <c r="A333" s="32" t="n">
        <v>323</v>
      </c>
      <c r="B333" s="33" t="n"/>
      <c r="C333" s="33" t="n"/>
      <c r="D333" s="33" t="n"/>
      <c r="E333" s="33" t="inlineStr">
        <is>
          <t>-</t>
        </is>
      </c>
      <c r="F333" s="54">
        <f>IFERROR((VLOOKUP(E333,$AE$11:$AG$14,3,0)),"-")</f>
        <v/>
      </c>
      <c r="G333" s="33" t="n"/>
      <c r="H333" s="33" t="n"/>
      <c r="I333" s="46" t="n"/>
      <c r="J333" s="35" t="n"/>
      <c r="K333" s="35" t="n"/>
      <c r="L333" s="36">
        <f>IF($H$4="-",0,IF($H$4="VAREJO",AW333,IF($H$4="ATACADO",AX333,0)))</f>
        <v/>
      </c>
      <c r="M333" s="33" t="n"/>
      <c r="AN333" s="47" t="n">
        <v>323</v>
      </c>
      <c r="AO333" s="117">
        <f>I333+(I333*J333)+(I333*K333)</f>
        <v/>
      </c>
      <c r="AP333" s="43">
        <f>IFERROR(VLOOKUP(E333,$AE$11:$AK$14,4,0),0)</f>
        <v/>
      </c>
      <c r="AQ333" s="117">
        <f>(I333+(I333*J333)+(I333*K333))*AP333</f>
        <v/>
      </c>
      <c r="AR333" s="118">
        <f>AO333+AQ333</f>
        <v/>
      </c>
      <c r="AT333" s="39">
        <f>IFERROR((VLOOKUP(E333,$AE$11:$AJ$14,5,0)),0)</f>
        <v/>
      </c>
      <c r="AU333" s="39">
        <f>IFERROR((VLOOKUP(E333,$AE$11:$AJ$14,6,0)),0)</f>
        <v/>
      </c>
      <c r="AW333" s="119">
        <f>AR333*AT333</f>
        <v/>
      </c>
      <c r="AX333" s="119">
        <f>AR333*AU333</f>
        <v/>
      </c>
    </row>
    <row r="334">
      <c r="A334" s="32" t="n">
        <v>324</v>
      </c>
      <c r="B334" s="33" t="n"/>
      <c r="C334" s="33" t="n"/>
      <c r="D334" s="33" t="n"/>
      <c r="E334" s="33" t="inlineStr">
        <is>
          <t>-</t>
        </is>
      </c>
      <c r="F334" s="54">
        <f>IFERROR((VLOOKUP(E334,$AE$11:$AG$14,3,0)),"-")</f>
        <v/>
      </c>
      <c r="G334" s="33" t="n"/>
      <c r="H334" s="33" t="n"/>
      <c r="I334" s="46" t="n"/>
      <c r="J334" s="35" t="n"/>
      <c r="K334" s="35" t="n"/>
      <c r="L334" s="36">
        <f>IF($H$4="-",0,IF($H$4="VAREJO",AW334,IF($H$4="ATACADO",AX334,0)))</f>
        <v/>
      </c>
      <c r="M334" s="33" t="n"/>
      <c r="AN334" s="47" t="n">
        <v>324</v>
      </c>
      <c r="AO334" s="117">
        <f>I334+(I334*J334)+(I334*K334)</f>
        <v/>
      </c>
      <c r="AP334" s="43">
        <f>IFERROR(VLOOKUP(E334,$AE$11:$AK$14,4,0),0)</f>
        <v/>
      </c>
      <c r="AQ334" s="117">
        <f>(I334+(I334*J334)+(I334*K334))*AP334</f>
        <v/>
      </c>
      <c r="AR334" s="118">
        <f>AO334+AQ334</f>
        <v/>
      </c>
      <c r="AT334" s="39">
        <f>IFERROR((VLOOKUP(E334,$AE$11:$AJ$14,5,0)),0)</f>
        <v/>
      </c>
      <c r="AU334" s="39">
        <f>IFERROR((VLOOKUP(E334,$AE$11:$AJ$14,6,0)),0)</f>
        <v/>
      </c>
      <c r="AW334" s="119">
        <f>AR334*AT334</f>
        <v/>
      </c>
      <c r="AX334" s="119">
        <f>AR334*AU334</f>
        <v/>
      </c>
    </row>
    <row r="335">
      <c r="A335" s="32" t="n">
        <v>325</v>
      </c>
      <c r="B335" s="33" t="n"/>
      <c r="C335" s="33" t="n"/>
      <c r="D335" s="33" t="n"/>
      <c r="E335" s="33" t="inlineStr">
        <is>
          <t>-</t>
        </is>
      </c>
      <c r="F335" s="54">
        <f>IFERROR((VLOOKUP(E335,$AE$11:$AG$14,3,0)),"-")</f>
        <v/>
      </c>
      <c r="G335" s="33" t="n"/>
      <c r="H335" s="33" t="n"/>
      <c r="I335" s="46" t="n"/>
      <c r="J335" s="35" t="n"/>
      <c r="K335" s="35" t="n"/>
      <c r="L335" s="36">
        <f>IF($H$4="-",0,IF($H$4="VAREJO",AW335,IF($H$4="ATACADO",AX335,0)))</f>
        <v/>
      </c>
      <c r="M335" s="33" t="n"/>
      <c r="AN335" s="47" t="n">
        <v>325</v>
      </c>
      <c r="AO335" s="117">
        <f>I335+(I335*J335)+(I335*K335)</f>
        <v/>
      </c>
      <c r="AP335" s="43">
        <f>IFERROR(VLOOKUP(E335,$AE$11:$AK$14,4,0),0)</f>
        <v/>
      </c>
      <c r="AQ335" s="117">
        <f>(I335+(I335*J335)+(I335*K335))*AP335</f>
        <v/>
      </c>
      <c r="AR335" s="118">
        <f>AO335+AQ335</f>
        <v/>
      </c>
      <c r="AT335" s="39">
        <f>IFERROR((VLOOKUP(E335,$AE$11:$AJ$14,5,0)),0)</f>
        <v/>
      </c>
      <c r="AU335" s="39">
        <f>IFERROR((VLOOKUP(E335,$AE$11:$AJ$14,6,0)),0)</f>
        <v/>
      </c>
      <c r="AW335" s="119">
        <f>AR335*AT335</f>
        <v/>
      </c>
      <c r="AX335" s="119">
        <f>AR335*AU335</f>
        <v/>
      </c>
    </row>
    <row r="336">
      <c r="A336" s="32" t="n">
        <v>326</v>
      </c>
      <c r="B336" s="33" t="n"/>
      <c r="C336" s="33" t="n"/>
      <c r="D336" s="33" t="n"/>
      <c r="E336" s="33" t="inlineStr">
        <is>
          <t>-</t>
        </is>
      </c>
      <c r="F336" s="54">
        <f>IFERROR((VLOOKUP(E336,$AE$11:$AG$14,3,0)),"-")</f>
        <v/>
      </c>
      <c r="G336" s="33" t="n"/>
      <c r="H336" s="33" t="n"/>
      <c r="I336" s="46" t="n"/>
      <c r="J336" s="35" t="n"/>
      <c r="K336" s="35" t="n"/>
      <c r="L336" s="36">
        <f>IF($H$4="-",0,IF($H$4="VAREJO",AW336,IF($H$4="ATACADO",AX336,0)))</f>
        <v/>
      </c>
      <c r="M336" s="33" t="n"/>
      <c r="AN336" s="47" t="n">
        <v>326</v>
      </c>
      <c r="AO336" s="117">
        <f>I336+(I336*J336)+(I336*K336)</f>
        <v/>
      </c>
      <c r="AP336" s="43">
        <f>IFERROR(VLOOKUP(E336,$AE$11:$AK$14,4,0),0)</f>
        <v/>
      </c>
      <c r="AQ336" s="117">
        <f>(I336+(I336*J336)+(I336*K336))*AP336</f>
        <v/>
      </c>
      <c r="AR336" s="118">
        <f>AO336+AQ336</f>
        <v/>
      </c>
      <c r="AT336" s="39">
        <f>IFERROR((VLOOKUP(E336,$AE$11:$AJ$14,5,0)),0)</f>
        <v/>
      </c>
      <c r="AU336" s="39">
        <f>IFERROR((VLOOKUP(E336,$AE$11:$AJ$14,6,0)),0)</f>
        <v/>
      </c>
      <c r="AW336" s="119">
        <f>AR336*AT336</f>
        <v/>
      </c>
      <c r="AX336" s="119">
        <f>AR336*AU336</f>
        <v/>
      </c>
    </row>
    <row r="337">
      <c r="A337" s="32" t="n">
        <v>327</v>
      </c>
      <c r="B337" s="33" t="n"/>
      <c r="C337" s="33" t="n"/>
      <c r="D337" s="33" t="n"/>
      <c r="E337" s="33" t="inlineStr">
        <is>
          <t>-</t>
        </is>
      </c>
      <c r="F337" s="54">
        <f>IFERROR((VLOOKUP(E337,$AE$11:$AG$14,3,0)),"-")</f>
        <v/>
      </c>
      <c r="G337" s="33" t="n"/>
      <c r="H337" s="33" t="n"/>
      <c r="I337" s="46" t="n"/>
      <c r="J337" s="35" t="n"/>
      <c r="K337" s="35" t="n"/>
      <c r="L337" s="36">
        <f>IF($H$4="-",0,IF($H$4="VAREJO",AW337,IF($H$4="ATACADO",AX337,0)))</f>
        <v/>
      </c>
      <c r="M337" s="33" t="n"/>
      <c r="AN337" s="47" t="n">
        <v>327</v>
      </c>
      <c r="AO337" s="117">
        <f>I337+(I337*J337)+(I337*K337)</f>
        <v/>
      </c>
      <c r="AP337" s="43">
        <f>IFERROR(VLOOKUP(E337,$AE$11:$AK$14,4,0),0)</f>
        <v/>
      </c>
      <c r="AQ337" s="117">
        <f>(I337+(I337*J337)+(I337*K337))*AP337</f>
        <v/>
      </c>
      <c r="AR337" s="118">
        <f>AO337+AQ337</f>
        <v/>
      </c>
      <c r="AT337" s="39">
        <f>IFERROR((VLOOKUP(E337,$AE$11:$AJ$14,5,0)),0)</f>
        <v/>
      </c>
      <c r="AU337" s="39">
        <f>IFERROR((VLOOKUP(E337,$AE$11:$AJ$14,6,0)),0)</f>
        <v/>
      </c>
      <c r="AW337" s="119">
        <f>AR337*AT337</f>
        <v/>
      </c>
      <c r="AX337" s="119">
        <f>AR337*AU337</f>
        <v/>
      </c>
    </row>
    <row r="338">
      <c r="A338" s="32" t="n">
        <v>328</v>
      </c>
      <c r="B338" s="33" t="n"/>
      <c r="C338" s="33" t="n"/>
      <c r="D338" s="33" t="n"/>
      <c r="E338" s="33" t="inlineStr">
        <is>
          <t>-</t>
        </is>
      </c>
      <c r="F338" s="54">
        <f>IFERROR((VLOOKUP(E338,$AE$11:$AG$14,3,0)),"-")</f>
        <v/>
      </c>
      <c r="G338" s="33" t="n"/>
      <c r="H338" s="33" t="n"/>
      <c r="I338" s="46" t="n"/>
      <c r="J338" s="35" t="n"/>
      <c r="K338" s="35" t="n"/>
      <c r="L338" s="36">
        <f>IF($H$4="-",0,IF($H$4="VAREJO",AW338,IF($H$4="ATACADO",AX338,0)))</f>
        <v/>
      </c>
      <c r="M338" s="33" t="n"/>
      <c r="AN338" s="47" t="n">
        <v>328</v>
      </c>
      <c r="AO338" s="117">
        <f>I338+(I338*J338)+(I338*K338)</f>
        <v/>
      </c>
      <c r="AP338" s="43">
        <f>IFERROR(VLOOKUP(E338,$AE$11:$AK$14,4,0),0)</f>
        <v/>
      </c>
      <c r="AQ338" s="117">
        <f>(I338+(I338*J338)+(I338*K338))*AP338</f>
        <v/>
      </c>
      <c r="AR338" s="118">
        <f>AO338+AQ338</f>
        <v/>
      </c>
      <c r="AT338" s="39">
        <f>IFERROR((VLOOKUP(E338,$AE$11:$AJ$14,5,0)),0)</f>
        <v/>
      </c>
      <c r="AU338" s="39">
        <f>IFERROR((VLOOKUP(E338,$AE$11:$AJ$14,6,0)),0)</f>
        <v/>
      </c>
      <c r="AW338" s="119">
        <f>AR338*AT338</f>
        <v/>
      </c>
      <c r="AX338" s="119">
        <f>AR338*AU338</f>
        <v/>
      </c>
    </row>
    <row r="339">
      <c r="A339" s="32" t="n">
        <v>329</v>
      </c>
      <c r="B339" s="33" t="n"/>
      <c r="C339" s="33" t="n"/>
      <c r="D339" s="33" t="n"/>
      <c r="E339" s="33" t="inlineStr">
        <is>
          <t>-</t>
        </is>
      </c>
      <c r="F339" s="54">
        <f>IFERROR((VLOOKUP(E339,$AE$11:$AG$14,3,0)),"-")</f>
        <v/>
      </c>
      <c r="G339" s="33" t="n"/>
      <c r="H339" s="33" t="n"/>
      <c r="I339" s="46" t="n"/>
      <c r="J339" s="35" t="n"/>
      <c r="K339" s="35" t="n"/>
      <c r="L339" s="36">
        <f>IF($H$4="-",0,IF($H$4="VAREJO",AW339,IF($H$4="ATACADO",AX339,0)))</f>
        <v/>
      </c>
      <c r="M339" s="33" t="n"/>
      <c r="AN339" s="47" t="n">
        <v>329</v>
      </c>
      <c r="AO339" s="117">
        <f>I339+(I339*J339)+(I339*K339)</f>
        <v/>
      </c>
      <c r="AP339" s="43">
        <f>IFERROR(VLOOKUP(E339,$AE$11:$AK$14,4,0),0)</f>
        <v/>
      </c>
      <c r="AQ339" s="117">
        <f>(I339+(I339*J339)+(I339*K339))*AP339</f>
        <v/>
      </c>
      <c r="AR339" s="118">
        <f>AO339+AQ339</f>
        <v/>
      </c>
      <c r="AT339" s="39">
        <f>IFERROR((VLOOKUP(E339,$AE$11:$AJ$14,5,0)),0)</f>
        <v/>
      </c>
      <c r="AU339" s="39">
        <f>IFERROR((VLOOKUP(E339,$AE$11:$AJ$14,6,0)),0)</f>
        <v/>
      </c>
      <c r="AW339" s="119">
        <f>AR339*AT339</f>
        <v/>
      </c>
      <c r="AX339" s="119">
        <f>AR339*AU339</f>
        <v/>
      </c>
    </row>
    <row r="340">
      <c r="A340" s="32" t="n">
        <v>330</v>
      </c>
      <c r="B340" s="33" t="n"/>
      <c r="C340" s="33" t="n"/>
      <c r="D340" s="33" t="n"/>
      <c r="E340" s="33" t="inlineStr">
        <is>
          <t>-</t>
        </is>
      </c>
      <c r="F340" s="54">
        <f>IFERROR((VLOOKUP(E340,$AE$11:$AG$14,3,0)),"-")</f>
        <v/>
      </c>
      <c r="G340" s="33" t="n"/>
      <c r="H340" s="33" t="n"/>
      <c r="I340" s="46" t="n"/>
      <c r="J340" s="35" t="n"/>
      <c r="K340" s="35" t="n"/>
      <c r="L340" s="36">
        <f>IF($H$4="-",0,IF($H$4="VAREJO",AW340,IF($H$4="ATACADO",AX340,0)))</f>
        <v/>
      </c>
      <c r="M340" s="33" t="n"/>
      <c r="AN340" s="47" t="n">
        <v>330</v>
      </c>
      <c r="AO340" s="117">
        <f>I340+(I340*J340)+(I340*K340)</f>
        <v/>
      </c>
      <c r="AP340" s="43">
        <f>IFERROR(VLOOKUP(E340,$AE$11:$AK$14,4,0),0)</f>
        <v/>
      </c>
      <c r="AQ340" s="117">
        <f>(I340+(I340*J340)+(I340*K340))*AP340</f>
        <v/>
      </c>
      <c r="AR340" s="118">
        <f>AO340+AQ340</f>
        <v/>
      </c>
      <c r="AT340" s="39">
        <f>IFERROR((VLOOKUP(E340,$AE$11:$AJ$14,5,0)),0)</f>
        <v/>
      </c>
      <c r="AU340" s="39">
        <f>IFERROR((VLOOKUP(E340,$AE$11:$AJ$14,6,0)),0)</f>
        <v/>
      </c>
      <c r="AW340" s="119">
        <f>AR340*AT340</f>
        <v/>
      </c>
      <c r="AX340" s="119">
        <f>AR340*AU340</f>
        <v/>
      </c>
    </row>
    <row r="341">
      <c r="A341" s="32" t="n">
        <v>331</v>
      </c>
      <c r="B341" s="33" t="n"/>
      <c r="C341" s="33" t="n"/>
      <c r="D341" s="33" t="n"/>
      <c r="E341" s="33" t="inlineStr">
        <is>
          <t>-</t>
        </is>
      </c>
      <c r="F341" s="54">
        <f>IFERROR((VLOOKUP(E341,$AE$11:$AG$14,3,0)),"-")</f>
        <v/>
      </c>
      <c r="G341" s="33" t="n"/>
      <c r="H341" s="33" t="n"/>
      <c r="I341" s="46" t="n"/>
      <c r="J341" s="35" t="n"/>
      <c r="K341" s="35" t="n"/>
      <c r="L341" s="36">
        <f>IF($H$4="-",0,IF($H$4="VAREJO",AW341,IF($H$4="ATACADO",AX341,0)))</f>
        <v/>
      </c>
      <c r="M341" s="33" t="n"/>
      <c r="AN341" s="47" t="n">
        <v>331</v>
      </c>
      <c r="AO341" s="117">
        <f>I341+(I341*J341)+(I341*K341)</f>
        <v/>
      </c>
      <c r="AP341" s="43">
        <f>IFERROR(VLOOKUP(E341,$AE$11:$AK$14,4,0),0)</f>
        <v/>
      </c>
      <c r="AQ341" s="117">
        <f>(I341+(I341*J341)+(I341*K341))*AP341</f>
        <v/>
      </c>
      <c r="AR341" s="118">
        <f>AO341+AQ341</f>
        <v/>
      </c>
      <c r="AT341" s="39">
        <f>IFERROR((VLOOKUP(E341,$AE$11:$AJ$14,5,0)),0)</f>
        <v/>
      </c>
      <c r="AU341" s="39">
        <f>IFERROR((VLOOKUP(E341,$AE$11:$AJ$14,6,0)),0)</f>
        <v/>
      </c>
      <c r="AW341" s="119">
        <f>AR341*AT341</f>
        <v/>
      </c>
      <c r="AX341" s="119">
        <f>AR341*AU341</f>
        <v/>
      </c>
    </row>
    <row r="342">
      <c r="A342" s="32" t="n">
        <v>332</v>
      </c>
      <c r="B342" s="33" t="n"/>
      <c r="C342" s="33" t="n"/>
      <c r="D342" s="33" t="n"/>
      <c r="E342" s="33" t="inlineStr">
        <is>
          <t>-</t>
        </is>
      </c>
      <c r="F342" s="54">
        <f>IFERROR((VLOOKUP(E342,$AE$11:$AG$14,3,0)),"-")</f>
        <v/>
      </c>
      <c r="G342" s="33" t="n"/>
      <c r="H342" s="33" t="n"/>
      <c r="I342" s="46" t="n"/>
      <c r="J342" s="35" t="n"/>
      <c r="K342" s="35" t="n"/>
      <c r="L342" s="36">
        <f>IF($H$4="-",0,IF($H$4="VAREJO",AW342,IF($H$4="ATACADO",AX342,0)))</f>
        <v/>
      </c>
      <c r="M342" s="33" t="n"/>
      <c r="AN342" s="47" t="n">
        <v>332</v>
      </c>
      <c r="AO342" s="117">
        <f>I342+(I342*J342)+(I342*K342)</f>
        <v/>
      </c>
      <c r="AP342" s="43">
        <f>IFERROR(VLOOKUP(E342,$AE$11:$AK$14,4,0),0)</f>
        <v/>
      </c>
      <c r="AQ342" s="117">
        <f>(I342+(I342*J342)+(I342*K342))*AP342</f>
        <v/>
      </c>
      <c r="AR342" s="118">
        <f>AO342+AQ342</f>
        <v/>
      </c>
      <c r="AT342" s="39">
        <f>IFERROR((VLOOKUP(E342,$AE$11:$AJ$14,5,0)),0)</f>
        <v/>
      </c>
      <c r="AU342" s="39">
        <f>IFERROR((VLOOKUP(E342,$AE$11:$AJ$14,6,0)),0)</f>
        <v/>
      </c>
      <c r="AW342" s="119">
        <f>AR342*AT342</f>
        <v/>
      </c>
      <c r="AX342" s="119">
        <f>AR342*AU342</f>
        <v/>
      </c>
    </row>
    <row r="343">
      <c r="A343" s="32" t="n">
        <v>333</v>
      </c>
      <c r="B343" s="33" t="n"/>
      <c r="C343" s="33" t="n"/>
      <c r="D343" s="33" t="n"/>
      <c r="E343" s="33" t="inlineStr">
        <is>
          <t>-</t>
        </is>
      </c>
      <c r="F343" s="54">
        <f>IFERROR((VLOOKUP(E343,$AE$11:$AG$14,3,0)),"-")</f>
        <v/>
      </c>
      <c r="G343" s="33" t="n"/>
      <c r="H343" s="33" t="n"/>
      <c r="I343" s="46" t="n"/>
      <c r="J343" s="35" t="n"/>
      <c r="K343" s="35" t="n"/>
      <c r="L343" s="36">
        <f>IF($H$4="-",0,IF($H$4="VAREJO",AW343,IF($H$4="ATACADO",AX343,0)))</f>
        <v/>
      </c>
      <c r="M343" s="33" t="n"/>
      <c r="AN343" s="47" t="n">
        <v>333</v>
      </c>
      <c r="AO343" s="117">
        <f>I343+(I343*J343)+(I343*K343)</f>
        <v/>
      </c>
      <c r="AP343" s="43">
        <f>IFERROR(VLOOKUP(E343,$AE$11:$AK$14,4,0),0)</f>
        <v/>
      </c>
      <c r="AQ343" s="117">
        <f>(I343+(I343*J343)+(I343*K343))*AP343</f>
        <v/>
      </c>
      <c r="AR343" s="118">
        <f>AO343+AQ343</f>
        <v/>
      </c>
      <c r="AT343" s="39">
        <f>IFERROR((VLOOKUP(E343,$AE$11:$AJ$14,5,0)),0)</f>
        <v/>
      </c>
      <c r="AU343" s="39">
        <f>IFERROR((VLOOKUP(E343,$AE$11:$AJ$14,6,0)),0)</f>
        <v/>
      </c>
      <c r="AW343" s="119">
        <f>AR343*AT343</f>
        <v/>
      </c>
      <c r="AX343" s="119">
        <f>AR343*AU343</f>
        <v/>
      </c>
    </row>
    <row r="344">
      <c r="A344" s="32" t="n">
        <v>334</v>
      </c>
      <c r="B344" s="33" t="n"/>
      <c r="C344" s="33" t="n"/>
      <c r="D344" s="33" t="n"/>
      <c r="E344" s="33" t="inlineStr">
        <is>
          <t>-</t>
        </is>
      </c>
      <c r="F344" s="54">
        <f>IFERROR((VLOOKUP(E344,$AE$11:$AG$14,3,0)),"-")</f>
        <v/>
      </c>
      <c r="G344" s="33" t="n"/>
      <c r="H344" s="33" t="n"/>
      <c r="I344" s="46" t="n"/>
      <c r="J344" s="35" t="n"/>
      <c r="K344" s="35" t="n"/>
      <c r="L344" s="36">
        <f>IF($H$4="-",0,IF($H$4="VAREJO",AW344,IF($H$4="ATACADO",AX344,0)))</f>
        <v/>
      </c>
      <c r="M344" s="33" t="n"/>
      <c r="AN344" s="47" t="n">
        <v>334</v>
      </c>
      <c r="AO344" s="117">
        <f>I344+(I344*J344)+(I344*K344)</f>
        <v/>
      </c>
      <c r="AP344" s="43">
        <f>IFERROR(VLOOKUP(E344,$AE$11:$AK$14,4,0),0)</f>
        <v/>
      </c>
      <c r="AQ344" s="117">
        <f>(I344+(I344*J344)+(I344*K344))*AP344</f>
        <v/>
      </c>
      <c r="AR344" s="118">
        <f>AO344+AQ344</f>
        <v/>
      </c>
      <c r="AT344" s="39">
        <f>IFERROR((VLOOKUP(E344,$AE$11:$AJ$14,5,0)),0)</f>
        <v/>
      </c>
      <c r="AU344" s="39">
        <f>IFERROR((VLOOKUP(E344,$AE$11:$AJ$14,6,0)),0)</f>
        <v/>
      </c>
      <c r="AW344" s="119">
        <f>AR344*AT344</f>
        <v/>
      </c>
      <c r="AX344" s="119">
        <f>AR344*AU344</f>
        <v/>
      </c>
    </row>
    <row r="345">
      <c r="A345" s="32" t="n">
        <v>335</v>
      </c>
      <c r="B345" s="33" t="n"/>
      <c r="C345" s="33" t="n"/>
      <c r="D345" s="33" t="n"/>
      <c r="E345" s="33" t="inlineStr">
        <is>
          <t>-</t>
        </is>
      </c>
      <c r="F345" s="54">
        <f>IFERROR((VLOOKUP(E345,$AE$11:$AG$14,3,0)),"-")</f>
        <v/>
      </c>
      <c r="G345" s="33" t="n"/>
      <c r="H345" s="33" t="n"/>
      <c r="I345" s="46" t="n"/>
      <c r="J345" s="35" t="n"/>
      <c r="K345" s="35" t="n"/>
      <c r="L345" s="36">
        <f>IF($H$4="-",0,IF($H$4="VAREJO",AW345,IF($H$4="ATACADO",AX345,0)))</f>
        <v/>
      </c>
      <c r="M345" s="33" t="n"/>
      <c r="AN345" s="47" t="n">
        <v>335</v>
      </c>
      <c r="AO345" s="117">
        <f>I345+(I345*J345)+(I345*K345)</f>
        <v/>
      </c>
      <c r="AP345" s="43">
        <f>IFERROR(VLOOKUP(E345,$AE$11:$AK$14,4,0),0)</f>
        <v/>
      </c>
      <c r="AQ345" s="117">
        <f>(I345+(I345*J345)+(I345*K345))*AP345</f>
        <v/>
      </c>
      <c r="AR345" s="118">
        <f>AO345+AQ345</f>
        <v/>
      </c>
      <c r="AT345" s="39">
        <f>IFERROR((VLOOKUP(E345,$AE$11:$AJ$14,5,0)),0)</f>
        <v/>
      </c>
      <c r="AU345" s="39">
        <f>IFERROR((VLOOKUP(E345,$AE$11:$AJ$14,6,0)),0)</f>
        <v/>
      </c>
      <c r="AW345" s="119">
        <f>AR345*AT345</f>
        <v/>
      </c>
      <c r="AX345" s="119">
        <f>AR345*AU345</f>
        <v/>
      </c>
    </row>
    <row r="346">
      <c r="A346" s="32" t="n">
        <v>336</v>
      </c>
      <c r="B346" s="33" t="n"/>
      <c r="C346" s="33" t="n"/>
      <c r="D346" s="33" t="n"/>
      <c r="E346" s="33" t="inlineStr">
        <is>
          <t>-</t>
        </is>
      </c>
      <c r="F346" s="54">
        <f>IFERROR((VLOOKUP(E346,$AE$11:$AG$14,3,0)),"-")</f>
        <v/>
      </c>
      <c r="G346" s="33" t="n"/>
      <c r="H346" s="33" t="n"/>
      <c r="I346" s="46" t="n"/>
      <c r="J346" s="35" t="n"/>
      <c r="K346" s="35" t="n"/>
      <c r="L346" s="36">
        <f>IF($H$4="-",0,IF($H$4="VAREJO",AW346,IF($H$4="ATACADO",AX346,0)))</f>
        <v/>
      </c>
      <c r="M346" s="33" t="n"/>
      <c r="AN346" s="47" t="n">
        <v>336</v>
      </c>
      <c r="AO346" s="117">
        <f>I346+(I346*J346)+(I346*K346)</f>
        <v/>
      </c>
      <c r="AP346" s="43">
        <f>IFERROR(VLOOKUP(E346,$AE$11:$AK$14,4,0),0)</f>
        <v/>
      </c>
      <c r="AQ346" s="117">
        <f>(I346+(I346*J346)+(I346*K346))*AP346</f>
        <v/>
      </c>
      <c r="AR346" s="118">
        <f>AO346+AQ346</f>
        <v/>
      </c>
      <c r="AT346" s="39">
        <f>IFERROR((VLOOKUP(E346,$AE$11:$AJ$14,5,0)),0)</f>
        <v/>
      </c>
      <c r="AU346" s="39">
        <f>IFERROR((VLOOKUP(E346,$AE$11:$AJ$14,6,0)),0)</f>
        <v/>
      </c>
      <c r="AW346" s="119">
        <f>AR346*AT346</f>
        <v/>
      </c>
      <c r="AX346" s="119">
        <f>AR346*AU346</f>
        <v/>
      </c>
    </row>
    <row r="347">
      <c r="A347" s="32" t="n">
        <v>337</v>
      </c>
      <c r="B347" s="33" t="n"/>
      <c r="C347" s="33" t="n"/>
      <c r="D347" s="33" t="n"/>
      <c r="E347" s="33" t="inlineStr">
        <is>
          <t>-</t>
        </is>
      </c>
      <c r="F347" s="54">
        <f>IFERROR((VLOOKUP(E347,$AE$11:$AG$14,3,0)),"-")</f>
        <v/>
      </c>
      <c r="G347" s="33" t="n"/>
      <c r="H347" s="33" t="n"/>
      <c r="I347" s="46" t="n"/>
      <c r="J347" s="35" t="n"/>
      <c r="K347" s="35" t="n"/>
      <c r="L347" s="36">
        <f>IF($H$4="-",0,IF($H$4="VAREJO",AW347,IF($H$4="ATACADO",AX347,0)))</f>
        <v/>
      </c>
      <c r="M347" s="33" t="n"/>
      <c r="AN347" s="47" t="n">
        <v>337</v>
      </c>
      <c r="AO347" s="117">
        <f>I347+(I347*J347)+(I347*K347)</f>
        <v/>
      </c>
      <c r="AP347" s="43">
        <f>IFERROR(VLOOKUP(E347,$AE$11:$AK$14,4,0),0)</f>
        <v/>
      </c>
      <c r="AQ347" s="117">
        <f>(I347+(I347*J347)+(I347*K347))*AP347</f>
        <v/>
      </c>
      <c r="AR347" s="118">
        <f>AO347+AQ347</f>
        <v/>
      </c>
      <c r="AT347" s="39">
        <f>IFERROR((VLOOKUP(E347,$AE$11:$AJ$14,5,0)),0)</f>
        <v/>
      </c>
      <c r="AU347" s="39">
        <f>IFERROR((VLOOKUP(E347,$AE$11:$AJ$14,6,0)),0)</f>
        <v/>
      </c>
      <c r="AW347" s="119">
        <f>AR347*AT347</f>
        <v/>
      </c>
      <c r="AX347" s="119">
        <f>AR347*AU347</f>
        <v/>
      </c>
    </row>
    <row r="348">
      <c r="A348" s="32" t="n">
        <v>338</v>
      </c>
      <c r="B348" s="33" t="n"/>
      <c r="C348" s="33" t="n"/>
      <c r="D348" s="33" t="n"/>
      <c r="E348" s="33" t="inlineStr">
        <is>
          <t>-</t>
        </is>
      </c>
      <c r="F348" s="54">
        <f>IFERROR((VLOOKUP(E348,$AE$11:$AG$14,3,0)),"-")</f>
        <v/>
      </c>
      <c r="G348" s="33" t="n"/>
      <c r="H348" s="33" t="n"/>
      <c r="I348" s="46" t="n"/>
      <c r="J348" s="35" t="n"/>
      <c r="K348" s="35" t="n"/>
      <c r="L348" s="36">
        <f>IF($H$4="-",0,IF($H$4="VAREJO",AW348,IF($H$4="ATACADO",AX348,0)))</f>
        <v/>
      </c>
      <c r="M348" s="33" t="n"/>
      <c r="AN348" s="47" t="n">
        <v>338</v>
      </c>
      <c r="AO348" s="117">
        <f>I348+(I348*J348)+(I348*K348)</f>
        <v/>
      </c>
      <c r="AP348" s="43">
        <f>IFERROR(VLOOKUP(E348,$AE$11:$AK$14,4,0),0)</f>
        <v/>
      </c>
      <c r="AQ348" s="117">
        <f>(I348+(I348*J348)+(I348*K348))*AP348</f>
        <v/>
      </c>
      <c r="AR348" s="118">
        <f>AO348+AQ348</f>
        <v/>
      </c>
      <c r="AT348" s="39">
        <f>IFERROR((VLOOKUP(E348,$AE$11:$AJ$14,5,0)),0)</f>
        <v/>
      </c>
      <c r="AU348" s="39">
        <f>IFERROR((VLOOKUP(E348,$AE$11:$AJ$14,6,0)),0)</f>
        <v/>
      </c>
      <c r="AW348" s="119">
        <f>AR348*AT348</f>
        <v/>
      </c>
      <c r="AX348" s="119">
        <f>AR348*AU348</f>
        <v/>
      </c>
    </row>
    <row r="349">
      <c r="A349" s="32" t="n">
        <v>339</v>
      </c>
      <c r="B349" s="33" t="n"/>
      <c r="C349" s="33" t="n"/>
      <c r="D349" s="33" t="n"/>
      <c r="E349" s="33" t="inlineStr">
        <is>
          <t>-</t>
        </is>
      </c>
      <c r="F349" s="54">
        <f>IFERROR((VLOOKUP(E349,$AE$11:$AG$14,3,0)),"-")</f>
        <v/>
      </c>
      <c r="G349" s="33" t="n"/>
      <c r="H349" s="33" t="n"/>
      <c r="I349" s="46" t="n"/>
      <c r="J349" s="35" t="n"/>
      <c r="K349" s="35" t="n"/>
      <c r="L349" s="36">
        <f>IF($H$4="-",0,IF($H$4="VAREJO",AW349,IF($H$4="ATACADO",AX349,0)))</f>
        <v/>
      </c>
      <c r="M349" s="33" t="n"/>
      <c r="AN349" s="47" t="n">
        <v>339</v>
      </c>
      <c r="AO349" s="117">
        <f>I349+(I349*J349)+(I349*K349)</f>
        <v/>
      </c>
      <c r="AP349" s="43">
        <f>IFERROR(VLOOKUP(E349,$AE$11:$AK$14,4,0),0)</f>
        <v/>
      </c>
      <c r="AQ349" s="117">
        <f>(I349+(I349*J349)+(I349*K349))*AP349</f>
        <v/>
      </c>
      <c r="AR349" s="118">
        <f>AO349+AQ349</f>
        <v/>
      </c>
      <c r="AT349" s="39">
        <f>IFERROR((VLOOKUP(E349,$AE$11:$AJ$14,5,0)),0)</f>
        <v/>
      </c>
      <c r="AU349" s="39">
        <f>IFERROR((VLOOKUP(E349,$AE$11:$AJ$14,6,0)),0)</f>
        <v/>
      </c>
      <c r="AW349" s="119">
        <f>AR349*AT349</f>
        <v/>
      </c>
      <c r="AX349" s="119">
        <f>AR349*AU349</f>
        <v/>
      </c>
    </row>
    <row r="350">
      <c r="A350" s="32" t="n">
        <v>340</v>
      </c>
      <c r="B350" s="33" t="n"/>
      <c r="C350" s="33" t="n"/>
      <c r="D350" s="33" t="n"/>
      <c r="E350" s="33" t="inlineStr">
        <is>
          <t>-</t>
        </is>
      </c>
      <c r="F350" s="54">
        <f>IFERROR((VLOOKUP(E350,$AE$11:$AG$14,3,0)),"-")</f>
        <v/>
      </c>
      <c r="G350" s="33" t="n"/>
      <c r="H350" s="33" t="n"/>
      <c r="I350" s="46" t="n"/>
      <c r="J350" s="35" t="n"/>
      <c r="K350" s="35" t="n"/>
      <c r="L350" s="36">
        <f>IF($H$4="-",0,IF($H$4="VAREJO",AW350,IF($H$4="ATACADO",AX350,0)))</f>
        <v/>
      </c>
      <c r="M350" s="33" t="n"/>
      <c r="AN350" s="47" t="n">
        <v>340</v>
      </c>
      <c r="AO350" s="117">
        <f>I350+(I350*J350)+(I350*K350)</f>
        <v/>
      </c>
      <c r="AP350" s="43">
        <f>IFERROR(VLOOKUP(E350,$AE$11:$AK$14,4,0),0)</f>
        <v/>
      </c>
      <c r="AQ350" s="117">
        <f>(I350+(I350*J350)+(I350*K350))*AP350</f>
        <v/>
      </c>
      <c r="AR350" s="118">
        <f>AO350+AQ350</f>
        <v/>
      </c>
      <c r="AT350" s="39">
        <f>IFERROR((VLOOKUP(E350,$AE$11:$AJ$14,5,0)),0)</f>
        <v/>
      </c>
      <c r="AU350" s="39">
        <f>IFERROR((VLOOKUP(E350,$AE$11:$AJ$14,6,0)),0)</f>
        <v/>
      </c>
      <c r="AW350" s="119">
        <f>AR350*AT350</f>
        <v/>
      </c>
      <c r="AX350" s="119">
        <f>AR350*AU350</f>
        <v/>
      </c>
    </row>
    <row r="351">
      <c r="A351" s="32" t="n">
        <v>341</v>
      </c>
      <c r="B351" s="33" t="n"/>
      <c r="C351" s="33" t="n"/>
      <c r="D351" s="33" t="n"/>
      <c r="E351" s="33" t="inlineStr">
        <is>
          <t>-</t>
        </is>
      </c>
      <c r="F351" s="54">
        <f>IFERROR((VLOOKUP(E351,$AE$11:$AG$14,3,0)),"-")</f>
        <v/>
      </c>
      <c r="G351" s="33" t="n"/>
      <c r="H351" s="33" t="n"/>
      <c r="I351" s="46" t="n"/>
      <c r="J351" s="35" t="n"/>
      <c r="K351" s="35" t="n"/>
      <c r="L351" s="36">
        <f>IF($H$4="-",0,IF($H$4="VAREJO",AW351,IF($H$4="ATACADO",AX351,0)))</f>
        <v/>
      </c>
      <c r="M351" s="33" t="n"/>
      <c r="AN351" s="47" t="n">
        <v>341</v>
      </c>
      <c r="AO351" s="117">
        <f>I351+(I351*J351)+(I351*K351)</f>
        <v/>
      </c>
      <c r="AP351" s="43">
        <f>IFERROR(VLOOKUP(E351,$AE$11:$AK$14,4,0),0)</f>
        <v/>
      </c>
      <c r="AQ351" s="117">
        <f>(I351+(I351*J351)+(I351*K351))*AP351</f>
        <v/>
      </c>
      <c r="AR351" s="118">
        <f>AO351+AQ351</f>
        <v/>
      </c>
      <c r="AT351" s="39">
        <f>IFERROR((VLOOKUP(E351,$AE$11:$AJ$14,5,0)),0)</f>
        <v/>
      </c>
      <c r="AU351" s="39">
        <f>IFERROR((VLOOKUP(E351,$AE$11:$AJ$14,6,0)),0)</f>
        <v/>
      </c>
      <c r="AW351" s="119">
        <f>AR351*AT351</f>
        <v/>
      </c>
      <c r="AX351" s="119">
        <f>AR351*AU351</f>
        <v/>
      </c>
    </row>
    <row r="352">
      <c r="A352" s="32" t="n">
        <v>342</v>
      </c>
      <c r="B352" s="33" t="n"/>
      <c r="C352" s="33" t="n"/>
      <c r="D352" s="33" t="n"/>
      <c r="E352" s="33" t="inlineStr">
        <is>
          <t>-</t>
        </is>
      </c>
      <c r="F352" s="54">
        <f>IFERROR((VLOOKUP(E352,$AE$11:$AG$14,3,0)),"-")</f>
        <v/>
      </c>
      <c r="G352" s="33" t="n"/>
      <c r="H352" s="33" t="n"/>
      <c r="I352" s="46" t="n"/>
      <c r="J352" s="35" t="n"/>
      <c r="K352" s="35" t="n"/>
      <c r="L352" s="36">
        <f>IF($H$4="-",0,IF($H$4="VAREJO",AW352,IF($H$4="ATACADO",AX352,0)))</f>
        <v/>
      </c>
      <c r="M352" s="33" t="n"/>
      <c r="AN352" s="47" t="n">
        <v>342</v>
      </c>
      <c r="AO352" s="117">
        <f>I352+(I352*J352)+(I352*K352)</f>
        <v/>
      </c>
      <c r="AP352" s="43">
        <f>IFERROR(VLOOKUP(E352,$AE$11:$AK$14,4,0),0)</f>
        <v/>
      </c>
      <c r="AQ352" s="117">
        <f>(I352+(I352*J352)+(I352*K352))*AP352</f>
        <v/>
      </c>
      <c r="AR352" s="118">
        <f>AO352+AQ352</f>
        <v/>
      </c>
      <c r="AT352" s="39">
        <f>IFERROR((VLOOKUP(E352,$AE$11:$AJ$14,5,0)),0)</f>
        <v/>
      </c>
      <c r="AU352" s="39">
        <f>IFERROR((VLOOKUP(E352,$AE$11:$AJ$14,6,0)),0)</f>
        <v/>
      </c>
      <c r="AW352" s="119">
        <f>AR352*AT352</f>
        <v/>
      </c>
      <c r="AX352" s="119">
        <f>AR352*AU352</f>
        <v/>
      </c>
    </row>
    <row r="353">
      <c r="A353" s="32" t="n">
        <v>343</v>
      </c>
      <c r="B353" s="33" t="n"/>
      <c r="C353" s="33" t="n"/>
      <c r="D353" s="33" t="n"/>
      <c r="E353" s="33" t="inlineStr">
        <is>
          <t>-</t>
        </is>
      </c>
      <c r="F353" s="54">
        <f>IFERROR((VLOOKUP(E353,$AE$11:$AG$14,3,0)),"-")</f>
        <v/>
      </c>
      <c r="G353" s="33" t="n"/>
      <c r="H353" s="33" t="n"/>
      <c r="I353" s="46" t="n"/>
      <c r="J353" s="35" t="n"/>
      <c r="K353" s="35" t="n"/>
      <c r="L353" s="36">
        <f>IF($H$4="-",0,IF($H$4="VAREJO",AW353,IF($H$4="ATACADO",AX353,0)))</f>
        <v/>
      </c>
      <c r="M353" s="33" t="n"/>
      <c r="AN353" s="47" t="n">
        <v>343</v>
      </c>
      <c r="AO353" s="117">
        <f>I353+(I353*J353)+(I353*K353)</f>
        <v/>
      </c>
      <c r="AP353" s="43">
        <f>IFERROR(VLOOKUP(E353,$AE$11:$AK$14,4,0),0)</f>
        <v/>
      </c>
      <c r="AQ353" s="117">
        <f>(I353+(I353*J353)+(I353*K353))*AP353</f>
        <v/>
      </c>
      <c r="AR353" s="118">
        <f>AO353+AQ353</f>
        <v/>
      </c>
      <c r="AT353" s="39">
        <f>IFERROR((VLOOKUP(E353,$AE$11:$AJ$14,5,0)),0)</f>
        <v/>
      </c>
      <c r="AU353" s="39">
        <f>IFERROR((VLOOKUP(E353,$AE$11:$AJ$14,6,0)),0)</f>
        <v/>
      </c>
      <c r="AW353" s="119">
        <f>AR353*AT353</f>
        <v/>
      </c>
      <c r="AX353" s="119">
        <f>AR353*AU353</f>
        <v/>
      </c>
    </row>
    <row r="354">
      <c r="A354" s="32" t="n">
        <v>344</v>
      </c>
      <c r="B354" s="33" t="n"/>
      <c r="C354" s="33" t="n"/>
      <c r="D354" s="33" t="n"/>
      <c r="E354" s="33" t="inlineStr">
        <is>
          <t>-</t>
        </is>
      </c>
      <c r="F354" s="54">
        <f>IFERROR((VLOOKUP(E354,$AE$11:$AG$14,3,0)),"-")</f>
        <v/>
      </c>
      <c r="G354" s="33" t="n"/>
      <c r="H354" s="33" t="n"/>
      <c r="I354" s="46" t="n"/>
      <c r="J354" s="35" t="n"/>
      <c r="K354" s="35" t="n"/>
      <c r="L354" s="36">
        <f>IF($H$4="-",0,IF($H$4="VAREJO",AW354,IF($H$4="ATACADO",AX354,0)))</f>
        <v/>
      </c>
      <c r="M354" s="33" t="n"/>
      <c r="AN354" s="47" t="n">
        <v>344</v>
      </c>
      <c r="AO354" s="117">
        <f>I354+(I354*J354)+(I354*K354)</f>
        <v/>
      </c>
      <c r="AP354" s="43">
        <f>IFERROR(VLOOKUP(E354,$AE$11:$AK$14,4,0),0)</f>
        <v/>
      </c>
      <c r="AQ354" s="117">
        <f>(I354+(I354*J354)+(I354*K354))*AP354</f>
        <v/>
      </c>
      <c r="AR354" s="118">
        <f>AO354+AQ354</f>
        <v/>
      </c>
      <c r="AT354" s="39">
        <f>IFERROR((VLOOKUP(E354,$AE$11:$AJ$14,5,0)),0)</f>
        <v/>
      </c>
      <c r="AU354" s="39">
        <f>IFERROR((VLOOKUP(E354,$AE$11:$AJ$14,6,0)),0)</f>
        <v/>
      </c>
      <c r="AW354" s="119">
        <f>AR354*AT354</f>
        <v/>
      </c>
      <c r="AX354" s="119">
        <f>AR354*AU354</f>
        <v/>
      </c>
    </row>
    <row r="355">
      <c r="A355" s="32" t="n">
        <v>345</v>
      </c>
      <c r="B355" s="33" t="n"/>
      <c r="C355" s="33" t="n"/>
      <c r="D355" s="33" t="n"/>
      <c r="E355" s="33" t="inlineStr">
        <is>
          <t>-</t>
        </is>
      </c>
      <c r="F355" s="54">
        <f>IFERROR((VLOOKUP(E355,$AE$11:$AG$14,3,0)),"-")</f>
        <v/>
      </c>
      <c r="G355" s="33" t="n"/>
      <c r="H355" s="33" t="n"/>
      <c r="I355" s="46" t="n"/>
      <c r="J355" s="35" t="n"/>
      <c r="K355" s="35" t="n"/>
      <c r="L355" s="36">
        <f>IF($H$4="-",0,IF($H$4="VAREJO",AW355,IF($H$4="ATACADO",AX355,0)))</f>
        <v/>
      </c>
      <c r="M355" s="33" t="n"/>
      <c r="AN355" s="47" t="n">
        <v>345</v>
      </c>
      <c r="AO355" s="117">
        <f>I355+(I355*J355)+(I355*K355)</f>
        <v/>
      </c>
      <c r="AP355" s="43">
        <f>IFERROR(VLOOKUP(E355,$AE$11:$AK$14,4,0),0)</f>
        <v/>
      </c>
      <c r="AQ355" s="117">
        <f>(I355+(I355*J355)+(I355*K355))*AP355</f>
        <v/>
      </c>
      <c r="AR355" s="118">
        <f>AO355+AQ355</f>
        <v/>
      </c>
      <c r="AT355" s="39">
        <f>IFERROR((VLOOKUP(E355,$AE$11:$AJ$14,5,0)),0)</f>
        <v/>
      </c>
      <c r="AU355" s="39">
        <f>IFERROR((VLOOKUP(E355,$AE$11:$AJ$14,6,0)),0)</f>
        <v/>
      </c>
      <c r="AW355" s="119">
        <f>AR355*AT355</f>
        <v/>
      </c>
      <c r="AX355" s="119">
        <f>AR355*AU355</f>
        <v/>
      </c>
    </row>
    <row r="356">
      <c r="A356" s="32" t="n">
        <v>346</v>
      </c>
      <c r="B356" s="33" t="n"/>
      <c r="C356" s="33" t="n"/>
      <c r="D356" s="33" t="n"/>
      <c r="E356" s="33" t="inlineStr">
        <is>
          <t>-</t>
        </is>
      </c>
      <c r="F356" s="54">
        <f>IFERROR((VLOOKUP(E356,$AE$11:$AG$14,3,0)),"-")</f>
        <v/>
      </c>
      <c r="G356" s="33" t="n"/>
      <c r="H356" s="33" t="n"/>
      <c r="I356" s="46" t="n"/>
      <c r="J356" s="35" t="n"/>
      <c r="K356" s="35" t="n"/>
      <c r="L356" s="36">
        <f>IF($H$4="-",0,IF($H$4="VAREJO",AW356,IF($H$4="ATACADO",AX356,0)))</f>
        <v/>
      </c>
      <c r="M356" s="33" t="n"/>
      <c r="AN356" s="47" t="n">
        <v>346</v>
      </c>
      <c r="AO356" s="117">
        <f>I356+(I356*J356)+(I356*K356)</f>
        <v/>
      </c>
      <c r="AP356" s="43">
        <f>IFERROR(VLOOKUP(E356,$AE$11:$AK$14,4,0),0)</f>
        <v/>
      </c>
      <c r="AQ356" s="117">
        <f>(I356+(I356*J356)+(I356*K356))*AP356</f>
        <v/>
      </c>
      <c r="AR356" s="118">
        <f>AO356+AQ356</f>
        <v/>
      </c>
      <c r="AT356" s="39">
        <f>IFERROR((VLOOKUP(E356,$AE$11:$AJ$14,5,0)),0)</f>
        <v/>
      </c>
      <c r="AU356" s="39">
        <f>IFERROR((VLOOKUP(E356,$AE$11:$AJ$14,6,0)),0)</f>
        <v/>
      </c>
      <c r="AW356" s="119">
        <f>AR356*AT356</f>
        <v/>
      </c>
      <c r="AX356" s="119">
        <f>AR356*AU356</f>
        <v/>
      </c>
    </row>
    <row r="357">
      <c r="A357" s="32" t="n">
        <v>347</v>
      </c>
      <c r="B357" s="33" t="n"/>
      <c r="C357" s="33" t="n"/>
      <c r="D357" s="33" t="n"/>
      <c r="E357" s="33" t="inlineStr">
        <is>
          <t>-</t>
        </is>
      </c>
      <c r="F357" s="54">
        <f>IFERROR((VLOOKUP(E357,$AE$11:$AG$14,3,0)),"-")</f>
        <v/>
      </c>
      <c r="G357" s="33" t="n"/>
      <c r="H357" s="33" t="n"/>
      <c r="I357" s="46" t="n"/>
      <c r="J357" s="35" t="n"/>
      <c r="K357" s="35" t="n"/>
      <c r="L357" s="36">
        <f>IF($H$4="-",0,IF($H$4="VAREJO",AW357,IF($H$4="ATACADO",AX357,0)))</f>
        <v/>
      </c>
      <c r="M357" s="33" t="n"/>
      <c r="AN357" s="47" t="n">
        <v>347</v>
      </c>
      <c r="AO357" s="117">
        <f>I357+(I357*J357)+(I357*K357)</f>
        <v/>
      </c>
      <c r="AP357" s="43">
        <f>IFERROR(VLOOKUP(E357,$AE$11:$AK$14,4,0),0)</f>
        <v/>
      </c>
      <c r="AQ357" s="117">
        <f>(I357+(I357*J357)+(I357*K357))*AP357</f>
        <v/>
      </c>
      <c r="AR357" s="118">
        <f>AO357+AQ357</f>
        <v/>
      </c>
      <c r="AT357" s="39">
        <f>IFERROR((VLOOKUP(E357,$AE$11:$AJ$14,5,0)),0)</f>
        <v/>
      </c>
      <c r="AU357" s="39">
        <f>IFERROR((VLOOKUP(E357,$AE$11:$AJ$14,6,0)),0)</f>
        <v/>
      </c>
      <c r="AW357" s="119">
        <f>AR357*AT357</f>
        <v/>
      </c>
      <c r="AX357" s="119">
        <f>AR357*AU357</f>
        <v/>
      </c>
    </row>
    <row r="358">
      <c r="A358" s="32" t="n">
        <v>348</v>
      </c>
      <c r="B358" s="33" t="n"/>
      <c r="C358" s="33" t="n"/>
      <c r="D358" s="33" t="n"/>
      <c r="E358" s="33" t="inlineStr">
        <is>
          <t>-</t>
        </is>
      </c>
      <c r="F358" s="54">
        <f>IFERROR((VLOOKUP(E358,$AE$11:$AG$14,3,0)),"-")</f>
        <v/>
      </c>
      <c r="G358" s="33" t="n"/>
      <c r="H358" s="33" t="n"/>
      <c r="I358" s="46" t="n"/>
      <c r="J358" s="35" t="n"/>
      <c r="K358" s="35" t="n"/>
      <c r="L358" s="36">
        <f>IF($H$4="-",0,IF($H$4="VAREJO",AW358,IF($H$4="ATACADO",AX358,0)))</f>
        <v/>
      </c>
      <c r="M358" s="33" t="n"/>
      <c r="AN358" s="47" t="n">
        <v>348</v>
      </c>
      <c r="AO358" s="117">
        <f>I358+(I358*J358)+(I358*K358)</f>
        <v/>
      </c>
      <c r="AP358" s="43">
        <f>IFERROR(VLOOKUP(E358,$AE$11:$AK$14,4,0),0)</f>
        <v/>
      </c>
      <c r="AQ358" s="117">
        <f>(I358+(I358*J358)+(I358*K358))*AP358</f>
        <v/>
      </c>
      <c r="AR358" s="118">
        <f>AO358+AQ358</f>
        <v/>
      </c>
      <c r="AT358" s="39">
        <f>IFERROR((VLOOKUP(E358,$AE$11:$AJ$14,5,0)),0)</f>
        <v/>
      </c>
      <c r="AU358" s="39">
        <f>IFERROR((VLOOKUP(E358,$AE$11:$AJ$14,6,0)),0)</f>
        <v/>
      </c>
      <c r="AW358" s="119">
        <f>AR358*AT358</f>
        <v/>
      </c>
      <c r="AX358" s="119">
        <f>AR358*AU358</f>
        <v/>
      </c>
    </row>
    <row r="359">
      <c r="A359" s="32" t="n">
        <v>349</v>
      </c>
      <c r="B359" s="33" t="n"/>
      <c r="C359" s="33" t="n"/>
      <c r="D359" s="33" t="n"/>
      <c r="E359" s="33" t="inlineStr">
        <is>
          <t>-</t>
        </is>
      </c>
      <c r="F359" s="54">
        <f>IFERROR((VLOOKUP(E359,$AE$11:$AG$14,3,0)),"-")</f>
        <v/>
      </c>
      <c r="G359" s="33" t="n"/>
      <c r="H359" s="33" t="n"/>
      <c r="I359" s="46" t="n"/>
      <c r="J359" s="35" t="n"/>
      <c r="K359" s="35" t="n"/>
      <c r="L359" s="36">
        <f>IF($H$4="-",0,IF($H$4="VAREJO",AW359,IF($H$4="ATACADO",AX359,0)))</f>
        <v/>
      </c>
      <c r="M359" s="33" t="n"/>
      <c r="AN359" s="47" t="n">
        <v>349</v>
      </c>
      <c r="AO359" s="117">
        <f>I359+(I359*J359)+(I359*K359)</f>
        <v/>
      </c>
      <c r="AP359" s="43">
        <f>IFERROR(VLOOKUP(E359,$AE$11:$AK$14,4,0),0)</f>
        <v/>
      </c>
      <c r="AQ359" s="117">
        <f>(I359+(I359*J359)+(I359*K359))*AP359</f>
        <v/>
      </c>
      <c r="AR359" s="118">
        <f>AO359+AQ359</f>
        <v/>
      </c>
      <c r="AT359" s="39">
        <f>IFERROR((VLOOKUP(E359,$AE$11:$AJ$14,5,0)),0)</f>
        <v/>
      </c>
      <c r="AU359" s="39">
        <f>IFERROR((VLOOKUP(E359,$AE$11:$AJ$14,6,0)),0)</f>
        <v/>
      </c>
      <c r="AW359" s="119">
        <f>AR359*AT359</f>
        <v/>
      </c>
      <c r="AX359" s="119">
        <f>AR359*AU359</f>
        <v/>
      </c>
    </row>
    <row r="360">
      <c r="A360" s="32" t="n">
        <v>350</v>
      </c>
      <c r="B360" s="33" t="n"/>
      <c r="C360" s="33" t="n"/>
      <c r="D360" s="33" t="n"/>
      <c r="E360" s="33" t="inlineStr">
        <is>
          <t>-</t>
        </is>
      </c>
      <c r="F360" s="54">
        <f>IFERROR((VLOOKUP(E360,$AE$11:$AG$14,3,0)),"-")</f>
        <v/>
      </c>
      <c r="G360" s="33" t="n"/>
      <c r="H360" s="33" t="n"/>
      <c r="I360" s="46" t="n"/>
      <c r="J360" s="35" t="n"/>
      <c r="K360" s="35" t="n"/>
      <c r="L360" s="36">
        <f>IF($H$4="-",0,IF($H$4="VAREJO",AW360,IF($H$4="ATACADO",AX360,0)))</f>
        <v/>
      </c>
      <c r="M360" s="33" t="n"/>
      <c r="AN360" s="47" t="n">
        <v>350</v>
      </c>
      <c r="AO360" s="117">
        <f>I360+(I360*J360)+(I360*K360)</f>
        <v/>
      </c>
      <c r="AP360" s="43">
        <f>IFERROR(VLOOKUP(E360,$AE$11:$AK$14,4,0),0)</f>
        <v/>
      </c>
      <c r="AQ360" s="117">
        <f>(I360+(I360*J360)+(I360*K360))*AP360</f>
        <v/>
      </c>
      <c r="AR360" s="118">
        <f>AO360+AQ360</f>
        <v/>
      </c>
      <c r="AT360" s="39">
        <f>IFERROR((VLOOKUP(E360,$AE$11:$AJ$14,5,0)),0)</f>
        <v/>
      </c>
      <c r="AU360" s="39">
        <f>IFERROR((VLOOKUP(E360,$AE$11:$AJ$14,6,0)),0)</f>
        <v/>
      </c>
      <c r="AW360" s="119">
        <f>AR360*AT360</f>
        <v/>
      </c>
      <c r="AX360" s="119">
        <f>AR360*AU360</f>
        <v/>
      </c>
    </row>
    <row r="361">
      <c r="A361" s="32" t="n">
        <v>351</v>
      </c>
      <c r="B361" s="33" t="n"/>
      <c r="C361" s="33" t="n"/>
      <c r="D361" s="33" t="n"/>
      <c r="E361" s="33" t="inlineStr">
        <is>
          <t>-</t>
        </is>
      </c>
      <c r="F361" s="54">
        <f>IFERROR((VLOOKUP(E361,$AE$11:$AG$14,3,0)),"-")</f>
        <v/>
      </c>
      <c r="G361" s="33" t="n"/>
      <c r="H361" s="33" t="n"/>
      <c r="I361" s="46" t="n"/>
      <c r="J361" s="35" t="n"/>
      <c r="K361" s="35" t="n"/>
      <c r="L361" s="36">
        <f>IF($H$4="-",0,IF($H$4="VAREJO",AW361,IF($H$4="ATACADO",AX361,0)))</f>
        <v/>
      </c>
      <c r="M361" s="33" t="n"/>
      <c r="AN361" s="47" t="n">
        <v>351</v>
      </c>
      <c r="AO361" s="117">
        <f>I361+(I361*J361)+(I361*K361)</f>
        <v/>
      </c>
      <c r="AP361" s="43">
        <f>IFERROR(VLOOKUP(E361,$AE$11:$AK$14,4,0),0)</f>
        <v/>
      </c>
      <c r="AQ361" s="117">
        <f>(I361+(I361*J361)+(I361*K361))*AP361</f>
        <v/>
      </c>
      <c r="AR361" s="118">
        <f>AO361+AQ361</f>
        <v/>
      </c>
      <c r="AT361" s="39">
        <f>IFERROR((VLOOKUP(E361,$AE$11:$AJ$14,5,0)),0)</f>
        <v/>
      </c>
      <c r="AU361" s="39">
        <f>IFERROR((VLOOKUP(E361,$AE$11:$AJ$14,6,0)),0)</f>
        <v/>
      </c>
      <c r="AW361" s="119">
        <f>AR361*AT361</f>
        <v/>
      </c>
      <c r="AX361" s="119">
        <f>AR361*AU361</f>
        <v/>
      </c>
    </row>
    <row r="362">
      <c r="A362" s="32" t="n">
        <v>352</v>
      </c>
      <c r="B362" s="33" t="n"/>
      <c r="C362" s="33" t="n"/>
      <c r="D362" s="33" t="n"/>
      <c r="E362" s="33" t="inlineStr">
        <is>
          <t>-</t>
        </is>
      </c>
      <c r="F362" s="54">
        <f>IFERROR((VLOOKUP(E362,$AE$11:$AG$14,3,0)),"-")</f>
        <v/>
      </c>
      <c r="G362" s="33" t="n"/>
      <c r="H362" s="33" t="n"/>
      <c r="I362" s="46" t="n"/>
      <c r="J362" s="35" t="n"/>
      <c r="K362" s="35" t="n"/>
      <c r="L362" s="36">
        <f>IF($H$4="-",0,IF($H$4="VAREJO",AW362,IF($H$4="ATACADO",AX362,0)))</f>
        <v/>
      </c>
      <c r="M362" s="33" t="n"/>
      <c r="AN362" s="47" t="n">
        <v>352</v>
      </c>
      <c r="AO362" s="117">
        <f>I362+(I362*J362)+(I362*K362)</f>
        <v/>
      </c>
      <c r="AP362" s="43">
        <f>IFERROR(VLOOKUP(E362,$AE$11:$AK$14,4,0),0)</f>
        <v/>
      </c>
      <c r="AQ362" s="117">
        <f>(I362+(I362*J362)+(I362*K362))*AP362</f>
        <v/>
      </c>
      <c r="AR362" s="118">
        <f>AO362+AQ362</f>
        <v/>
      </c>
      <c r="AT362" s="39">
        <f>IFERROR((VLOOKUP(E362,$AE$11:$AJ$14,5,0)),0)</f>
        <v/>
      </c>
      <c r="AU362" s="39">
        <f>IFERROR((VLOOKUP(E362,$AE$11:$AJ$14,6,0)),0)</f>
        <v/>
      </c>
      <c r="AW362" s="119">
        <f>AR362*AT362</f>
        <v/>
      </c>
      <c r="AX362" s="119">
        <f>AR362*AU362</f>
        <v/>
      </c>
    </row>
    <row r="363">
      <c r="A363" s="32" t="n">
        <v>353</v>
      </c>
      <c r="B363" s="33" t="n"/>
      <c r="C363" s="33" t="n"/>
      <c r="D363" s="33" t="n"/>
      <c r="E363" s="33" t="inlineStr">
        <is>
          <t>-</t>
        </is>
      </c>
      <c r="F363" s="54">
        <f>IFERROR((VLOOKUP(E363,$AE$11:$AG$14,3,0)),"-")</f>
        <v/>
      </c>
      <c r="G363" s="33" t="n"/>
      <c r="H363" s="33" t="n"/>
      <c r="I363" s="46" t="n"/>
      <c r="J363" s="35" t="n"/>
      <c r="K363" s="35" t="n"/>
      <c r="L363" s="36">
        <f>IF($H$4="-",0,IF($H$4="VAREJO",AW363,IF($H$4="ATACADO",AX363,0)))</f>
        <v/>
      </c>
      <c r="M363" s="33" t="n"/>
      <c r="AN363" s="47" t="n">
        <v>353</v>
      </c>
      <c r="AO363" s="117">
        <f>I363+(I363*J363)+(I363*K363)</f>
        <v/>
      </c>
      <c r="AP363" s="43">
        <f>IFERROR(VLOOKUP(E363,$AE$11:$AK$14,4,0),0)</f>
        <v/>
      </c>
      <c r="AQ363" s="117">
        <f>(I363+(I363*J363)+(I363*K363))*AP363</f>
        <v/>
      </c>
      <c r="AR363" s="118">
        <f>AO363+AQ363</f>
        <v/>
      </c>
      <c r="AT363" s="39">
        <f>IFERROR((VLOOKUP(E363,$AE$11:$AJ$14,5,0)),0)</f>
        <v/>
      </c>
      <c r="AU363" s="39">
        <f>IFERROR((VLOOKUP(E363,$AE$11:$AJ$14,6,0)),0)</f>
        <v/>
      </c>
      <c r="AW363" s="119">
        <f>AR363*AT363</f>
        <v/>
      </c>
      <c r="AX363" s="119">
        <f>AR363*AU363</f>
        <v/>
      </c>
    </row>
    <row r="364">
      <c r="A364" s="32" t="n">
        <v>354</v>
      </c>
      <c r="B364" s="33" t="n"/>
      <c r="C364" s="33" t="n"/>
      <c r="D364" s="33" t="n"/>
      <c r="E364" s="33" t="inlineStr">
        <is>
          <t>-</t>
        </is>
      </c>
      <c r="F364" s="54">
        <f>IFERROR((VLOOKUP(E364,$AE$11:$AG$14,3,0)),"-")</f>
        <v/>
      </c>
      <c r="G364" s="33" t="n"/>
      <c r="H364" s="33" t="n"/>
      <c r="I364" s="46" t="n"/>
      <c r="J364" s="35" t="n"/>
      <c r="K364" s="35" t="n"/>
      <c r="L364" s="36">
        <f>IF($H$4="-",0,IF($H$4="VAREJO",AW364,IF($H$4="ATACADO",AX364,0)))</f>
        <v/>
      </c>
      <c r="M364" s="33" t="n"/>
      <c r="AN364" s="47" t="n">
        <v>354</v>
      </c>
      <c r="AO364" s="117">
        <f>I364+(I364*J364)+(I364*K364)</f>
        <v/>
      </c>
      <c r="AP364" s="43">
        <f>IFERROR(VLOOKUP(E364,$AE$11:$AK$14,4,0),0)</f>
        <v/>
      </c>
      <c r="AQ364" s="117">
        <f>(I364+(I364*J364)+(I364*K364))*AP364</f>
        <v/>
      </c>
      <c r="AR364" s="118">
        <f>AO364+AQ364</f>
        <v/>
      </c>
      <c r="AT364" s="39">
        <f>IFERROR((VLOOKUP(E364,$AE$11:$AJ$14,5,0)),0)</f>
        <v/>
      </c>
      <c r="AU364" s="39">
        <f>IFERROR((VLOOKUP(E364,$AE$11:$AJ$14,6,0)),0)</f>
        <v/>
      </c>
      <c r="AW364" s="119">
        <f>AR364*AT364</f>
        <v/>
      </c>
      <c r="AX364" s="119">
        <f>AR364*AU364</f>
        <v/>
      </c>
    </row>
    <row r="365">
      <c r="A365" s="32" t="n">
        <v>355</v>
      </c>
      <c r="B365" s="33" t="n"/>
      <c r="C365" s="33" t="n"/>
      <c r="D365" s="33" t="n"/>
      <c r="E365" s="33" t="inlineStr">
        <is>
          <t>-</t>
        </is>
      </c>
      <c r="F365" s="54">
        <f>IFERROR((VLOOKUP(E365,$AE$11:$AG$14,3,0)),"-")</f>
        <v/>
      </c>
      <c r="G365" s="33" t="n"/>
      <c r="H365" s="33" t="n"/>
      <c r="I365" s="46" t="n"/>
      <c r="J365" s="35" t="n"/>
      <c r="K365" s="35" t="n"/>
      <c r="L365" s="36">
        <f>IF($H$4="-",0,IF($H$4="VAREJO",AW365,IF($H$4="ATACADO",AX365,0)))</f>
        <v/>
      </c>
      <c r="M365" s="33" t="n"/>
      <c r="AN365" s="47" t="n">
        <v>355</v>
      </c>
      <c r="AO365" s="117">
        <f>I365+(I365*J365)+(I365*K365)</f>
        <v/>
      </c>
      <c r="AP365" s="43">
        <f>IFERROR(VLOOKUP(E365,$AE$11:$AK$14,4,0),0)</f>
        <v/>
      </c>
      <c r="AQ365" s="117">
        <f>(I365+(I365*J365)+(I365*K365))*AP365</f>
        <v/>
      </c>
      <c r="AR365" s="118">
        <f>AO365+AQ365</f>
        <v/>
      </c>
      <c r="AT365" s="39">
        <f>IFERROR((VLOOKUP(E365,$AE$11:$AJ$14,5,0)),0)</f>
        <v/>
      </c>
      <c r="AU365" s="39">
        <f>IFERROR((VLOOKUP(E365,$AE$11:$AJ$14,6,0)),0)</f>
        <v/>
      </c>
      <c r="AW365" s="119">
        <f>AR365*AT365</f>
        <v/>
      </c>
      <c r="AX365" s="119">
        <f>AR365*AU365</f>
        <v/>
      </c>
    </row>
    <row r="366">
      <c r="A366" s="32" t="n">
        <v>356</v>
      </c>
      <c r="B366" s="33" t="n"/>
      <c r="C366" s="33" t="n"/>
      <c r="D366" s="33" t="n"/>
      <c r="E366" s="33" t="inlineStr">
        <is>
          <t>-</t>
        </is>
      </c>
      <c r="F366" s="54">
        <f>IFERROR((VLOOKUP(E366,$AE$11:$AG$14,3,0)),"-")</f>
        <v/>
      </c>
      <c r="G366" s="33" t="n"/>
      <c r="H366" s="33" t="n"/>
      <c r="I366" s="46" t="n"/>
      <c r="J366" s="35" t="n"/>
      <c r="K366" s="35" t="n"/>
      <c r="L366" s="36">
        <f>IF($H$4="-",0,IF($H$4="VAREJO",AW366,IF($H$4="ATACADO",AX366,0)))</f>
        <v/>
      </c>
      <c r="M366" s="33" t="n"/>
      <c r="AN366" s="47" t="n">
        <v>356</v>
      </c>
      <c r="AO366" s="117">
        <f>I366+(I366*J366)+(I366*K366)</f>
        <v/>
      </c>
      <c r="AP366" s="43">
        <f>IFERROR(VLOOKUP(E366,$AE$11:$AK$14,4,0),0)</f>
        <v/>
      </c>
      <c r="AQ366" s="117">
        <f>(I366+(I366*J366)+(I366*K366))*AP366</f>
        <v/>
      </c>
      <c r="AR366" s="118">
        <f>AO366+AQ366</f>
        <v/>
      </c>
      <c r="AT366" s="39">
        <f>IFERROR((VLOOKUP(E366,$AE$11:$AJ$14,5,0)),0)</f>
        <v/>
      </c>
      <c r="AU366" s="39">
        <f>IFERROR((VLOOKUP(E366,$AE$11:$AJ$14,6,0)),0)</f>
        <v/>
      </c>
      <c r="AW366" s="119">
        <f>AR366*AT366</f>
        <v/>
      </c>
      <c r="AX366" s="119">
        <f>AR366*AU366</f>
        <v/>
      </c>
    </row>
    <row r="367">
      <c r="A367" s="32" t="n">
        <v>357</v>
      </c>
      <c r="B367" s="33" t="n"/>
      <c r="C367" s="33" t="n"/>
      <c r="D367" s="33" t="n"/>
      <c r="E367" s="33" t="inlineStr">
        <is>
          <t>-</t>
        </is>
      </c>
      <c r="F367" s="54">
        <f>IFERROR((VLOOKUP(E367,$AE$11:$AG$14,3,0)),"-")</f>
        <v/>
      </c>
      <c r="G367" s="33" t="n"/>
      <c r="H367" s="33" t="n"/>
      <c r="I367" s="46" t="n"/>
      <c r="J367" s="35" t="n"/>
      <c r="K367" s="35" t="n"/>
      <c r="L367" s="36">
        <f>IF($H$4="-",0,IF($H$4="VAREJO",AW367,IF($H$4="ATACADO",AX367,0)))</f>
        <v/>
      </c>
      <c r="M367" s="33" t="n"/>
      <c r="AN367" s="47" t="n">
        <v>357</v>
      </c>
      <c r="AO367" s="117">
        <f>I367+(I367*J367)+(I367*K367)</f>
        <v/>
      </c>
      <c r="AP367" s="43">
        <f>IFERROR(VLOOKUP(E367,$AE$11:$AK$14,4,0),0)</f>
        <v/>
      </c>
      <c r="AQ367" s="117">
        <f>(I367+(I367*J367)+(I367*K367))*AP367</f>
        <v/>
      </c>
      <c r="AR367" s="118">
        <f>AO367+AQ367</f>
        <v/>
      </c>
      <c r="AT367" s="39">
        <f>IFERROR((VLOOKUP(E367,$AE$11:$AJ$14,5,0)),0)</f>
        <v/>
      </c>
      <c r="AU367" s="39">
        <f>IFERROR((VLOOKUP(E367,$AE$11:$AJ$14,6,0)),0)</f>
        <v/>
      </c>
      <c r="AW367" s="119">
        <f>AR367*AT367</f>
        <v/>
      </c>
      <c r="AX367" s="119">
        <f>AR367*AU367</f>
        <v/>
      </c>
    </row>
    <row r="368">
      <c r="A368" s="32" t="n">
        <v>358</v>
      </c>
      <c r="B368" s="33" t="n"/>
      <c r="C368" s="33" t="n"/>
      <c r="D368" s="33" t="n"/>
      <c r="E368" s="33" t="inlineStr">
        <is>
          <t>-</t>
        </is>
      </c>
      <c r="F368" s="54">
        <f>IFERROR((VLOOKUP(E368,$AE$11:$AG$14,3,0)),"-")</f>
        <v/>
      </c>
      <c r="G368" s="33" t="n"/>
      <c r="H368" s="33" t="n"/>
      <c r="I368" s="46" t="n"/>
      <c r="J368" s="35" t="n"/>
      <c r="K368" s="35" t="n"/>
      <c r="L368" s="36">
        <f>IF($H$4="-",0,IF($H$4="VAREJO",AW368,IF($H$4="ATACADO",AX368,0)))</f>
        <v/>
      </c>
      <c r="M368" s="33" t="n"/>
      <c r="AN368" s="47" t="n">
        <v>358</v>
      </c>
      <c r="AO368" s="117">
        <f>I368+(I368*J368)+(I368*K368)</f>
        <v/>
      </c>
      <c r="AP368" s="43">
        <f>IFERROR(VLOOKUP(E368,$AE$11:$AK$14,4,0),0)</f>
        <v/>
      </c>
      <c r="AQ368" s="117">
        <f>(I368+(I368*J368)+(I368*K368))*AP368</f>
        <v/>
      </c>
      <c r="AR368" s="118">
        <f>AO368+AQ368</f>
        <v/>
      </c>
      <c r="AT368" s="39">
        <f>IFERROR((VLOOKUP(E368,$AE$11:$AJ$14,5,0)),0)</f>
        <v/>
      </c>
      <c r="AU368" s="39">
        <f>IFERROR((VLOOKUP(E368,$AE$11:$AJ$14,6,0)),0)</f>
        <v/>
      </c>
      <c r="AW368" s="119">
        <f>AR368*AT368</f>
        <v/>
      </c>
      <c r="AX368" s="119">
        <f>AR368*AU368</f>
        <v/>
      </c>
    </row>
    <row r="369">
      <c r="A369" s="32" t="n">
        <v>359</v>
      </c>
      <c r="B369" s="33" t="n"/>
      <c r="C369" s="33" t="n"/>
      <c r="D369" s="33" t="n"/>
      <c r="E369" s="33" t="inlineStr">
        <is>
          <t>-</t>
        </is>
      </c>
      <c r="F369" s="54">
        <f>IFERROR((VLOOKUP(E369,$AE$11:$AG$14,3,0)),"-")</f>
        <v/>
      </c>
      <c r="G369" s="33" t="n"/>
      <c r="H369" s="33" t="n"/>
      <c r="I369" s="46" t="n"/>
      <c r="J369" s="35" t="n"/>
      <c r="K369" s="35" t="n"/>
      <c r="L369" s="36">
        <f>IF($H$4="-",0,IF($H$4="VAREJO",AW369,IF($H$4="ATACADO",AX369,0)))</f>
        <v/>
      </c>
      <c r="M369" s="33" t="n"/>
      <c r="AN369" s="47" t="n">
        <v>359</v>
      </c>
      <c r="AO369" s="117">
        <f>I369+(I369*J369)+(I369*K369)</f>
        <v/>
      </c>
      <c r="AP369" s="43">
        <f>IFERROR(VLOOKUP(E369,$AE$11:$AK$14,4,0),0)</f>
        <v/>
      </c>
      <c r="AQ369" s="117">
        <f>(I369+(I369*J369)+(I369*K369))*AP369</f>
        <v/>
      </c>
      <c r="AR369" s="118">
        <f>AO369+AQ369</f>
        <v/>
      </c>
      <c r="AT369" s="39">
        <f>IFERROR((VLOOKUP(E369,$AE$11:$AJ$14,5,0)),0)</f>
        <v/>
      </c>
      <c r="AU369" s="39">
        <f>IFERROR((VLOOKUP(E369,$AE$11:$AJ$14,6,0)),0)</f>
        <v/>
      </c>
      <c r="AW369" s="119">
        <f>AR369*AT369</f>
        <v/>
      </c>
      <c r="AX369" s="119">
        <f>AR369*AU369</f>
        <v/>
      </c>
    </row>
    <row r="370">
      <c r="A370" s="32" t="n">
        <v>360</v>
      </c>
      <c r="B370" s="33" t="n"/>
      <c r="C370" s="33" t="n"/>
      <c r="D370" s="33" t="n"/>
      <c r="E370" s="33" t="inlineStr">
        <is>
          <t>-</t>
        </is>
      </c>
      <c r="F370" s="54">
        <f>IFERROR((VLOOKUP(E370,$AE$11:$AG$14,3,0)),"-")</f>
        <v/>
      </c>
      <c r="G370" s="33" t="n"/>
      <c r="H370" s="33" t="n"/>
      <c r="I370" s="46" t="n"/>
      <c r="J370" s="35" t="n"/>
      <c r="K370" s="35" t="n"/>
      <c r="L370" s="36">
        <f>IF($H$4="-",0,IF($H$4="VAREJO",AW370,IF($H$4="ATACADO",AX370,0)))</f>
        <v/>
      </c>
      <c r="M370" s="33" t="n"/>
      <c r="AN370" s="47" t="n">
        <v>360</v>
      </c>
      <c r="AO370" s="117">
        <f>I370+(I370*J370)+(I370*K370)</f>
        <v/>
      </c>
      <c r="AP370" s="43">
        <f>IFERROR(VLOOKUP(E370,$AE$11:$AK$14,4,0),0)</f>
        <v/>
      </c>
      <c r="AQ370" s="117">
        <f>(I370+(I370*J370)+(I370*K370))*AP370</f>
        <v/>
      </c>
      <c r="AR370" s="118">
        <f>AO370+AQ370</f>
        <v/>
      </c>
      <c r="AT370" s="39">
        <f>IFERROR((VLOOKUP(E370,$AE$11:$AJ$14,5,0)),0)</f>
        <v/>
      </c>
      <c r="AU370" s="39">
        <f>IFERROR((VLOOKUP(E370,$AE$11:$AJ$14,6,0)),0)</f>
        <v/>
      </c>
      <c r="AW370" s="119">
        <f>AR370*AT370</f>
        <v/>
      </c>
      <c r="AX370" s="119">
        <f>AR370*AU370</f>
        <v/>
      </c>
    </row>
    <row r="371">
      <c r="A371" s="32" t="n">
        <v>361</v>
      </c>
      <c r="B371" s="33" t="n"/>
      <c r="C371" s="33" t="n"/>
      <c r="D371" s="33" t="n"/>
      <c r="E371" s="33" t="inlineStr">
        <is>
          <t>-</t>
        </is>
      </c>
      <c r="F371" s="54">
        <f>IFERROR((VLOOKUP(E371,$AE$11:$AG$14,3,0)),"-")</f>
        <v/>
      </c>
      <c r="G371" s="33" t="n"/>
      <c r="H371" s="33" t="n"/>
      <c r="I371" s="46" t="n"/>
      <c r="J371" s="35" t="n"/>
      <c r="K371" s="35" t="n"/>
      <c r="L371" s="36">
        <f>IF($H$4="-",0,IF($H$4="VAREJO",AW371,IF($H$4="ATACADO",AX371,0)))</f>
        <v/>
      </c>
      <c r="M371" s="33" t="n"/>
      <c r="AN371" s="47" t="n">
        <v>361</v>
      </c>
      <c r="AO371" s="117">
        <f>I371+(I371*J371)+(I371*K371)</f>
        <v/>
      </c>
      <c r="AP371" s="43">
        <f>IFERROR(VLOOKUP(E371,$AE$11:$AK$14,4,0),0)</f>
        <v/>
      </c>
      <c r="AQ371" s="117">
        <f>(I371+(I371*J371)+(I371*K371))*AP371</f>
        <v/>
      </c>
      <c r="AR371" s="118">
        <f>AO371+AQ371</f>
        <v/>
      </c>
      <c r="AT371" s="39">
        <f>IFERROR((VLOOKUP(E371,$AE$11:$AJ$14,5,0)),0)</f>
        <v/>
      </c>
      <c r="AU371" s="39">
        <f>IFERROR((VLOOKUP(E371,$AE$11:$AJ$14,6,0)),0)</f>
        <v/>
      </c>
      <c r="AW371" s="119">
        <f>AR371*AT371</f>
        <v/>
      </c>
      <c r="AX371" s="119">
        <f>AR371*AU371</f>
        <v/>
      </c>
    </row>
    <row r="372">
      <c r="A372" s="32" t="n">
        <v>362</v>
      </c>
      <c r="B372" s="33" t="n"/>
      <c r="C372" s="33" t="n"/>
      <c r="D372" s="33" t="n"/>
      <c r="E372" s="33" t="inlineStr">
        <is>
          <t>-</t>
        </is>
      </c>
      <c r="F372" s="54">
        <f>IFERROR((VLOOKUP(E372,$AE$11:$AG$14,3,0)),"-")</f>
        <v/>
      </c>
      <c r="G372" s="33" t="n"/>
      <c r="H372" s="33" t="n"/>
      <c r="I372" s="46" t="n"/>
      <c r="J372" s="35" t="n"/>
      <c r="K372" s="35" t="n"/>
      <c r="L372" s="36">
        <f>IF($H$4="-",0,IF($H$4="VAREJO",AW372,IF($H$4="ATACADO",AX372,0)))</f>
        <v/>
      </c>
      <c r="M372" s="33" t="n"/>
      <c r="AN372" s="47" t="n">
        <v>362</v>
      </c>
      <c r="AO372" s="117">
        <f>I372+(I372*J372)+(I372*K372)</f>
        <v/>
      </c>
      <c r="AP372" s="43">
        <f>IFERROR(VLOOKUP(E372,$AE$11:$AK$14,4,0),0)</f>
        <v/>
      </c>
      <c r="AQ372" s="117">
        <f>(I372+(I372*J372)+(I372*K372))*AP372</f>
        <v/>
      </c>
      <c r="AR372" s="118">
        <f>AO372+AQ372</f>
        <v/>
      </c>
      <c r="AT372" s="39">
        <f>IFERROR((VLOOKUP(E372,$AE$11:$AJ$14,5,0)),0)</f>
        <v/>
      </c>
      <c r="AU372" s="39">
        <f>IFERROR((VLOOKUP(E372,$AE$11:$AJ$14,6,0)),0)</f>
        <v/>
      </c>
      <c r="AW372" s="119">
        <f>AR372*AT372</f>
        <v/>
      </c>
      <c r="AX372" s="119">
        <f>AR372*AU372</f>
        <v/>
      </c>
    </row>
    <row r="373">
      <c r="A373" s="32" t="n">
        <v>363</v>
      </c>
      <c r="B373" s="33" t="n"/>
      <c r="C373" s="33" t="n"/>
      <c r="D373" s="33" t="n"/>
      <c r="E373" s="33" t="inlineStr">
        <is>
          <t>-</t>
        </is>
      </c>
      <c r="F373" s="54">
        <f>IFERROR((VLOOKUP(E373,$AE$11:$AG$14,3,0)),"-")</f>
        <v/>
      </c>
      <c r="G373" s="33" t="n"/>
      <c r="H373" s="33" t="n"/>
      <c r="I373" s="46" t="n"/>
      <c r="J373" s="35" t="n"/>
      <c r="K373" s="35" t="n"/>
      <c r="L373" s="36">
        <f>IF($H$4="-",0,IF($H$4="VAREJO",AW373,IF($H$4="ATACADO",AX373,0)))</f>
        <v/>
      </c>
      <c r="M373" s="33" t="n"/>
      <c r="AN373" s="47" t="n">
        <v>363</v>
      </c>
      <c r="AO373" s="117">
        <f>I373+(I373*J373)+(I373*K373)</f>
        <v/>
      </c>
      <c r="AP373" s="43">
        <f>IFERROR(VLOOKUP(E373,$AE$11:$AK$14,4,0),0)</f>
        <v/>
      </c>
      <c r="AQ373" s="117">
        <f>(I373+(I373*J373)+(I373*K373))*AP373</f>
        <v/>
      </c>
      <c r="AR373" s="118">
        <f>AO373+AQ373</f>
        <v/>
      </c>
      <c r="AT373" s="39">
        <f>IFERROR((VLOOKUP(E373,$AE$11:$AJ$14,5,0)),0)</f>
        <v/>
      </c>
      <c r="AU373" s="39">
        <f>IFERROR((VLOOKUP(E373,$AE$11:$AJ$14,6,0)),0)</f>
        <v/>
      </c>
      <c r="AW373" s="119">
        <f>AR373*AT373</f>
        <v/>
      </c>
      <c r="AX373" s="119">
        <f>AR373*AU373</f>
        <v/>
      </c>
    </row>
    <row r="374">
      <c r="A374" s="32" t="n">
        <v>364</v>
      </c>
      <c r="B374" s="33" t="n"/>
      <c r="C374" s="33" t="n"/>
      <c r="D374" s="33" t="n"/>
      <c r="E374" s="33" t="inlineStr">
        <is>
          <t>-</t>
        </is>
      </c>
      <c r="F374" s="54">
        <f>IFERROR((VLOOKUP(E374,$AE$11:$AG$14,3,0)),"-")</f>
        <v/>
      </c>
      <c r="G374" s="33" t="n"/>
      <c r="H374" s="33" t="n"/>
      <c r="I374" s="46" t="n"/>
      <c r="J374" s="35" t="n"/>
      <c r="K374" s="35" t="n"/>
      <c r="L374" s="36">
        <f>IF($H$4="-",0,IF($H$4="VAREJO",AW374,IF($H$4="ATACADO",AX374,0)))</f>
        <v/>
      </c>
      <c r="M374" s="33" t="n"/>
      <c r="AN374" s="47" t="n">
        <v>364</v>
      </c>
      <c r="AO374" s="117">
        <f>I374+(I374*J374)+(I374*K374)</f>
        <v/>
      </c>
      <c r="AP374" s="43">
        <f>IFERROR(VLOOKUP(E374,$AE$11:$AK$14,4,0),0)</f>
        <v/>
      </c>
      <c r="AQ374" s="117">
        <f>(I374+(I374*J374)+(I374*K374))*AP374</f>
        <v/>
      </c>
      <c r="AR374" s="118">
        <f>AO374+AQ374</f>
        <v/>
      </c>
      <c r="AT374" s="39">
        <f>IFERROR((VLOOKUP(E374,$AE$11:$AJ$14,5,0)),0)</f>
        <v/>
      </c>
      <c r="AU374" s="39">
        <f>IFERROR((VLOOKUP(E374,$AE$11:$AJ$14,6,0)),0)</f>
        <v/>
      </c>
      <c r="AW374" s="119">
        <f>AR374*AT374</f>
        <v/>
      </c>
      <c r="AX374" s="119">
        <f>AR374*AU374</f>
        <v/>
      </c>
    </row>
    <row r="375">
      <c r="A375" s="32" t="n">
        <v>365</v>
      </c>
      <c r="B375" s="33" t="n"/>
      <c r="C375" s="33" t="n"/>
      <c r="D375" s="33" t="n"/>
      <c r="E375" s="33" t="inlineStr">
        <is>
          <t>-</t>
        </is>
      </c>
      <c r="F375" s="54">
        <f>IFERROR((VLOOKUP(E375,$AE$11:$AG$14,3,0)),"-")</f>
        <v/>
      </c>
      <c r="G375" s="33" t="n"/>
      <c r="H375" s="33" t="n"/>
      <c r="I375" s="46" t="n"/>
      <c r="J375" s="35" t="n"/>
      <c r="K375" s="35" t="n"/>
      <c r="L375" s="36">
        <f>IF($H$4="-",0,IF($H$4="VAREJO",AW375,IF($H$4="ATACADO",AX375,0)))</f>
        <v/>
      </c>
      <c r="M375" s="33" t="n"/>
      <c r="AN375" s="47" t="n">
        <v>365</v>
      </c>
      <c r="AO375" s="117">
        <f>I375+(I375*J375)+(I375*K375)</f>
        <v/>
      </c>
      <c r="AP375" s="43">
        <f>IFERROR(VLOOKUP(E375,$AE$11:$AK$14,4,0),0)</f>
        <v/>
      </c>
      <c r="AQ375" s="117">
        <f>(I375+(I375*J375)+(I375*K375))*AP375</f>
        <v/>
      </c>
      <c r="AR375" s="118">
        <f>AO375+AQ375</f>
        <v/>
      </c>
      <c r="AT375" s="39">
        <f>IFERROR((VLOOKUP(E375,$AE$11:$AJ$14,5,0)),0)</f>
        <v/>
      </c>
      <c r="AU375" s="39">
        <f>IFERROR((VLOOKUP(E375,$AE$11:$AJ$14,6,0)),0)</f>
        <v/>
      </c>
      <c r="AW375" s="119">
        <f>AR375*AT375</f>
        <v/>
      </c>
      <c r="AX375" s="119">
        <f>AR375*AU375</f>
        <v/>
      </c>
    </row>
    <row r="376">
      <c r="A376" s="32" t="n">
        <v>366</v>
      </c>
      <c r="B376" s="33" t="n"/>
      <c r="C376" s="33" t="n"/>
      <c r="D376" s="33" t="n"/>
      <c r="E376" s="33" t="inlineStr">
        <is>
          <t>-</t>
        </is>
      </c>
      <c r="F376" s="54">
        <f>IFERROR((VLOOKUP(E376,$AE$11:$AG$14,3,0)),"-")</f>
        <v/>
      </c>
      <c r="G376" s="33" t="n"/>
      <c r="H376" s="33" t="n"/>
      <c r="I376" s="46" t="n"/>
      <c r="J376" s="35" t="n"/>
      <c r="K376" s="35" t="n"/>
      <c r="L376" s="36">
        <f>IF($H$4="-",0,IF($H$4="VAREJO",AW376,IF($H$4="ATACADO",AX376,0)))</f>
        <v/>
      </c>
      <c r="M376" s="33" t="n"/>
      <c r="AN376" s="47" t="n">
        <v>366</v>
      </c>
      <c r="AO376" s="117">
        <f>I376+(I376*J376)+(I376*K376)</f>
        <v/>
      </c>
      <c r="AP376" s="43">
        <f>IFERROR(VLOOKUP(E376,$AE$11:$AK$14,4,0),0)</f>
        <v/>
      </c>
      <c r="AQ376" s="117">
        <f>(I376+(I376*J376)+(I376*K376))*AP376</f>
        <v/>
      </c>
      <c r="AR376" s="118">
        <f>AO376+AQ376</f>
        <v/>
      </c>
      <c r="AT376" s="39">
        <f>IFERROR((VLOOKUP(E376,$AE$11:$AJ$14,5,0)),0)</f>
        <v/>
      </c>
      <c r="AU376" s="39">
        <f>IFERROR((VLOOKUP(E376,$AE$11:$AJ$14,6,0)),0)</f>
        <v/>
      </c>
      <c r="AW376" s="119">
        <f>AR376*AT376</f>
        <v/>
      </c>
      <c r="AX376" s="119">
        <f>AR376*AU376</f>
        <v/>
      </c>
    </row>
    <row r="377">
      <c r="A377" s="32" t="n">
        <v>367</v>
      </c>
      <c r="B377" s="33" t="n"/>
      <c r="C377" s="33" t="n"/>
      <c r="D377" s="33" t="n"/>
      <c r="E377" s="33" t="inlineStr">
        <is>
          <t>-</t>
        </is>
      </c>
      <c r="F377" s="54">
        <f>IFERROR((VLOOKUP(E377,$AE$11:$AG$14,3,0)),"-")</f>
        <v/>
      </c>
      <c r="G377" s="33" t="n"/>
      <c r="H377" s="33" t="n"/>
      <c r="I377" s="46" t="n"/>
      <c r="J377" s="35" t="n"/>
      <c r="K377" s="35" t="n"/>
      <c r="L377" s="36">
        <f>IF($H$4="-",0,IF($H$4="VAREJO",AW377,IF($H$4="ATACADO",AX377,0)))</f>
        <v/>
      </c>
      <c r="M377" s="33" t="n"/>
      <c r="AN377" s="47" t="n">
        <v>367</v>
      </c>
      <c r="AO377" s="117">
        <f>I377+(I377*J377)+(I377*K377)</f>
        <v/>
      </c>
      <c r="AP377" s="43">
        <f>IFERROR(VLOOKUP(E377,$AE$11:$AK$14,4,0),0)</f>
        <v/>
      </c>
      <c r="AQ377" s="117">
        <f>(I377+(I377*J377)+(I377*K377))*AP377</f>
        <v/>
      </c>
      <c r="AR377" s="118">
        <f>AO377+AQ377</f>
        <v/>
      </c>
      <c r="AT377" s="39">
        <f>IFERROR((VLOOKUP(E377,$AE$11:$AJ$14,5,0)),0)</f>
        <v/>
      </c>
      <c r="AU377" s="39">
        <f>IFERROR((VLOOKUP(E377,$AE$11:$AJ$14,6,0)),0)</f>
        <v/>
      </c>
      <c r="AW377" s="119">
        <f>AR377*AT377</f>
        <v/>
      </c>
      <c r="AX377" s="119">
        <f>AR377*AU377</f>
        <v/>
      </c>
    </row>
    <row r="378">
      <c r="A378" s="32" t="n">
        <v>368</v>
      </c>
      <c r="B378" s="33" t="n"/>
      <c r="C378" s="33" t="n"/>
      <c r="D378" s="33" t="n"/>
      <c r="E378" s="33" t="inlineStr">
        <is>
          <t>-</t>
        </is>
      </c>
      <c r="F378" s="54">
        <f>IFERROR((VLOOKUP(E378,$AE$11:$AG$14,3,0)),"-")</f>
        <v/>
      </c>
      <c r="G378" s="33" t="n"/>
      <c r="H378" s="33" t="n"/>
      <c r="I378" s="46" t="n"/>
      <c r="J378" s="35" t="n"/>
      <c r="K378" s="35" t="n"/>
      <c r="L378" s="36">
        <f>IF($H$4="-",0,IF($H$4="VAREJO",AW378,IF($H$4="ATACADO",AX378,0)))</f>
        <v/>
      </c>
      <c r="M378" s="33" t="n"/>
      <c r="AN378" s="47" t="n">
        <v>368</v>
      </c>
      <c r="AO378" s="117">
        <f>I378+(I378*J378)+(I378*K378)</f>
        <v/>
      </c>
      <c r="AP378" s="43">
        <f>IFERROR(VLOOKUP(E378,$AE$11:$AK$14,4,0),0)</f>
        <v/>
      </c>
      <c r="AQ378" s="117">
        <f>(I378+(I378*J378)+(I378*K378))*AP378</f>
        <v/>
      </c>
      <c r="AR378" s="118">
        <f>AO378+AQ378</f>
        <v/>
      </c>
      <c r="AT378" s="39">
        <f>IFERROR((VLOOKUP(E378,$AE$11:$AJ$14,5,0)),0)</f>
        <v/>
      </c>
      <c r="AU378" s="39">
        <f>IFERROR((VLOOKUP(E378,$AE$11:$AJ$14,6,0)),0)</f>
        <v/>
      </c>
      <c r="AW378" s="119">
        <f>AR378*AT378</f>
        <v/>
      </c>
      <c r="AX378" s="119">
        <f>AR378*AU378</f>
        <v/>
      </c>
    </row>
    <row r="379">
      <c r="A379" s="32" t="n">
        <v>369</v>
      </c>
      <c r="B379" s="33" t="n"/>
      <c r="C379" s="33" t="n"/>
      <c r="D379" s="33" t="n"/>
      <c r="E379" s="33" t="inlineStr">
        <is>
          <t>-</t>
        </is>
      </c>
      <c r="F379" s="54">
        <f>IFERROR((VLOOKUP(E379,$AE$11:$AG$14,3,0)),"-")</f>
        <v/>
      </c>
      <c r="G379" s="33" t="n"/>
      <c r="H379" s="33" t="n"/>
      <c r="I379" s="46" t="n"/>
      <c r="J379" s="35" t="n"/>
      <c r="K379" s="35" t="n"/>
      <c r="L379" s="36">
        <f>IF($H$4="-",0,IF($H$4="VAREJO",AW379,IF($H$4="ATACADO",AX379,0)))</f>
        <v/>
      </c>
      <c r="M379" s="33" t="n"/>
      <c r="AN379" s="47" t="n">
        <v>369</v>
      </c>
      <c r="AO379" s="117">
        <f>I379+(I379*J379)+(I379*K379)</f>
        <v/>
      </c>
      <c r="AP379" s="43">
        <f>IFERROR(VLOOKUP(E379,$AE$11:$AK$14,4,0),0)</f>
        <v/>
      </c>
      <c r="AQ379" s="117">
        <f>(I379+(I379*J379)+(I379*K379))*AP379</f>
        <v/>
      </c>
      <c r="AR379" s="118">
        <f>AO379+AQ379</f>
        <v/>
      </c>
      <c r="AT379" s="39">
        <f>IFERROR((VLOOKUP(E379,$AE$11:$AJ$14,5,0)),0)</f>
        <v/>
      </c>
      <c r="AU379" s="39">
        <f>IFERROR((VLOOKUP(E379,$AE$11:$AJ$14,6,0)),0)</f>
        <v/>
      </c>
      <c r="AW379" s="119">
        <f>AR379*AT379</f>
        <v/>
      </c>
      <c r="AX379" s="119">
        <f>AR379*AU379</f>
        <v/>
      </c>
    </row>
    <row r="380">
      <c r="A380" s="32" t="n">
        <v>370</v>
      </c>
      <c r="B380" s="33" t="n"/>
      <c r="C380" s="33" t="n"/>
      <c r="D380" s="33" t="n"/>
      <c r="E380" s="33" t="inlineStr">
        <is>
          <t>-</t>
        </is>
      </c>
      <c r="F380" s="54">
        <f>IFERROR((VLOOKUP(E380,$AE$11:$AG$14,3,0)),"-")</f>
        <v/>
      </c>
      <c r="G380" s="33" t="n"/>
      <c r="H380" s="33" t="n"/>
      <c r="I380" s="46" t="n"/>
      <c r="J380" s="35" t="n"/>
      <c r="K380" s="35" t="n"/>
      <c r="L380" s="36">
        <f>IF($H$4="-",0,IF($H$4="VAREJO",AW380,IF($H$4="ATACADO",AX380,0)))</f>
        <v/>
      </c>
      <c r="M380" s="33" t="n"/>
      <c r="AN380" s="47" t="n">
        <v>370</v>
      </c>
      <c r="AO380" s="117">
        <f>I380+(I380*J380)+(I380*K380)</f>
        <v/>
      </c>
      <c r="AP380" s="43">
        <f>IFERROR(VLOOKUP(E380,$AE$11:$AK$14,4,0),0)</f>
        <v/>
      </c>
      <c r="AQ380" s="117">
        <f>(I380+(I380*J380)+(I380*K380))*AP380</f>
        <v/>
      </c>
      <c r="AR380" s="118">
        <f>AO380+AQ380</f>
        <v/>
      </c>
      <c r="AT380" s="39">
        <f>IFERROR((VLOOKUP(E380,$AE$11:$AJ$14,5,0)),0)</f>
        <v/>
      </c>
      <c r="AU380" s="39">
        <f>IFERROR((VLOOKUP(E380,$AE$11:$AJ$14,6,0)),0)</f>
        <v/>
      </c>
      <c r="AW380" s="119">
        <f>AR380*AT380</f>
        <v/>
      </c>
      <c r="AX380" s="119">
        <f>AR380*AU380</f>
        <v/>
      </c>
    </row>
    <row r="381">
      <c r="A381" s="32" t="n">
        <v>371</v>
      </c>
      <c r="B381" s="33" t="n"/>
      <c r="C381" s="33" t="n"/>
      <c r="D381" s="33" t="n"/>
      <c r="E381" s="33" t="inlineStr">
        <is>
          <t>-</t>
        </is>
      </c>
      <c r="F381" s="54">
        <f>IFERROR((VLOOKUP(E381,$AE$11:$AG$14,3,0)),"-")</f>
        <v/>
      </c>
      <c r="G381" s="33" t="n"/>
      <c r="H381" s="33" t="n"/>
      <c r="I381" s="46" t="n"/>
      <c r="J381" s="35" t="n"/>
      <c r="K381" s="35" t="n"/>
      <c r="L381" s="36">
        <f>IF($H$4="-",0,IF($H$4="VAREJO",AW381,IF($H$4="ATACADO",AX381,0)))</f>
        <v/>
      </c>
      <c r="M381" s="33" t="n"/>
      <c r="AN381" s="47" t="n">
        <v>371</v>
      </c>
      <c r="AO381" s="117">
        <f>I381+(I381*J381)+(I381*K381)</f>
        <v/>
      </c>
      <c r="AP381" s="43">
        <f>IFERROR(VLOOKUP(E381,$AE$11:$AK$14,4,0),0)</f>
        <v/>
      </c>
      <c r="AQ381" s="117">
        <f>(I381+(I381*J381)+(I381*K381))*AP381</f>
        <v/>
      </c>
      <c r="AR381" s="118">
        <f>AO381+AQ381</f>
        <v/>
      </c>
      <c r="AT381" s="39">
        <f>IFERROR((VLOOKUP(E381,$AE$11:$AJ$14,5,0)),0)</f>
        <v/>
      </c>
      <c r="AU381" s="39">
        <f>IFERROR((VLOOKUP(E381,$AE$11:$AJ$14,6,0)),0)</f>
        <v/>
      </c>
      <c r="AW381" s="119">
        <f>AR381*AT381</f>
        <v/>
      </c>
      <c r="AX381" s="119">
        <f>AR381*AU381</f>
        <v/>
      </c>
    </row>
    <row r="382">
      <c r="A382" s="32" t="n">
        <v>372</v>
      </c>
      <c r="B382" s="33" t="n"/>
      <c r="C382" s="33" t="n"/>
      <c r="D382" s="33" t="n"/>
      <c r="E382" s="33" t="inlineStr">
        <is>
          <t>-</t>
        </is>
      </c>
      <c r="F382" s="54">
        <f>IFERROR((VLOOKUP(E382,$AE$11:$AG$14,3,0)),"-")</f>
        <v/>
      </c>
      <c r="G382" s="33" t="n"/>
      <c r="H382" s="33" t="n"/>
      <c r="I382" s="46" t="n"/>
      <c r="J382" s="35" t="n"/>
      <c r="K382" s="35" t="n"/>
      <c r="L382" s="36">
        <f>IF($H$4="-",0,IF($H$4="VAREJO",AW382,IF($H$4="ATACADO",AX382,0)))</f>
        <v/>
      </c>
      <c r="M382" s="33" t="n"/>
      <c r="AN382" s="47" t="n">
        <v>372</v>
      </c>
      <c r="AO382" s="117">
        <f>I382+(I382*J382)+(I382*K382)</f>
        <v/>
      </c>
      <c r="AP382" s="43">
        <f>IFERROR(VLOOKUP(E382,$AE$11:$AK$14,4,0),0)</f>
        <v/>
      </c>
      <c r="AQ382" s="117">
        <f>(I382+(I382*J382)+(I382*K382))*AP382</f>
        <v/>
      </c>
      <c r="AR382" s="118">
        <f>AO382+AQ382</f>
        <v/>
      </c>
      <c r="AT382" s="39">
        <f>IFERROR((VLOOKUP(E382,$AE$11:$AJ$14,5,0)),0)</f>
        <v/>
      </c>
      <c r="AU382" s="39">
        <f>IFERROR((VLOOKUP(E382,$AE$11:$AJ$14,6,0)),0)</f>
        <v/>
      </c>
      <c r="AW382" s="119">
        <f>AR382*AT382</f>
        <v/>
      </c>
      <c r="AX382" s="119">
        <f>AR382*AU382</f>
        <v/>
      </c>
    </row>
    <row r="383">
      <c r="A383" s="32" t="n">
        <v>373</v>
      </c>
      <c r="B383" s="33" t="n"/>
      <c r="C383" s="33" t="n"/>
      <c r="D383" s="33" t="n"/>
      <c r="E383" s="33" t="inlineStr">
        <is>
          <t>-</t>
        </is>
      </c>
      <c r="F383" s="54">
        <f>IFERROR((VLOOKUP(E383,$AE$11:$AG$14,3,0)),"-")</f>
        <v/>
      </c>
      <c r="G383" s="33" t="n"/>
      <c r="H383" s="33" t="n"/>
      <c r="I383" s="46" t="n"/>
      <c r="J383" s="35" t="n"/>
      <c r="K383" s="35" t="n"/>
      <c r="L383" s="36">
        <f>IF($H$4="-",0,IF($H$4="VAREJO",AW383,IF($H$4="ATACADO",AX383,0)))</f>
        <v/>
      </c>
      <c r="M383" s="33" t="n"/>
      <c r="AN383" s="47" t="n">
        <v>373</v>
      </c>
      <c r="AO383" s="117">
        <f>I383+(I383*J383)+(I383*K383)</f>
        <v/>
      </c>
      <c r="AP383" s="43">
        <f>IFERROR(VLOOKUP(E383,$AE$11:$AK$14,4,0),0)</f>
        <v/>
      </c>
      <c r="AQ383" s="117">
        <f>(I383+(I383*J383)+(I383*K383))*AP383</f>
        <v/>
      </c>
      <c r="AR383" s="118">
        <f>AO383+AQ383</f>
        <v/>
      </c>
      <c r="AT383" s="39">
        <f>IFERROR((VLOOKUP(E383,$AE$11:$AJ$14,5,0)),0)</f>
        <v/>
      </c>
      <c r="AU383" s="39">
        <f>IFERROR((VLOOKUP(E383,$AE$11:$AJ$14,6,0)),0)</f>
        <v/>
      </c>
      <c r="AW383" s="119">
        <f>AR383*AT383</f>
        <v/>
      </c>
      <c r="AX383" s="119">
        <f>AR383*AU383</f>
        <v/>
      </c>
    </row>
    <row r="384">
      <c r="A384" s="32" t="n">
        <v>374</v>
      </c>
      <c r="B384" s="33" t="n"/>
      <c r="C384" s="33" t="n"/>
      <c r="D384" s="33" t="n"/>
      <c r="E384" s="33" t="inlineStr">
        <is>
          <t>-</t>
        </is>
      </c>
      <c r="F384" s="54">
        <f>IFERROR((VLOOKUP(E384,$AE$11:$AG$14,3,0)),"-")</f>
        <v/>
      </c>
      <c r="G384" s="33" t="n"/>
      <c r="H384" s="33" t="n"/>
      <c r="I384" s="46" t="n"/>
      <c r="J384" s="35" t="n"/>
      <c r="K384" s="35" t="n"/>
      <c r="L384" s="36">
        <f>IF($H$4="-",0,IF($H$4="VAREJO",AW384,IF($H$4="ATACADO",AX384,0)))</f>
        <v/>
      </c>
      <c r="M384" s="33" t="n"/>
      <c r="AN384" s="47" t="n">
        <v>374</v>
      </c>
      <c r="AO384" s="117">
        <f>I384+(I384*J384)+(I384*K384)</f>
        <v/>
      </c>
      <c r="AP384" s="43">
        <f>IFERROR(VLOOKUP(E384,$AE$11:$AK$14,4,0),0)</f>
        <v/>
      </c>
      <c r="AQ384" s="117">
        <f>(I384+(I384*J384)+(I384*K384))*AP384</f>
        <v/>
      </c>
      <c r="AR384" s="118">
        <f>AO384+AQ384</f>
        <v/>
      </c>
      <c r="AT384" s="39">
        <f>IFERROR((VLOOKUP(E384,$AE$11:$AJ$14,5,0)),0)</f>
        <v/>
      </c>
      <c r="AU384" s="39">
        <f>IFERROR((VLOOKUP(E384,$AE$11:$AJ$14,6,0)),0)</f>
        <v/>
      </c>
      <c r="AW384" s="119">
        <f>AR384*AT384</f>
        <v/>
      </c>
      <c r="AX384" s="119">
        <f>AR384*AU384</f>
        <v/>
      </c>
    </row>
    <row r="385">
      <c r="A385" s="32" t="n">
        <v>375</v>
      </c>
      <c r="B385" s="33" t="n"/>
      <c r="C385" s="33" t="n"/>
      <c r="D385" s="33" t="n"/>
      <c r="E385" s="33" t="inlineStr">
        <is>
          <t>-</t>
        </is>
      </c>
      <c r="F385" s="54">
        <f>IFERROR((VLOOKUP(E385,$AE$11:$AG$14,3,0)),"-")</f>
        <v/>
      </c>
      <c r="G385" s="33" t="n"/>
      <c r="H385" s="33" t="n"/>
      <c r="I385" s="46" t="n"/>
      <c r="J385" s="35" t="n"/>
      <c r="K385" s="35" t="n"/>
      <c r="L385" s="36">
        <f>IF($H$4="-",0,IF($H$4="VAREJO",AW385,IF($H$4="ATACADO",AX385,0)))</f>
        <v/>
      </c>
      <c r="M385" s="33" t="n"/>
      <c r="AN385" s="47" t="n">
        <v>375</v>
      </c>
      <c r="AO385" s="117">
        <f>I385+(I385*J385)+(I385*K385)</f>
        <v/>
      </c>
      <c r="AP385" s="43">
        <f>IFERROR(VLOOKUP(E385,$AE$11:$AK$14,4,0),0)</f>
        <v/>
      </c>
      <c r="AQ385" s="117">
        <f>(I385+(I385*J385)+(I385*K385))*AP385</f>
        <v/>
      </c>
      <c r="AR385" s="118">
        <f>AO385+AQ385</f>
        <v/>
      </c>
      <c r="AT385" s="39">
        <f>IFERROR((VLOOKUP(E385,$AE$11:$AJ$14,5,0)),0)</f>
        <v/>
      </c>
      <c r="AU385" s="39">
        <f>IFERROR((VLOOKUP(E385,$AE$11:$AJ$14,6,0)),0)</f>
        <v/>
      </c>
      <c r="AW385" s="119">
        <f>AR385*AT385</f>
        <v/>
      </c>
      <c r="AX385" s="119">
        <f>AR385*AU385</f>
        <v/>
      </c>
    </row>
    <row r="386">
      <c r="A386" s="32" t="n">
        <v>376</v>
      </c>
      <c r="B386" s="33" t="n"/>
      <c r="C386" s="33" t="n"/>
      <c r="D386" s="33" t="n"/>
      <c r="E386" s="33" t="inlineStr">
        <is>
          <t>-</t>
        </is>
      </c>
      <c r="F386" s="54">
        <f>IFERROR((VLOOKUP(E386,$AE$11:$AG$14,3,0)),"-")</f>
        <v/>
      </c>
      <c r="G386" s="33" t="n"/>
      <c r="H386" s="33" t="n"/>
      <c r="I386" s="46" t="n"/>
      <c r="J386" s="35" t="n"/>
      <c r="K386" s="35" t="n"/>
      <c r="L386" s="36">
        <f>IF($H$4="-",0,IF($H$4="VAREJO",AW386,IF($H$4="ATACADO",AX386,0)))</f>
        <v/>
      </c>
      <c r="M386" s="33" t="n"/>
      <c r="AN386" s="47" t="n">
        <v>376</v>
      </c>
      <c r="AO386" s="117">
        <f>I386+(I386*J386)+(I386*K386)</f>
        <v/>
      </c>
      <c r="AP386" s="43">
        <f>IFERROR(VLOOKUP(E386,$AE$11:$AK$14,4,0),0)</f>
        <v/>
      </c>
      <c r="AQ386" s="117">
        <f>(I386+(I386*J386)+(I386*K386))*AP386</f>
        <v/>
      </c>
      <c r="AR386" s="118">
        <f>AO386+AQ386</f>
        <v/>
      </c>
      <c r="AT386" s="39">
        <f>IFERROR((VLOOKUP(E386,$AE$11:$AJ$14,5,0)),0)</f>
        <v/>
      </c>
      <c r="AU386" s="39">
        <f>IFERROR((VLOOKUP(E386,$AE$11:$AJ$14,6,0)),0)</f>
        <v/>
      </c>
      <c r="AW386" s="119">
        <f>AR386*AT386</f>
        <v/>
      </c>
      <c r="AX386" s="119">
        <f>AR386*AU386</f>
        <v/>
      </c>
    </row>
    <row r="387">
      <c r="A387" s="32" t="n">
        <v>377</v>
      </c>
      <c r="B387" s="33" t="n"/>
      <c r="C387" s="33" t="n"/>
      <c r="D387" s="33" t="n"/>
      <c r="E387" s="33" t="inlineStr">
        <is>
          <t>-</t>
        </is>
      </c>
      <c r="F387" s="54">
        <f>IFERROR((VLOOKUP(E387,$AE$11:$AG$14,3,0)),"-")</f>
        <v/>
      </c>
      <c r="G387" s="33" t="n"/>
      <c r="H387" s="33" t="n"/>
      <c r="I387" s="46" t="n"/>
      <c r="J387" s="35" t="n"/>
      <c r="K387" s="35" t="n"/>
      <c r="L387" s="36">
        <f>IF($H$4="-",0,IF($H$4="VAREJO",AW387,IF($H$4="ATACADO",AX387,0)))</f>
        <v/>
      </c>
      <c r="M387" s="33" t="n"/>
      <c r="AN387" s="47" t="n">
        <v>377</v>
      </c>
      <c r="AO387" s="117">
        <f>I387+(I387*J387)+(I387*K387)</f>
        <v/>
      </c>
      <c r="AP387" s="43">
        <f>IFERROR(VLOOKUP(E387,$AE$11:$AK$14,4,0),0)</f>
        <v/>
      </c>
      <c r="AQ387" s="117">
        <f>(I387+(I387*J387)+(I387*K387))*AP387</f>
        <v/>
      </c>
      <c r="AR387" s="118">
        <f>AO387+AQ387</f>
        <v/>
      </c>
      <c r="AT387" s="39">
        <f>IFERROR((VLOOKUP(E387,$AE$11:$AJ$14,5,0)),0)</f>
        <v/>
      </c>
      <c r="AU387" s="39">
        <f>IFERROR((VLOOKUP(E387,$AE$11:$AJ$14,6,0)),0)</f>
        <v/>
      </c>
      <c r="AW387" s="119">
        <f>AR387*AT387</f>
        <v/>
      </c>
      <c r="AX387" s="119">
        <f>AR387*AU387</f>
        <v/>
      </c>
    </row>
    <row r="388">
      <c r="A388" s="32" t="n">
        <v>378</v>
      </c>
      <c r="B388" s="33" t="n"/>
      <c r="C388" s="33" t="n"/>
      <c r="D388" s="33" t="n"/>
      <c r="E388" s="33" t="inlineStr">
        <is>
          <t>-</t>
        </is>
      </c>
      <c r="F388" s="54">
        <f>IFERROR((VLOOKUP(E388,$AE$11:$AG$14,3,0)),"-")</f>
        <v/>
      </c>
      <c r="G388" s="33" t="n"/>
      <c r="H388" s="33" t="n"/>
      <c r="I388" s="46" t="n"/>
      <c r="J388" s="35" t="n"/>
      <c r="K388" s="35" t="n"/>
      <c r="L388" s="36">
        <f>IF($H$4="-",0,IF($H$4="VAREJO",AW388,IF($H$4="ATACADO",AX388,0)))</f>
        <v/>
      </c>
      <c r="M388" s="33" t="n"/>
      <c r="AN388" s="47" t="n">
        <v>378</v>
      </c>
      <c r="AO388" s="117">
        <f>I388+(I388*J388)+(I388*K388)</f>
        <v/>
      </c>
      <c r="AP388" s="43">
        <f>IFERROR(VLOOKUP(E388,$AE$11:$AK$14,4,0),0)</f>
        <v/>
      </c>
      <c r="AQ388" s="117">
        <f>(I388+(I388*J388)+(I388*K388))*AP388</f>
        <v/>
      </c>
      <c r="AR388" s="118">
        <f>AO388+AQ388</f>
        <v/>
      </c>
      <c r="AT388" s="39">
        <f>IFERROR((VLOOKUP(E388,$AE$11:$AJ$14,5,0)),0)</f>
        <v/>
      </c>
      <c r="AU388" s="39">
        <f>IFERROR((VLOOKUP(E388,$AE$11:$AJ$14,6,0)),0)</f>
        <v/>
      </c>
      <c r="AW388" s="119">
        <f>AR388*AT388</f>
        <v/>
      </c>
      <c r="AX388" s="119">
        <f>AR388*AU388</f>
        <v/>
      </c>
    </row>
    <row r="389">
      <c r="A389" s="32" t="n">
        <v>379</v>
      </c>
      <c r="B389" s="33" t="n"/>
      <c r="C389" s="33" t="n"/>
      <c r="D389" s="33" t="n"/>
      <c r="E389" s="33" t="inlineStr">
        <is>
          <t>-</t>
        </is>
      </c>
      <c r="F389" s="54">
        <f>IFERROR((VLOOKUP(E389,$AE$11:$AG$14,3,0)),"-")</f>
        <v/>
      </c>
      <c r="G389" s="33" t="n"/>
      <c r="H389" s="33" t="n"/>
      <c r="I389" s="46" t="n"/>
      <c r="J389" s="35" t="n"/>
      <c r="K389" s="35" t="n"/>
      <c r="L389" s="36">
        <f>IF($H$4="-",0,IF($H$4="VAREJO",AW389,IF($H$4="ATACADO",AX389,0)))</f>
        <v/>
      </c>
      <c r="M389" s="33" t="n"/>
      <c r="AN389" s="47" t="n">
        <v>379</v>
      </c>
      <c r="AO389" s="117">
        <f>I389+(I389*J389)+(I389*K389)</f>
        <v/>
      </c>
      <c r="AP389" s="43">
        <f>IFERROR(VLOOKUP(E389,$AE$11:$AK$14,4,0),0)</f>
        <v/>
      </c>
      <c r="AQ389" s="117">
        <f>(I389+(I389*J389)+(I389*K389))*AP389</f>
        <v/>
      </c>
      <c r="AR389" s="118">
        <f>AO389+AQ389</f>
        <v/>
      </c>
      <c r="AT389" s="39">
        <f>IFERROR((VLOOKUP(E389,$AE$11:$AJ$14,5,0)),0)</f>
        <v/>
      </c>
      <c r="AU389" s="39">
        <f>IFERROR((VLOOKUP(E389,$AE$11:$AJ$14,6,0)),0)</f>
        <v/>
      </c>
      <c r="AW389" s="119">
        <f>AR389*AT389</f>
        <v/>
      </c>
      <c r="AX389" s="119">
        <f>AR389*AU389</f>
        <v/>
      </c>
    </row>
    <row r="390">
      <c r="A390" s="32" t="n">
        <v>380</v>
      </c>
      <c r="B390" s="33" t="n"/>
      <c r="C390" s="33" t="n"/>
      <c r="D390" s="33" t="n"/>
      <c r="E390" s="33" t="inlineStr">
        <is>
          <t>-</t>
        </is>
      </c>
      <c r="F390" s="54">
        <f>IFERROR((VLOOKUP(E390,$AE$11:$AG$14,3,0)),"-")</f>
        <v/>
      </c>
      <c r="G390" s="33" t="n"/>
      <c r="H390" s="33" t="n"/>
      <c r="I390" s="46" t="n"/>
      <c r="J390" s="35" t="n"/>
      <c r="K390" s="35" t="n"/>
      <c r="L390" s="36">
        <f>IF($H$4="-",0,IF($H$4="VAREJO",AW390,IF($H$4="ATACADO",AX390,0)))</f>
        <v/>
      </c>
      <c r="M390" s="33" t="n"/>
      <c r="AN390" s="47" t="n">
        <v>380</v>
      </c>
      <c r="AO390" s="117">
        <f>I390+(I390*J390)+(I390*K390)</f>
        <v/>
      </c>
      <c r="AP390" s="43">
        <f>IFERROR(VLOOKUP(E390,$AE$11:$AK$14,4,0),0)</f>
        <v/>
      </c>
      <c r="AQ390" s="117">
        <f>(I390+(I390*J390)+(I390*K390))*AP390</f>
        <v/>
      </c>
      <c r="AR390" s="118">
        <f>AO390+AQ390</f>
        <v/>
      </c>
      <c r="AT390" s="39">
        <f>IFERROR((VLOOKUP(E390,$AE$11:$AJ$14,5,0)),0)</f>
        <v/>
      </c>
      <c r="AU390" s="39">
        <f>IFERROR((VLOOKUP(E390,$AE$11:$AJ$14,6,0)),0)</f>
        <v/>
      </c>
      <c r="AW390" s="119">
        <f>AR390*AT390</f>
        <v/>
      </c>
      <c r="AX390" s="119">
        <f>AR390*AU390</f>
        <v/>
      </c>
    </row>
    <row r="391">
      <c r="A391" s="32" t="n">
        <v>381</v>
      </c>
      <c r="B391" s="33" t="n"/>
      <c r="C391" s="33" t="n"/>
      <c r="D391" s="33" t="n"/>
      <c r="E391" s="33" t="inlineStr">
        <is>
          <t>-</t>
        </is>
      </c>
      <c r="F391" s="54">
        <f>IFERROR((VLOOKUP(E391,$AE$11:$AG$14,3,0)),"-")</f>
        <v/>
      </c>
      <c r="G391" s="33" t="n"/>
      <c r="H391" s="33" t="n"/>
      <c r="I391" s="46" t="n"/>
      <c r="J391" s="35" t="n"/>
      <c r="K391" s="35" t="n"/>
      <c r="L391" s="36">
        <f>IF($H$4="-",0,IF($H$4="VAREJO",AW391,IF($H$4="ATACADO",AX391,0)))</f>
        <v/>
      </c>
      <c r="M391" s="33" t="n"/>
      <c r="AN391" s="47" t="n">
        <v>381</v>
      </c>
      <c r="AO391" s="117">
        <f>I391+(I391*J391)+(I391*K391)</f>
        <v/>
      </c>
      <c r="AP391" s="43">
        <f>IFERROR(VLOOKUP(E391,$AE$11:$AK$14,4,0),0)</f>
        <v/>
      </c>
      <c r="AQ391" s="117">
        <f>(I391+(I391*J391)+(I391*K391))*AP391</f>
        <v/>
      </c>
      <c r="AR391" s="118">
        <f>AO391+AQ391</f>
        <v/>
      </c>
      <c r="AT391" s="39">
        <f>IFERROR((VLOOKUP(E391,$AE$11:$AJ$14,5,0)),0)</f>
        <v/>
      </c>
      <c r="AU391" s="39">
        <f>IFERROR((VLOOKUP(E391,$AE$11:$AJ$14,6,0)),0)</f>
        <v/>
      </c>
      <c r="AW391" s="119">
        <f>AR391*AT391</f>
        <v/>
      </c>
      <c r="AX391" s="119">
        <f>AR391*AU391</f>
        <v/>
      </c>
    </row>
    <row r="392">
      <c r="A392" s="32" t="n">
        <v>382</v>
      </c>
      <c r="B392" s="33" t="n"/>
      <c r="C392" s="33" t="n"/>
      <c r="D392" s="33" t="n"/>
      <c r="E392" s="33" t="inlineStr">
        <is>
          <t>-</t>
        </is>
      </c>
      <c r="F392" s="54">
        <f>IFERROR((VLOOKUP(E392,$AE$11:$AG$14,3,0)),"-")</f>
        <v/>
      </c>
      <c r="G392" s="33" t="n"/>
      <c r="H392" s="33" t="n"/>
      <c r="I392" s="46" t="n"/>
      <c r="J392" s="35" t="n"/>
      <c r="K392" s="35" t="n"/>
      <c r="L392" s="36">
        <f>IF($H$4="-",0,IF($H$4="VAREJO",AW392,IF($H$4="ATACADO",AX392,0)))</f>
        <v/>
      </c>
      <c r="M392" s="33" t="n"/>
      <c r="AN392" s="47" t="n">
        <v>382</v>
      </c>
      <c r="AO392" s="117">
        <f>I392+(I392*J392)+(I392*K392)</f>
        <v/>
      </c>
      <c r="AP392" s="43">
        <f>IFERROR(VLOOKUP(E392,$AE$11:$AK$14,4,0),0)</f>
        <v/>
      </c>
      <c r="AQ392" s="117">
        <f>(I392+(I392*J392)+(I392*K392))*AP392</f>
        <v/>
      </c>
      <c r="AR392" s="118">
        <f>AO392+AQ392</f>
        <v/>
      </c>
      <c r="AT392" s="39">
        <f>IFERROR((VLOOKUP(E392,$AE$11:$AJ$14,5,0)),0)</f>
        <v/>
      </c>
      <c r="AU392" s="39">
        <f>IFERROR((VLOOKUP(E392,$AE$11:$AJ$14,6,0)),0)</f>
        <v/>
      </c>
      <c r="AW392" s="119">
        <f>AR392*AT392</f>
        <v/>
      </c>
      <c r="AX392" s="119">
        <f>AR392*AU392</f>
        <v/>
      </c>
    </row>
    <row r="393">
      <c r="A393" s="32" t="n">
        <v>383</v>
      </c>
      <c r="B393" s="33" t="n"/>
      <c r="C393" s="33" t="n"/>
      <c r="D393" s="33" t="n"/>
      <c r="E393" s="33" t="inlineStr">
        <is>
          <t>-</t>
        </is>
      </c>
      <c r="F393" s="54">
        <f>IFERROR((VLOOKUP(E393,$AE$11:$AG$14,3,0)),"-")</f>
        <v/>
      </c>
      <c r="G393" s="33" t="n"/>
      <c r="H393" s="33" t="n"/>
      <c r="I393" s="46" t="n"/>
      <c r="J393" s="35" t="n"/>
      <c r="K393" s="35" t="n"/>
      <c r="L393" s="36">
        <f>IF($H$4="-",0,IF($H$4="VAREJO",AW393,IF($H$4="ATACADO",AX393,0)))</f>
        <v/>
      </c>
      <c r="M393" s="33" t="n"/>
      <c r="AN393" s="47" t="n">
        <v>383</v>
      </c>
      <c r="AO393" s="117">
        <f>I393+(I393*J393)+(I393*K393)</f>
        <v/>
      </c>
      <c r="AP393" s="43">
        <f>IFERROR(VLOOKUP(E393,$AE$11:$AK$14,4,0),0)</f>
        <v/>
      </c>
      <c r="AQ393" s="117">
        <f>(I393+(I393*J393)+(I393*K393))*AP393</f>
        <v/>
      </c>
      <c r="AR393" s="118">
        <f>AO393+AQ393</f>
        <v/>
      </c>
      <c r="AT393" s="39">
        <f>IFERROR((VLOOKUP(E393,$AE$11:$AJ$14,5,0)),0)</f>
        <v/>
      </c>
      <c r="AU393" s="39">
        <f>IFERROR((VLOOKUP(E393,$AE$11:$AJ$14,6,0)),0)</f>
        <v/>
      </c>
      <c r="AW393" s="119">
        <f>AR393*AT393</f>
        <v/>
      </c>
      <c r="AX393" s="119">
        <f>AR393*AU393</f>
        <v/>
      </c>
    </row>
    <row r="394">
      <c r="A394" s="32" t="n">
        <v>384</v>
      </c>
      <c r="B394" s="33" t="n"/>
      <c r="C394" s="33" t="n"/>
      <c r="D394" s="33" t="n"/>
      <c r="E394" s="33" t="inlineStr">
        <is>
          <t>-</t>
        </is>
      </c>
      <c r="F394" s="54">
        <f>IFERROR((VLOOKUP(E394,$AE$11:$AG$14,3,0)),"-")</f>
        <v/>
      </c>
      <c r="G394" s="33" t="n"/>
      <c r="H394" s="33" t="n"/>
      <c r="I394" s="46" t="n"/>
      <c r="J394" s="35" t="n"/>
      <c r="K394" s="35" t="n"/>
      <c r="L394" s="36">
        <f>IF($H$4="-",0,IF($H$4="VAREJO",AW394,IF($H$4="ATACADO",AX394,0)))</f>
        <v/>
      </c>
      <c r="M394" s="33" t="n"/>
      <c r="AN394" s="47" t="n">
        <v>384</v>
      </c>
      <c r="AO394" s="117">
        <f>I394+(I394*J394)+(I394*K394)</f>
        <v/>
      </c>
      <c r="AP394" s="43">
        <f>IFERROR(VLOOKUP(E394,$AE$11:$AK$14,4,0),0)</f>
        <v/>
      </c>
      <c r="AQ394" s="117">
        <f>(I394+(I394*J394)+(I394*K394))*AP394</f>
        <v/>
      </c>
      <c r="AR394" s="118">
        <f>AO394+AQ394</f>
        <v/>
      </c>
      <c r="AT394" s="39">
        <f>IFERROR((VLOOKUP(E394,$AE$11:$AJ$14,5,0)),0)</f>
        <v/>
      </c>
      <c r="AU394" s="39">
        <f>IFERROR((VLOOKUP(E394,$AE$11:$AJ$14,6,0)),0)</f>
        <v/>
      </c>
      <c r="AW394" s="119">
        <f>AR394*AT394</f>
        <v/>
      </c>
      <c r="AX394" s="119">
        <f>AR394*AU394</f>
        <v/>
      </c>
    </row>
    <row r="395">
      <c r="A395" s="32" t="n">
        <v>385</v>
      </c>
      <c r="B395" s="33" t="n"/>
      <c r="C395" s="33" t="n"/>
      <c r="D395" s="33" t="n"/>
      <c r="E395" s="33" t="inlineStr">
        <is>
          <t>-</t>
        </is>
      </c>
      <c r="F395" s="54">
        <f>IFERROR((VLOOKUP(E395,$AE$11:$AG$14,3,0)),"-")</f>
        <v/>
      </c>
      <c r="G395" s="33" t="n"/>
      <c r="H395" s="33" t="n"/>
      <c r="I395" s="46" t="n"/>
      <c r="J395" s="35" t="n"/>
      <c r="K395" s="35" t="n"/>
      <c r="L395" s="36">
        <f>IF($H$4="-",0,IF($H$4="VAREJO",AW395,IF($H$4="ATACADO",AX395,0)))</f>
        <v/>
      </c>
      <c r="M395" s="33" t="n"/>
      <c r="AN395" s="47" t="n">
        <v>385</v>
      </c>
      <c r="AO395" s="117">
        <f>I395+(I395*J395)+(I395*K395)</f>
        <v/>
      </c>
      <c r="AP395" s="43">
        <f>IFERROR(VLOOKUP(E395,$AE$11:$AK$14,4,0),0)</f>
        <v/>
      </c>
      <c r="AQ395" s="117">
        <f>(I395+(I395*J395)+(I395*K395))*AP395</f>
        <v/>
      </c>
      <c r="AR395" s="118">
        <f>AO395+AQ395</f>
        <v/>
      </c>
      <c r="AT395" s="39">
        <f>IFERROR((VLOOKUP(E395,$AE$11:$AJ$14,5,0)),0)</f>
        <v/>
      </c>
      <c r="AU395" s="39">
        <f>IFERROR((VLOOKUP(E395,$AE$11:$AJ$14,6,0)),0)</f>
        <v/>
      </c>
      <c r="AW395" s="119">
        <f>AR395*AT395</f>
        <v/>
      </c>
      <c r="AX395" s="119">
        <f>AR395*AU395</f>
        <v/>
      </c>
    </row>
    <row r="396">
      <c r="A396" s="32" t="n">
        <v>386</v>
      </c>
      <c r="B396" s="33" t="n"/>
      <c r="C396" s="33" t="n"/>
      <c r="D396" s="33" t="n"/>
      <c r="E396" s="33" t="inlineStr">
        <is>
          <t>-</t>
        </is>
      </c>
      <c r="F396" s="54">
        <f>IFERROR((VLOOKUP(E396,$AE$11:$AG$14,3,0)),"-")</f>
        <v/>
      </c>
      <c r="G396" s="33" t="n"/>
      <c r="H396" s="33" t="n"/>
      <c r="I396" s="46" t="n"/>
      <c r="J396" s="35" t="n"/>
      <c r="K396" s="35" t="n"/>
      <c r="L396" s="36">
        <f>IF($H$4="-",0,IF($H$4="VAREJO",AW396,IF($H$4="ATACADO",AX396,0)))</f>
        <v/>
      </c>
      <c r="M396" s="33" t="n"/>
      <c r="AN396" s="47" t="n">
        <v>386</v>
      </c>
      <c r="AO396" s="117">
        <f>I396+(I396*J396)+(I396*K396)</f>
        <v/>
      </c>
      <c r="AP396" s="43">
        <f>IFERROR(VLOOKUP(E396,$AE$11:$AK$14,4,0),0)</f>
        <v/>
      </c>
      <c r="AQ396" s="117">
        <f>(I396+(I396*J396)+(I396*K396))*AP396</f>
        <v/>
      </c>
      <c r="AR396" s="118">
        <f>AO396+AQ396</f>
        <v/>
      </c>
      <c r="AT396" s="39">
        <f>IFERROR((VLOOKUP(E396,$AE$11:$AJ$14,5,0)),0)</f>
        <v/>
      </c>
      <c r="AU396" s="39">
        <f>IFERROR((VLOOKUP(E396,$AE$11:$AJ$14,6,0)),0)</f>
        <v/>
      </c>
      <c r="AW396" s="119">
        <f>AR396*AT396</f>
        <v/>
      </c>
      <c r="AX396" s="119">
        <f>AR396*AU396</f>
        <v/>
      </c>
    </row>
    <row r="397">
      <c r="A397" s="32" t="n">
        <v>387</v>
      </c>
      <c r="B397" s="33" t="n"/>
      <c r="C397" s="33" t="n"/>
      <c r="D397" s="33" t="n"/>
      <c r="E397" s="33" t="inlineStr">
        <is>
          <t>-</t>
        </is>
      </c>
      <c r="F397" s="54">
        <f>IFERROR((VLOOKUP(E397,$AE$11:$AG$14,3,0)),"-")</f>
        <v/>
      </c>
      <c r="G397" s="33" t="n"/>
      <c r="H397" s="33" t="n"/>
      <c r="I397" s="46" t="n"/>
      <c r="J397" s="35" t="n"/>
      <c r="K397" s="35" t="n"/>
      <c r="L397" s="36">
        <f>IF($H$4="-",0,IF($H$4="VAREJO",AW397,IF($H$4="ATACADO",AX397,0)))</f>
        <v/>
      </c>
      <c r="M397" s="33" t="n"/>
      <c r="AN397" s="47" t="n">
        <v>387</v>
      </c>
      <c r="AO397" s="117">
        <f>I397+(I397*J397)+(I397*K397)</f>
        <v/>
      </c>
      <c r="AP397" s="43">
        <f>IFERROR(VLOOKUP(E397,$AE$11:$AK$14,4,0),0)</f>
        <v/>
      </c>
      <c r="AQ397" s="117">
        <f>(I397+(I397*J397)+(I397*K397))*AP397</f>
        <v/>
      </c>
      <c r="AR397" s="118">
        <f>AO397+AQ397</f>
        <v/>
      </c>
      <c r="AT397" s="39">
        <f>IFERROR((VLOOKUP(E397,$AE$11:$AJ$14,5,0)),0)</f>
        <v/>
      </c>
      <c r="AU397" s="39">
        <f>IFERROR((VLOOKUP(E397,$AE$11:$AJ$14,6,0)),0)</f>
        <v/>
      </c>
      <c r="AW397" s="119">
        <f>AR397*AT397</f>
        <v/>
      </c>
      <c r="AX397" s="119">
        <f>AR397*AU397</f>
        <v/>
      </c>
    </row>
    <row r="398">
      <c r="A398" s="32" t="n">
        <v>388</v>
      </c>
      <c r="B398" s="33" t="n"/>
      <c r="C398" s="33" t="n"/>
      <c r="D398" s="33" t="n"/>
      <c r="E398" s="33" t="inlineStr">
        <is>
          <t>-</t>
        </is>
      </c>
      <c r="F398" s="54">
        <f>IFERROR((VLOOKUP(E398,$AE$11:$AG$14,3,0)),"-")</f>
        <v/>
      </c>
      <c r="G398" s="33" t="n"/>
      <c r="H398" s="33" t="n"/>
      <c r="I398" s="46" t="n"/>
      <c r="J398" s="35" t="n"/>
      <c r="K398" s="35" t="n"/>
      <c r="L398" s="36">
        <f>IF($H$4="-",0,IF($H$4="VAREJO",AW398,IF($H$4="ATACADO",AX398,0)))</f>
        <v/>
      </c>
      <c r="M398" s="33" t="n"/>
      <c r="AN398" s="47" t="n">
        <v>388</v>
      </c>
      <c r="AO398" s="117">
        <f>I398+(I398*J398)+(I398*K398)</f>
        <v/>
      </c>
      <c r="AP398" s="43">
        <f>IFERROR(VLOOKUP(E398,$AE$11:$AK$14,4,0),0)</f>
        <v/>
      </c>
      <c r="AQ398" s="117">
        <f>(I398+(I398*J398)+(I398*K398))*AP398</f>
        <v/>
      </c>
      <c r="AR398" s="118">
        <f>AO398+AQ398</f>
        <v/>
      </c>
      <c r="AT398" s="39">
        <f>IFERROR((VLOOKUP(E398,$AE$11:$AJ$14,5,0)),0)</f>
        <v/>
      </c>
      <c r="AU398" s="39">
        <f>IFERROR((VLOOKUP(E398,$AE$11:$AJ$14,6,0)),0)</f>
        <v/>
      </c>
      <c r="AW398" s="119">
        <f>AR398*AT398</f>
        <v/>
      </c>
      <c r="AX398" s="119">
        <f>AR398*AU398</f>
        <v/>
      </c>
    </row>
    <row r="399">
      <c r="A399" s="32" t="n">
        <v>389</v>
      </c>
      <c r="B399" s="33" t="n"/>
      <c r="C399" s="33" t="n"/>
      <c r="D399" s="33" t="n"/>
      <c r="E399" s="33" t="inlineStr">
        <is>
          <t>-</t>
        </is>
      </c>
      <c r="F399" s="54">
        <f>IFERROR((VLOOKUP(E399,$AE$11:$AG$14,3,0)),"-")</f>
        <v/>
      </c>
      <c r="G399" s="33" t="n"/>
      <c r="H399" s="33" t="n"/>
      <c r="I399" s="46" t="n"/>
      <c r="J399" s="35" t="n"/>
      <c r="K399" s="35" t="n"/>
      <c r="L399" s="36">
        <f>IF($H$4="-",0,IF($H$4="VAREJO",AW399,IF($H$4="ATACADO",AX399,0)))</f>
        <v/>
      </c>
      <c r="M399" s="33" t="n"/>
      <c r="AN399" s="47" t="n">
        <v>389</v>
      </c>
      <c r="AO399" s="117">
        <f>I399+(I399*J399)+(I399*K399)</f>
        <v/>
      </c>
      <c r="AP399" s="43">
        <f>IFERROR(VLOOKUP(E399,$AE$11:$AK$14,4,0),0)</f>
        <v/>
      </c>
      <c r="AQ399" s="117">
        <f>(I399+(I399*J399)+(I399*K399))*AP399</f>
        <v/>
      </c>
      <c r="AR399" s="118">
        <f>AO399+AQ399</f>
        <v/>
      </c>
      <c r="AT399" s="39">
        <f>IFERROR((VLOOKUP(E399,$AE$11:$AJ$14,5,0)),0)</f>
        <v/>
      </c>
      <c r="AU399" s="39">
        <f>IFERROR((VLOOKUP(E399,$AE$11:$AJ$14,6,0)),0)</f>
        <v/>
      </c>
      <c r="AW399" s="119">
        <f>AR399*AT399</f>
        <v/>
      </c>
      <c r="AX399" s="119">
        <f>AR399*AU399</f>
        <v/>
      </c>
    </row>
    <row r="400">
      <c r="A400" s="32" t="n">
        <v>390</v>
      </c>
      <c r="B400" s="33" t="n"/>
      <c r="C400" s="33" t="n"/>
      <c r="D400" s="33" t="n"/>
      <c r="E400" s="33" t="inlineStr">
        <is>
          <t>-</t>
        </is>
      </c>
      <c r="F400" s="54">
        <f>IFERROR((VLOOKUP(E400,$AE$11:$AG$14,3,0)),"-")</f>
        <v/>
      </c>
      <c r="G400" s="33" t="n"/>
      <c r="H400" s="33" t="n"/>
      <c r="I400" s="46" t="n"/>
      <c r="J400" s="35" t="n"/>
      <c r="K400" s="35" t="n"/>
      <c r="L400" s="36">
        <f>IF($H$4="-",0,IF($H$4="VAREJO",AW400,IF($H$4="ATACADO",AX400,0)))</f>
        <v/>
      </c>
      <c r="M400" s="33" t="n"/>
      <c r="AN400" s="47" t="n">
        <v>390</v>
      </c>
      <c r="AO400" s="117">
        <f>I400+(I400*J400)+(I400*K400)</f>
        <v/>
      </c>
      <c r="AP400" s="43">
        <f>IFERROR(VLOOKUP(E400,$AE$11:$AK$14,4,0),0)</f>
        <v/>
      </c>
      <c r="AQ400" s="117">
        <f>(I400+(I400*J400)+(I400*K400))*AP400</f>
        <v/>
      </c>
      <c r="AR400" s="118">
        <f>AO400+AQ400</f>
        <v/>
      </c>
      <c r="AT400" s="39">
        <f>IFERROR((VLOOKUP(E400,$AE$11:$AJ$14,5,0)),0)</f>
        <v/>
      </c>
      <c r="AU400" s="39">
        <f>IFERROR((VLOOKUP(E400,$AE$11:$AJ$14,6,0)),0)</f>
        <v/>
      </c>
      <c r="AW400" s="119">
        <f>AR400*AT400</f>
        <v/>
      </c>
      <c r="AX400" s="119">
        <f>AR400*AU400</f>
        <v/>
      </c>
    </row>
    <row r="401">
      <c r="A401" s="32" t="n">
        <v>391</v>
      </c>
      <c r="B401" s="33" t="n"/>
      <c r="C401" s="33" t="n"/>
      <c r="D401" s="33" t="n"/>
      <c r="E401" s="33" t="inlineStr">
        <is>
          <t>-</t>
        </is>
      </c>
      <c r="F401" s="54">
        <f>IFERROR((VLOOKUP(E401,$AE$11:$AG$14,3,0)),"-")</f>
        <v/>
      </c>
      <c r="G401" s="33" t="n"/>
      <c r="H401" s="33" t="n"/>
      <c r="I401" s="46" t="n"/>
      <c r="J401" s="35" t="n"/>
      <c r="K401" s="35" t="n"/>
      <c r="L401" s="36">
        <f>IF($H$4="-",0,IF($H$4="VAREJO",AW401,IF($H$4="ATACADO",AX401,0)))</f>
        <v/>
      </c>
      <c r="M401" s="33" t="n"/>
      <c r="AN401" s="47" t="n">
        <v>391</v>
      </c>
      <c r="AO401" s="117">
        <f>I401+(I401*J401)+(I401*K401)</f>
        <v/>
      </c>
      <c r="AP401" s="43">
        <f>IFERROR(VLOOKUP(E401,$AE$11:$AK$14,4,0),0)</f>
        <v/>
      </c>
      <c r="AQ401" s="117">
        <f>(I401+(I401*J401)+(I401*K401))*AP401</f>
        <v/>
      </c>
      <c r="AR401" s="118">
        <f>AO401+AQ401</f>
        <v/>
      </c>
      <c r="AT401" s="39">
        <f>IFERROR((VLOOKUP(E401,$AE$11:$AJ$14,5,0)),0)</f>
        <v/>
      </c>
      <c r="AU401" s="39">
        <f>IFERROR((VLOOKUP(E401,$AE$11:$AJ$14,6,0)),0)</f>
        <v/>
      </c>
      <c r="AW401" s="119">
        <f>AR401*AT401</f>
        <v/>
      </c>
      <c r="AX401" s="119">
        <f>AR401*AU401</f>
        <v/>
      </c>
    </row>
    <row r="402">
      <c r="A402" s="32" t="n">
        <v>392</v>
      </c>
      <c r="B402" s="33" t="n"/>
      <c r="C402" s="33" t="n"/>
      <c r="D402" s="33" t="n"/>
      <c r="E402" s="33" t="inlineStr">
        <is>
          <t>-</t>
        </is>
      </c>
      <c r="F402" s="54">
        <f>IFERROR((VLOOKUP(E402,$AE$11:$AG$14,3,0)),"-")</f>
        <v/>
      </c>
      <c r="G402" s="33" t="n"/>
      <c r="H402" s="33" t="n"/>
      <c r="I402" s="46" t="n"/>
      <c r="J402" s="35" t="n"/>
      <c r="K402" s="35" t="n"/>
      <c r="L402" s="36">
        <f>IF($H$4="-",0,IF($H$4="VAREJO",AW402,IF($H$4="ATACADO",AX402,0)))</f>
        <v/>
      </c>
      <c r="M402" s="33" t="n"/>
      <c r="AN402" s="47" t="n">
        <v>392</v>
      </c>
      <c r="AO402" s="117">
        <f>I402+(I402*J402)+(I402*K402)</f>
        <v/>
      </c>
      <c r="AP402" s="43">
        <f>IFERROR(VLOOKUP(E402,$AE$11:$AK$14,4,0),0)</f>
        <v/>
      </c>
      <c r="AQ402" s="117">
        <f>(I402+(I402*J402)+(I402*K402))*AP402</f>
        <v/>
      </c>
      <c r="AR402" s="118">
        <f>AO402+AQ402</f>
        <v/>
      </c>
      <c r="AT402" s="39">
        <f>IFERROR((VLOOKUP(E402,$AE$11:$AJ$14,5,0)),0)</f>
        <v/>
      </c>
      <c r="AU402" s="39">
        <f>IFERROR((VLOOKUP(E402,$AE$11:$AJ$14,6,0)),0)</f>
        <v/>
      </c>
      <c r="AW402" s="119">
        <f>AR402*AT402</f>
        <v/>
      </c>
      <c r="AX402" s="119">
        <f>AR402*AU402</f>
        <v/>
      </c>
    </row>
    <row r="403">
      <c r="A403" s="32" t="n">
        <v>393</v>
      </c>
      <c r="B403" s="33" t="n"/>
      <c r="C403" s="33" t="n"/>
      <c r="D403" s="33" t="n"/>
      <c r="E403" s="33" t="inlineStr">
        <is>
          <t>-</t>
        </is>
      </c>
      <c r="F403" s="54">
        <f>IFERROR((VLOOKUP(E403,$AE$11:$AG$14,3,0)),"-")</f>
        <v/>
      </c>
      <c r="G403" s="33" t="n"/>
      <c r="H403" s="33" t="n"/>
      <c r="I403" s="46" t="n"/>
      <c r="J403" s="35" t="n"/>
      <c r="K403" s="35" t="n"/>
      <c r="L403" s="36">
        <f>IF($H$4="-",0,IF($H$4="VAREJO",AW403,IF($H$4="ATACADO",AX403,0)))</f>
        <v/>
      </c>
      <c r="M403" s="33" t="n"/>
      <c r="AN403" s="47" t="n">
        <v>393</v>
      </c>
      <c r="AO403" s="117">
        <f>I403+(I403*J403)+(I403*K403)</f>
        <v/>
      </c>
      <c r="AP403" s="43">
        <f>IFERROR(VLOOKUP(E403,$AE$11:$AK$14,4,0),0)</f>
        <v/>
      </c>
      <c r="AQ403" s="117">
        <f>(I403+(I403*J403)+(I403*K403))*AP403</f>
        <v/>
      </c>
      <c r="AR403" s="118">
        <f>AO403+AQ403</f>
        <v/>
      </c>
      <c r="AT403" s="39">
        <f>IFERROR((VLOOKUP(E403,$AE$11:$AJ$14,5,0)),0)</f>
        <v/>
      </c>
      <c r="AU403" s="39">
        <f>IFERROR((VLOOKUP(E403,$AE$11:$AJ$14,6,0)),0)</f>
        <v/>
      </c>
      <c r="AW403" s="119">
        <f>AR403*AT403</f>
        <v/>
      </c>
      <c r="AX403" s="119">
        <f>AR403*AU403</f>
        <v/>
      </c>
    </row>
    <row r="404">
      <c r="A404" s="32" t="n">
        <v>394</v>
      </c>
      <c r="B404" s="33" t="n"/>
      <c r="C404" s="33" t="n"/>
      <c r="D404" s="33" t="n"/>
      <c r="E404" s="33" t="inlineStr">
        <is>
          <t>-</t>
        </is>
      </c>
      <c r="F404" s="54">
        <f>IFERROR((VLOOKUP(E404,$AE$11:$AG$14,3,0)),"-")</f>
        <v/>
      </c>
      <c r="G404" s="33" t="n"/>
      <c r="H404" s="33" t="n"/>
      <c r="I404" s="46" t="n"/>
      <c r="J404" s="35" t="n"/>
      <c r="K404" s="35" t="n"/>
      <c r="L404" s="36">
        <f>IF($H$4="-",0,IF($H$4="VAREJO",AW404,IF($H$4="ATACADO",AX404,0)))</f>
        <v/>
      </c>
      <c r="M404" s="33" t="n"/>
      <c r="AN404" s="47" t="n">
        <v>394</v>
      </c>
      <c r="AO404" s="117">
        <f>I404+(I404*J404)+(I404*K404)</f>
        <v/>
      </c>
      <c r="AP404" s="43">
        <f>IFERROR(VLOOKUP(E404,$AE$11:$AK$14,4,0),0)</f>
        <v/>
      </c>
      <c r="AQ404" s="117">
        <f>(I404+(I404*J404)+(I404*K404))*AP404</f>
        <v/>
      </c>
      <c r="AR404" s="118">
        <f>AO404+AQ404</f>
        <v/>
      </c>
      <c r="AT404" s="39">
        <f>IFERROR((VLOOKUP(E404,$AE$11:$AJ$14,5,0)),0)</f>
        <v/>
      </c>
      <c r="AU404" s="39">
        <f>IFERROR((VLOOKUP(E404,$AE$11:$AJ$14,6,0)),0)</f>
        <v/>
      </c>
      <c r="AW404" s="119">
        <f>AR404*AT404</f>
        <v/>
      </c>
      <c r="AX404" s="119">
        <f>AR404*AU404</f>
        <v/>
      </c>
    </row>
    <row r="405">
      <c r="A405" s="32" t="n">
        <v>395</v>
      </c>
      <c r="B405" s="33" t="n"/>
      <c r="C405" s="33" t="n"/>
      <c r="D405" s="33" t="n"/>
      <c r="E405" s="33" t="inlineStr">
        <is>
          <t>-</t>
        </is>
      </c>
      <c r="F405" s="54">
        <f>IFERROR((VLOOKUP(E405,$AE$11:$AG$14,3,0)),"-")</f>
        <v/>
      </c>
      <c r="G405" s="33" t="n"/>
      <c r="H405" s="33" t="n"/>
      <c r="I405" s="46" t="n"/>
      <c r="J405" s="35" t="n"/>
      <c r="K405" s="35" t="n"/>
      <c r="L405" s="36">
        <f>IF($H$4="-",0,IF($H$4="VAREJO",AW405,IF($H$4="ATACADO",AX405,0)))</f>
        <v/>
      </c>
      <c r="M405" s="33" t="n"/>
      <c r="AN405" s="47" t="n">
        <v>395</v>
      </c>
      <c r="AO405" s="117">
        <f>I405+(I405*J405)+(I405*K405)</f>
        <v/>
      </c>
      <c r="AP405" s="43">
        <f>IFERROR(VLOOKUP(E405,$AE$11:$AK$14,4,0),0)</f>
        <v/>
      </c>
      <c r="AQ405" s="117">
        <f>(I405+(I405*J405)+(I405*K405))*AP405</f>
        <v/>
      </c>
      <c r="AR405" s="118">
        <f>AO405+AQ405</f>
        <v/>
      </c>
      <c r="AT405" s="39">
        <f>IFERROR((VLOOKUP(E405,$AE$11:$AJ$14,5,0)),0)</f>
        <v/>
      </c>
      <c r="AU405" s="39">
        <f>IFERROR((VLOOKUP(E405,$AE$11:$AJ$14,6,0)),0)</f>
        <v/>
      </c>
      <c r="AW405" s="119">
        <f>AR405*AT405</f>
        <v/>
      </c>
      <c r="AX405" s="119">
        <f>AR405*AU405</f>
        <v/>
      </c>
    </row>
    <row r="406">
      <c r="A406" s="32" t="n">
        <v>396</v>
      </c>
      <c r="B406" s="33" t="n"/>
      <c r="C406" s="33" t="n"/>
      <c r="D406" s="33" t="n"/>
      <c r="E406" s="33" t="inlineStr">
        <is>
          <t>-</t>
        </is>
      </c>
      <c r="F406" s="54">
        <f>IFERROR((VLOOKUP(E406,$AE$11:$AG$14,3,0)),"-")</f>
        <v/>
      </c>
      <c r="G406" s="33" t="n"/>
      <c r="H406" s="33" t="n"/>
      <c r="I406" s="46" t="n"/>
      <c r="J406" s="35" t="n"/>
      <c r="K406" s="35" t="n"/>
      <c r="L406" s="36">
        <f>IF($H$4="-",0,IF($H$4="VAREJO",AW406,IF($H$4="ATACADO",AX406,0)))</f>
        <v/>
      </c>
      <c r="M406" s="33" t="n"/>
      <c r="AN406" s="47" t="n">
        <v>396</v>
      </c>
      <c r="AO406" s="117">
        <f>I406+(I406*J406)+(I406*K406)</f>
        <v/>
      </c>
      <c r="AP406" s="43">
        <f>IFERROR(VLOOKUP(E406,$AE$11:$AK$14,4,0),0)</f>
        <v/>
      </c>
      <c r="AQ406" s="117">
        <f>(I406+(I406*J406)+(I406*K406))*AP406</f>
        <v/>
      </c>
      <c r="AR406" s="118">
        <f>AO406+AQ406</f>
        <v/>
      </c>
      <c r="AT406" s="39">
        <f>IFERROR((VLOOKUP(E406,$AE$11:$AJ$14,5,0)),0)</f>
        <v/>
      </c>
      <c r="AU406" s="39">
        <f>IFERROR((VLOOKUP(E406,$AE$11:$AJ$14,6,0)),0)</f>
        <v/>
      </c>
      <c r="AW406" s="119">
        <f>AR406*AT406</f>
        <v/>
      </c>
      <c r="AX406" s="119">
        <f>AR406*AU406</f>
        <v/>
      </c>
    </row>
    <row r="407">
      <c r="A407" s="32" t="n">
        <v>397</v>
      </c>
      <c r="B407" s="33" t="n"/>
      <c r="C407" s="33" t="n"/>
      <c r="D407" s="33" t="n"/>
      <c r="E407" s="33" t="inlineStr">
        <is>
          <t>-</t>
        </is>
      </c>
      <c r="F407" s="54">
        <f>IFERROR((VLOOKUP(E407,$AE$11:$AG$14,3,0)),"-")</f>
        <v/>
      </c>
      <c r="G407" s="33" t="n"/>
      <c r="H407" s="33" t="n"/>
      <c r="I407" s="46" t="n"/>
      <c r="J407" s="35" t="n"/>
      <c r="K407" s="35" t="n"/>
      <c r="L407" s="36">
        <f>IF($H$4="-",0,IF($H$4="VAREJO",AW407,IF($H$4="ATACADO",AX407,0)))</f>
        <v/>
      </c>
      <c r="M407" s="33" t="n"/>
      <c r="AN407" s="47" t="n">
        <v>397</v>
      </c>
      <c r="AO407" s="117">
        <f>I407+(I407*J407)+(I407*K407)</f>
        <v/>
      </c>
      <c r="AP407" s="43">
        <f>IFERROR(VLOOKUP(E407,$AE$11:$AK$14,4,0),0)</f>
        <v/>
      </c>
      <c r="AQ407" s="117">
        <f>(I407+(I407*J407)+(I407*K407))*AP407</f>
        <v/>
      </c>
      <c r="AR407" s="118">
        <f>AO407+AQ407</f>
        <v/>
      </c>
      <c r="AT407" s="39">
        <f>IFERROR((VLOOKUP(E407,$AE$11:$AJ$14,5,0)),0)</f>
        <v/>
      </c>
      <c r="AU407" s="39">
        <f>IFERROR((VLOOKUP(E407,$AE$11:$AJ$14,6,0)),0)</f>
        <v/>
      </c>
      <c r="AW407" s="119">
        <f>AR407*AT407</f>
        <v/>
      </c>
      <c r="AX407" s="119">
        <f>AR407*AU407</f>
        <v/>
      </c>
    </row>
    <row r="408">
      <c r="A408" s="32" t="n">
        <v>398</v>
      </c>
      <c r="B408" s="33" t="n"/>
      <c r="C408" s="33" t="n"/>
      <c r="D408" s="33" t="n"/>
      <c r="E408" s="33" t="inlineStr">
        <is>
          <t>-</t>
        </is>
      </c>
      <c r="F408" s="54">
        <f>IFERROR((VLOOKUP(E408,$AE$11:$AG$14,3,0)),"-")</f>
        <v/>
      </c>
      <c r="G408" s="33" t="n"/>
      <c r="H408" s="33" t="n"/>
      <c r="I408" s="46" t="n"/>
      <c r="J408" s="35" t="n"/>
      <c r="K408" s="35" t="n"/>
      <c r="L408" s="36">
        <f>IF($H$4="-",0,IF($H$4="VAREJO",AW408,IF($H$4="ATACADO",AX408,0)))</f>
        <v/>
      </c>
      <c r="M408" s="33" t="n"/>
      <c r="AN408" s="47" t="n">
        <v>398</v>
      </c>
      <c r="AO408" s="117">
        <f>I408+(I408*J408)+(I408*K408)</f>
        <v/>
      </c>
      <c r="AP408" s="43">
        <f>IFERROR(VLOOKUP(E408,$AE$11:$AK$14,4,0),0)</f>
        <v/>
      </c>
      <c r="AQ408" s="117">
        <f>(I408+(I408*J408)+(I408*K408))*AP408</f>
        <v/>
      </c>
      <c r="AR408" s="118">
        <f>AO408+AQ408</f>
        <v/>
      </c>
      <c r="AT408" s="39">
        <f>IFERROR((VLOOKUP(E408,$AE$11:$AJ$14,5,0)),0)</f>
        <v/>
      </c>
      <c r="AU408" s="39">
        <f>IFERROR((VLOOKUP(E408,$AE$11:$AJ$14,6,0)),0)</f>
        <v/>
      </c>
      <c r="AW408" s="119">
        <f>AR408*AT408</f>
        <v/>
      </c>
      <c r="AX408" s="119">
        <f>AR408*AU408</f>
        <v/>
      </c>
    </row>
    <row r="409">
      <c r="A409" s="32" t="n">
        <v>399</v>
      </c>
      <c r="B409" s="33" t="n"/>
      <c r="C409" s="33" t="n"/>
      <c r="D409" s="33" t="n"/>
      <c r="E409" s="33" t="inlineStr">
        <is>
          <t>-</t>
        </is>
      </c>
      <c r="F409" s="54">
        <f>IFERROR((VLOOKUP(E409,$AE$11:$AG$14,3,0)),"-")</f>
        <v/>
      </c>
      <c r="G409" s="33" t="n"/>
      <c r="H409" s="33" t="n"/>
      <c r="I409" s="46" t="n"/>
      <c r="J409" s="35" t="n"/>
      <c r="K409" s="35" t="n"/>
      <c r="L409" s="36">
        <f>IF($H$4="-",0,IF($H$4="VAREJO",AW409,IF($H$4="ATACADO",AX409,0)))</f>
        <v/>
      </c>
      <c r="M409" s="33" t="n"/>
      <c r="AN409" s="47" t="n">
        <v>399</v>
      </c>
      <c r="AO409" s="117">
        <f>I409+(I409*J409)+(I409*K409)</f>
        <v/>
      </c>
      <c r="AP409" s="43">
        <f>IFERROR(VLOOKUP(E409,$AE$11:$AK$14,4,0),0)</f>
        <v/>
      </c>
      <c r="AQ409" s="117">
        <f>(I409+(I409*J409)+(I409*K409))*AP409</f>
        <v/>
      </c>
      <c r="AR409" s="118">
        <f>AO409+AQ409</f>
        <v/>
      </c>
      <c r="AT409" s="39">
        <f>IFERROR((VLOOKUP(E409,$AE$11:$AJ$14,5,0)),0)</f>
        <v/>
      </c>
      <c r="AU409" s="39">
        <f>IFERROR((VLOOKUP(E409,$AE$11:$AJ$14,6,0)),0)</f>
        <v/>
      </c>
      <c r="AW409" s="119">
        <f>AR409*AT409</f>
        <v/>
      </c>
      <c r="AX409" s="119">
        <f>AR409*AU409</f>
        <v/>
      </c>
    </row>
    <row r="410">
      <c r="A410" s="32" t="n">
        <v>400</v>
      </c>
      <c r="B410" s="33" t="n"/>
      <c r="C410" s="33" t="n"/>
      <c r="D410" s="33" t="n"/>
      <c r="E410" s="33" t="inlineStr">
        <is>
          <t>-</t>
        </is>
      </c>
      <c r="F410" s="54">
        <f>IFERROR((VLOOKUP(E410,$AE$11:$AG$14,3,0)),"-")</f>
        <v/>
      </c>
      <c r="G410" s="33" t="n"/>
      <c r="H410" s="33" t="n"/>
      <c r="I410" s="46" t="n"/>
      <c r="J410" s="35" t="n"/>
      <c r="K410" s="35" t="n"/>
      <c r="L410" s="36">
        <f>IF($H$4="-",0,IF($H$4="VAREJO",AW410,IF($H$4="ATACADO",AX410,0)))</f>
        <v/>
      </c>
      <c r="M410" s="33" t="n"/>
      <c r="AN410" s="47" t="n">
        <v>400</v>
      </c>
      <c r="AO410" s="117">
        <f>I410+(I410*J410)+(I410*K410)</f>
        <v/>
      </c>
      <c r="AP410" s="43">
        <f>IFERROR(VLOOKUP(E410,$AE$11:$AK$14,4,0),0)</f>
        <v/>
      </c>
      <c r="AQ410" s="117">
        <f>(I410+(I410*J410)+(I410*K410))*AP410</f>
        <v/>
      </c>
      <c r="AR410" s="118">
        <f>AO410+AQ410</f>
        <v/>
      </c>
      <c r="AT410" s="39">
        <f>IFERROR((VLOOKUP(E410,$AE$11:$AJ$14,5,0)),0)</f>
        <v/>
      </c>
      <c r="AU410" s="39">
        <f>IFERROR((VLOOKUP(E410,$AE$11:$AJ$14,6,0)),0)</f>
        <v/>
      </c>
      <c r="AW410" s="119">
        <f>AR410*AT410</f>
        <v/>
      </c>
      <c r="AX410" s="119">
        <f>AR410*AU410</f>
        <v/>
      </c>
    </row>
    <row r="411">
      <c r="A411" s="32" t="n">
        <v>401</v>
      </c>
      <c r="B411" s="33" t="n"/>
      <c r="C411" s="33" t="n"/>
      <c r="D411" s="33" t="n"/>
      <c r="E411" s="33" t="inlineStr">
        <is>
          <t>-</t>
        </is>
      </c>
      <c r="F411" s="54">
        <f>IFERROR((VLOOKUP(E411,$AE$11:$AG$14,3,0)),"-")</f>
        <v/>
      </c>
      <c r="G411" s="33" t="n"/>
      <c r="H411" s="33" t="n"/>
      <c r="I411" s="46" t="n"/>
      <c r="J411" s="35" t="n"/>
      <c r="K411" s="35" t="n"/>
      <c r="L411" s="36">
        <f>IF($H$4="-",0,IF($H$4="VAREJO",AW411,IF($H$4="ATACADO",AX411,0)))</f>
        <v/>
      </c>
      <c r="M411" s="33" t="n"/>
      <c r="AN411" s="47" t="n">
        <v>401</v>
      </c>
      <c r="AO411" s="117">
        <f>I411+(I411*J411)+(I411*K411)</f>
        <v/>
      </c>
      <c r="AP411" s="43">
        <f>IFERROR(VLOOKUP(E411,$AE$11:$AK$14,4,0),0)</f>
        <v/>
      </c>
      <c r="AQ411" s="117">
        <f>(I411+(I411*J411)+(I411*K411))*AP411</f>
        <v/>
      </c>
      <c r="AR411" s="118">
        <f>AO411+AQ411</f>
        <v/>
      </c>
      <c r="AT411" s="39">
        <f>IFERROR((VLOOKUP(E411,$AE$11:$AJ$14,5,0)),0)</f>
        <v/>
      </c>
      <c r="AU411" s="39">
        <f>IFERROR((VLOOKUP(E411,$AE$11:$AJ$14,6,0)),0)</f>
        <v/>
      </c>
      <c r="AW411" s="119">
        <f>AR411*AT411</f>
        <v/>
      </c>
      <c r="AX411" s="119">
        <f>AR411*AU411</f>
        <v/>
      </c>
    </row>
    <row r="412">
      <c r="A412" s="32" t="n">
        <v>402</v>
      </c>
      <c r="B412" s="33" t="n"/>
      <c r="C412" s="33" t="n"/>
      <c r="D412" s="33" t="n"/>
      <c r="E412" s="33" t="inlineStr">
        <is>
          <t>-</t>
        </is>
      </c>
      <c r="F412" s="54">
        <f>IFERROR((VLOOKUP(E412,$AE$11:$AG$14,3,0)),"-")</f>
        <v/>
      </c>
      <c r="G412" s="33" t="n"/>
      <c r="H412" s="33" t="n"/>
      <c r="I412" s="46" t="n"/>
      <c r="J412" s="35" t="n"/>
      <c r="K412" s="35" t="n"/>
      <c r="L412" s="36">
        <f>IF($H$4="-",0,IF($H$4="VAREJO",AW412,IF($H$4="ATACADO",AX412,0)))</f>
        <v/>
      </c>
      <c r="M412" s="33" t="n"/>
      <c r="AN412" s="47" t="n">
        <v>402</v>
      </c>
      <c r="AO412" s="117">
        <f>I412+(I412*J412)+(I412*K412)</f>
        <v/>
      </c>
      <c r="AP412" s="43">
        <f>IFERROR(VLOOKUP(E412,$AE$11:$AK$14,4,0),0)</f>
        <v/>
      </c>
      <c r="AQ412" s="117">
        <f>(I412+(I412*J412)+(I412*K412))*AP412</f>
        <v/>
      </c>
      <c r="AR412" s="118">
        <f>AO412+AQ412</f>
        <v/>
      </c>
      <c r="AT412" s="39">
        <f>IFERROR((VLOOKUP(E412,$AE$11:$AJ$14,5,0)),0)</f>
        <v/>
      </c>
      <c r="AU412" s="39">
        <f>IFERROR((VLOOKUP(E412,$AE$11:$AJ$14,6,0)),0)</f>
        <v/>
      </c>
      <c r="AW412" s="119">
        <f>AR412*AT412</f>
        <v/>
      </c>
      <c r="AX412" s="119">
        <f>AR412*AU412</f>
        <v/>
      </c>
    </row>
    <row r="413">
      <c r="A413" s="32" t="n">
        <v>403</v>
      </c>
      <c r="B413" s="33" t="n"/>
      <c r="C413" s="33" t="n"/>
      <c r="D413" s="33" t="n"/>
      <c r="E413" s="33" t="inlineStr">
        <is>
          <t>-</t>
        </is>
      </c>
      <c r="F413" s="54">
        <f>IFERROR((VLOOKUP(E413,$AE$11:$AG$14,3,0)),"-")</f>
        <v/>
      </c>
      <c r="G413" s="33" t="n"/>
      <c r="H413" s="33" t="n"/>
      <c r="I413" s="46" t="n"/>
      <c r="J413" s="35" t="n"/>
      <c r="K413" s="35" t="n"/>
      <c r="L413" s="36">
        <f>IF($H$4="-",0,IF($H$4="VAREJO",AW413,IF($H$4="ATACADO",AX413,0)))</f>
        <v/>
      </c>
      <c r="M413" s="33" t="n"/>
      <c r="AN413" s="47" t="n">
        <v>403</v>
      </c>
      <c r="AO413" s="117">
        <f>I413+(I413*J413)+(I413*K413)</f>
        <v/>
      </c>
      <c r="AP413" s="43">
        <f>IFERROR(VLOOKUP(E413,$AE$11:$AK$14,4,0),0)</f>
        <v/>
      </c>
      <c r="AQ413" s="117">
        <f>(I413+(I413*J413)+(I413*K413))*AP413</f>
        <v/>
      </c>
      <c r="AR413" s="118">
        <f>AO413+AQ413</f>
        <v/>
      </c>
      <c r="AT413" s="39">
        <f>IFERROR((VLOOKUP(E413,$AE$11:$AJ$14,5,0)),0)</f>
        <v/>
      </c>
      <c r="AU413" s="39">
        <f>IFERROR((VLOOKUP(E413,$AE$11:$AJ$14,6,0)),0)</f>
        <v/>
      </c>
      <c r="AW413" s="119">
        <f>AR413*AT413</f>
        <v/>
      </c>
      <c r="AX413" s="119">
        <f>AR413*AU413</f>
        <v/>
      </c>
    </row>
    <row r="414">
      <c r="A414" s="32" t="n">
        <v>404</v>
      </c>
      <c r="B414" s="33" t="n"/>
      <c r="C414" s="33" t="n"/>
      <c r="D414" s="33" t="n"/>
      <c r="E414" s="33" t="inlineStr">
        <is>
          <t>-</t>
        </is>
      </c>
      <c r="F414" s="54">
        <f>IFERROR((VLOOKUP(E414,$AE$11:$AG$14,3,0)),"-")</f>
        <v/>
      </c>
      <c r="G414" s="33" t="n"/>
      <c r="H414" s="33" t="n"/>
      <c r="I414" s="46" t="n"/>
      <c r="J414" s="35" t="n"/>
      <c r="K414" s="35" t="n"/>
      <c r="L414" s="36">
        <f>IF($H$4="-",0,IF($H$4="VAREJO",AW414,IF($H$4="ATACADO",AX414,0)))</f>
        <v/>
      </c>
      <c r="M414" s="33" t="n"/>
      <c r="AN414" s="47" t="n">
        <v>404</v>
      </c>
      <c r="AO414" s="117">
        <f>I414+(I414*J414)+(I414*K414)</f>
        <v/>
      </c>
      <c r="AP414" s="43">
        <f>IFERROR(VLOOKUP(E414,$AE$11:$AK$14,4,0),0)</f>
        <v/>
      </c>
      <c r="AQ414" s="117">
        <f>(I414+(I414*J414)+(I414*K414))*AP414</f>
        <v/>
      </c>
      <c r="AR414" s="118">
        <f>AO414+AQ414</f>
        <v/>
      </c>
      <c r="AT414" s="39">
        <f>IFERROR((VLOOKUP(E414,$AE$11:$AJ$14,5,0)),0)</f>
        <v/>
      </c>
      <c r="AU414" s="39">
        <f>IFERROR((VLOOKUP(E414,$AE$11:$AJ$14,6,0)),0)</f>
        <v/>
      </c>
      <c r="AW414" s="119">
        <f>AR414*AT414</f>
        <v/>
      </c>
      <c r="AX414" s="119">
        <f>AR414*AU414</f>
        <v/>
      </c>
    </row>
    <row r="415">
      <c r="A415" s="32" t="n">
        <v>405</v>
      </c>
      <c r="B415" s="33" t="n"/>
      <c r="C415" s="33" t="n"/>
      <c r="D415" s="33" t="n"/>
      <c r="E415" s="33" t="inlineStr">
        <is>
          <t>-</t>
        </is>
      </c>
      <c r="F415" s="54">
        <f>IFERROR((VLOOKUP(E415,$AE$11:$AG$14,3,0)),"-")</f>
        <v/>
      </c>
      <c r="G415" s="33" t="n"/>
      <c r="H415" s="33" t="n"/>
      <c r="I415" s="46" t="n"/>
      <c r="J415" s="35" t="n"/>
      <c r="K415" s="35" t="n"/>
      <c r="L415" s="36">
        <f>IF($H$4="-",0,IF($H$4="VAREJO",AW415,IF($H$4="ATACADO",AX415,0)))</f>
        <v/>
      </c>
      <c r="M415" s="33" t="n"/>
      <c r="AN415" s="47" t="n">
        <v>405</v>
      </c>
      <c r="AO415" s="117">
        <f>I415+(I415*J415)+(I415*K415)</f>
        <v/>
      </c>
      <c r="AP415" s="43">
        <f>IFERROR(VLOOKUP(E415,$AE$11:$AK$14,4,0),0)</f>
        <v/>
      </c>
      <c r="AQ415" s="117">
        <f>(I415+(I415*J415)+(I415*K415))*AP415</f>
        <v/>
      </c>
      <c r="AR415" s="118">
        <f>AO415+AQ415</f>
        <v/>
      </c>
      <c r="AT415" s="39">
        <f>IFERROR((VLOOKUP(E415,$AE$11:$AJ$14,5,0)),0)</f>
        <v/>
      </c>
      <c r="AU415" s="39">
        <f>IFERROR((VLOOKUP(E415,$AE$11:$AJ$14,6,0)),0)</f>
        <v/>
      </c>
      <c r="AW415" s="119">
        <f>AR415*AT415</f>
        <v/>
      </c>
      <c r="AX415" s="119">
        <f>AR415*AU415</f>
        <v/>
      </c>
    </row>
    <row r="416">
      <c r="A416" s="32" t="n">
        <v>406</v>
      </c>
      <c r="B416" s="33" t="n"/>
      <c r="C416" s="33" t="n"/>
      <c r="D416" s="33" t="n"/>
      <c r="E416" s="33" t="inlineStr">
        <is>
          <t>-</t>
        </is>
      </c>
      <c r="F416" s="54">
        <f>IFERROR((VLOOKUP(E416,$AE$11:$AG$14,3,0)),"-")</f>
        <v/>
      </c>
      <c r="G416" s="33" t="n"/>
      <c r="H416" s="33" t="n"/>
      <c r="I416" s="46" t="n"/>
      <c r="J416" s="35" t="n"/>
      <c r="K416" s="35" t="n"/>
      <c r="L416" s="36">
        <f>IF($H$4="-",0,IF($H$4="VAREJO",AW416,IF($H$4="ATACADO",AX416,0)))</f>
        <v/>
      </c>
      <c r="M416" s="33" t="n"/>
      <c r="AN416" s="47" t="n">
        <v>406</v>
      </c>
      <c r="AO416" s="117">
        <f>I416+(I416*J416)+(I416*K416)</f>
        <v/>
      </c>
      <c r="AP416" s="43">
        <f>IFERROR(VLOOKUP(E416,$AE$11:$AK$14,4,0),0)</f>
        <v/>
      </c>
      <c r="AQ416" s="117">
        <f>(I416+(I416*J416)+(I416*K416))*AP416</f>
        <v/>
      </c>
      <c r="AR416" s="118">
        <f>AO416+AQ416</f>
        <v/>
      </c>
      <c r="AT416" s="39">
        <f>IFERROR((VLOOKUP(E416,$AE$11:$AJ$14,5,0)),0)</f>
        <v/>
      </c>
      <c r="AU416" s="39">
        <f>IFERROR((VLOOKUP(E416,$AE$11:$AJ$14,6,0)),0)</f>
        <v/>
      </c>
      <c r="AW416" s="119">
        <f>AR416*AT416</f>
        <v/>
      </c>
      <c r="AX416" s="119">
        <f>AR416*AU416</f>
        <v/>
      </c>
    </row>
    <row r="417">
      <c r="A417" s="32" t="n">
        <v>407</v>
      </c>
      <c r="B417" s="33" t="n"/>
      <c r="C417" s="33" t="n"/>
      <c r="D417" s="33" t="n"/>
      <c r="E417" s="33" t="inlineStr">
        <is>
          <t>-</t>
        </is>
      </c>
      <c r="F417" s="54">
        <f>IFERROR((VLOOKUP(E417,$AE$11:$AG$14,3,0)),"-")</f>
        <v/>
      </c>
      <c r="G417" s="33" t="n"/>
      <c r="H417" s="33" t="n"/>
      <c r="I417" s="46" t="n"/>
      <c r="J417" s="35" t="n"/>
      <c r="K417" s="35" t="n"/>
      <c r="L417" s="36">
        <f>IF($H$4="-",0,IF($H$4="VAREJO",AW417,IF($H$4="ATACADO",AX417,0)))</f>
        <v/>
      </c>
      <c r="M417" s="33" t="n"/>
      <c r="AN417" s="47" t="n">
        <v>407</v>
      </c>
      <c r="AO417" s="117">
        <f>I417+(I417*J417)+(I417*K417)</f>
        <v/>
      </c>
      <c r="AP417" s="43">
        <f>IFERROR(VLOOKUP(E417,$AE$11:$AK$14,4,0),0)</f>
        <v/>
      </c>
      <c r="AQ417" s="117">
        <f>(I417+(I417*J417)+(I417*K417))*AP417</f>
        <v/>
      </c>
      <c r="AR417" s="118">
        <f>AO417+AQ417</f>
        <v/>
      </c>
      <c r="AT417" s="39">
        <f>IFERROR((VLOOKUP(E417,$AE$11:$AJ$14,5,0)),0)</f>
        <v/>
      </c>
      <c r="AU417" s="39">
        <f>IFERROR((VLOOKUP(E417,$AE$11:$AJ$14,6,0)),0)</f>
        <v/>
      </c>
      <c r="AW417" s="119">
        <f>AR417*AT417</f>
        <v/>
      </c>
      <c r="AX417" s="119">
        <f>AR417*AU417</f>
        <v/>
      </c>
    </row>
    <row r="418">
      <c r="A418" s="32" t="n">
        <v>408</v>
      </c>
      <c r="B418" s="33" t="n"/>
      <c r="C418" s="33" t="n"/>
      <c r="D418" s="33" t="n"/>
      <c r="E418" s="33" t="inlineStr">
        <is>
          <t>-</t>
        </is>
      </c>
      <c r="F418" s="54">
        <f>IFERROR((VLOOKUP(E418,$AE$11:$AG$14,3,0)),"-")</f>
        <v/>
      </c>
      <c r="G418" s="33" t="n"/>
      <c r="H418" s="33" t="n"/>
      <c r="I418" s="46" t="n"/>
      <c r="J418" s="35" t="n"/>
      <c r="K418" s="35" t="n"/>
      <c r="L418" s="36">
        <f>IF($H$4="-",0,IF($H$4="VAREJO",AW418,IF($H$4="ATACADO",AX418,0)))</f>
        <v/>
      </c>
      <c r="M418" s="33" t="n"/>
      <c r="AN418" s="47" t="n">
        <v>408</v>
      </c>
      <c r="AO418" s="117">
        <f>I418+(I418*J418)+(I418*K418)</f>
        <v/>
      </c>
      <c r="AP418" s="43">
        <f>IFERROR(VLOOKUP(E418,$AE$11:$AK$14,4,0),0)</f>
        <v/>
      </c>
      <c r="AQ418" s="117">
        <f>(I418+(I418*J418)+(I418*K418))*AP418</f>
        <v/>
      </c>
      <c r="AR418" s="118">
        <f>AO418+AQ418</f>
        <v/>
      </c>
      <c r="AT418" s="39">
        <f>IFERROR((VLOOKUP(E418,$AE$11:$AJ$14,5,0)),0)</f>
        <v/>
      </c>
      <c r="AU418" s="39">
        <f>IFERROR((VLOOKUP(E418,$AE$11:$AJ$14,6,0)),0)</f>
        <v/>
      </c>
      <c r="AW418" s="119">
        <f>AR418*AT418</f>
        <v/>
      </c>
      <c r="AX418" s="119">
        <f>AR418*AU418</f>
        <v/>
      </c>
    </row>
    <row r="419">
      <c r="A419" s="32" t="n">
        <v>409</v>
      </c>
      <c r="B419" s="33" t="n"/>
      <c r="C419" s="33" t="n"/>
      <c r="D419" s="33" t="n"/>
      <c r="E419" s="33" t="inlineStr">
        <is>
          <t>-</t>
        </is>
      </c>
      <c r="F419" s="54">
        <f>IFERROR((VLOOKUP(E419,$AE$11:$AG$14,3,0)),"-")</f>
        <v/>
      </c>
      <c r="G419" s="33" t="n"/>
      <c r="H419" s="33" t="n"/>
      <c r="I419" s="46" t="n"/>
      <c r="J419" s="35" t="n"/>
      <c r="K419" s="35" t="n"/>
      <c r="L419" s="36">
        <f>IF($H$4="-",0,IF($H$4="VAREJO",AW419,IF($H$4="ATACADO",AX419,0)))</f>
        <v/>
      </c>
      <c r="M419" s="33" t="n"/>
      <c r="AN419" s="47" t="n">
        <v>409</v>
      </c>
      <c r="AO419" s="117">
        <f>I419+(I419*J419)+(I419*K419)</f>
        <v/>
      </c>
      <c r="AP419" s="43">
        <f>IFERROR(VLOOKUP(E419,$AE$11:$AK$14,4,0),0)</f>
        <v/>
      </c>
      <c r="AQ419" s="117">
        <f>(I419+(I419*J419)+(I419*K419))*AP419</f>
        <v/>
      </c>
      <c r="AR419" s="118">
        <f>AO419+AQ419</f>
        <v/>
      </c>
      <c r="AT419" s="39">
        <f>IFERROR((VLOOKUP(E419,$AE$11:$AJ$14,5,0)),0)</f>
        <v/>
      </c>
      <c r="AU419" s="39">
        <f>IFERROR((VLOOKUP(E419,$AE$11:$AJ$14,6,0)),0)</f>
        <v/>
      </c>
      <c r="AW419" s="119">
        <f>AR419*AT419</f>
        <v/>
      </c>
      <c r="AX419" s="119">
        <f>AR419*AU419</f>
        <v/>
      </c>
    </row>
    <row r="420">
      <c r="A420" s="32" t="n">
        <v>410</v>
      </c>
      <c r="B420" s="33" t="n"/>
      <c r="C420" s="33" t="n"/>
      <c r="D420" s="33" t="n"/>
      <c r="E420" s="33" t="inlineStr">
        <is>
          <t>-</t>
        </is>
      </c>
      <c r="F420" s="54">
        <f>IFERROR((VLOOKUP(E420,$AE$11:$AG$14,3,0)),"-")</f>
        <v/>
      </c>
      <c r="G420" s="33" t="n"/>
      <c r="H420" s="33" t="n"/>
      <c r="I420" s="46" t="n"/>
      <c r="J420" s="35" t="n"/>
      <c r="K420" s="35" t="n"/>
      <c r="L420" s="36">
        <f>IF($H$4="-",0,IF($H$4="VAREJO",AW420,IF($H$4="ATACADO",AX420,0)))</f>
        <v/>
      </c>
      <c r="M420" s="33" t="n"/>
      <c r="AN420" s="47" t="n">
        <v>410</v>
      </c>
      <c r="AO420" s="117">
        <f>I420+(I420*J420)+(I420*K420)</f>
        <v/>
      </c>
      <c r="AP420" s="43">
        <f>IFERROR(VLOOKUP(E420,$AE$11:$AK$14,4,0),0)</f>
        <v/>
      </c>
      <c r="AQ420" s="117">
        <f>(I420+(I420*J420)+(I420*K420))*AP420</f>
        <v/>
      </c>
      <c r="AR420" s="118">
        <f>AO420+AQ420</f>
        <v/>
      </c>
      <c r="AT420" s="39">
        <f>IFERROR((VLOOKUP(E420,$AE$11:$AJ$14,5,0)),0)</f>
        <v/>
      </c>
      <c r="AU420" s="39">
        <f>IFERROR((VLOOKUP(E420,$AE$11:$AJ$14,6,0)),0)</f>
        <v/>
      </c>
      <c r="AW420" s="119">
        <f>AR420*AT420</f>
        <v/>
      </c>
      <c r="AX420" s="119">
        <f>AR420*AU420</f>
        <v/>
      </c>
    </row>
    <row r="421">
      <c r="A421" s="32" t="n">
        <v>411</v>
      </c>
      <c r="B421" s="33" t="n"/>
      <c r="C421" s="33" t="n"/>
      <c r="D421" s="33" t="n"/>
      <c r="E421" s="33" t="inlineStr">
        <is>
          <t>-</t>
        </is>
      </c>
      <c r="F421" s="54">
        <f>IFERROR((VLOOKUP(E421,$AE$11:$AG$14,3,0)),"-")</f>
        <v/>
      </c>
      <c r="G421" s="33" t="n"/>
      <c r="H421" s="33" t="n"/>
      <c r="I421" s="46" t="n"/>
      <c r="J421" s="35" t="n"/>
      <c r="K421" s="35" t="n"/>
      <c r="L421" s="36">
        <f>IF($H$4="-",0,IF($H$4="VAREJO",AW421,IF($H$4="ATACADO",AX421,0)))</f>
        <v/>
      </c>
      <c r="M421" s="33" t="n"/>
      <c r="AN421" s="47" t="n">
        <v>411</v>
      </c>
      <c r="AO421" s="117">
        <f>I421+(I421*J421)+(I421*K421)</f>
        <v/>
      </c>
      <c r="AP421" s="43">
        <f>IFERROR(VLOOKUP(E421,$AE$11:$AK$14,4,0),0)</f>
        <v/>
      </c>
      <c r="AQ421" s="117">
        <f>(I421+(I421*J421)+(I421*K421))*AP421</f>
        <v/>
      </c>
      <c r="AR421" s="118">
        <f>AO421+AQ421</f>
        <v/>
      </c>
      <c r="AT421" s="39">
        <f>IFERROR((VLOOKUP(E421,$AE$11:$AJ$14,5,0)),0)</f>
        <v/>
      </c>
      <c r="AU421" s="39">
        <f>IFERROR((VLOOKUP(E421,$AE$11:$AJ$14,6,0)),0)</f>
        <v/>
      </c>
      <c r="AW421" s="119">
        <f>AR421*AT421</f>
        <v/>
      </c>
      <c r="AX421" s="119">
        <f>AR421*AU421</f>
        <v/>
      </c>
    </row>
    <row r="422">
      <c r="A422" s="32" t="n">
        <v>412</v>
      </c>
      <c r="B422" s="33" t="n"/>
      <c r="C422" s="33" t="n"/>
      <c r="D422" s="33" t="n"/>
      <c r="E422" s="33" t="inlineStr">
        <is>
          <t>-</t>
        </is>
      </c>
      <c r="F422" s="54">
        <f>IFERROR((VLOOKUP(E422,$AE$11:$AG$14,3,0)),"-")</f>
        <v/>
      </c>
      <c r="G422" s="33" t="n"/>
      <c r="H422" s="33" t="n"/>
      <c r="I422" s="46" t="n"/>
      <c r="J422" s="35" t="n"/>
      <c r="K422" s="35" t="n"/>
      <c r="L422" s="36">
        <f>IF($H$4="-",0,IF($H$4="VAREJO",AW422,IF($H$4="ATACADO",AX422,0)))</f>
        <v/>
      </c>
      <c r="M422" s="33" t="n"/>
      <c r="AN422" s="47" t="n">
        <v>412</v>
      </c>
      <c r="AO422" s="117">
        <f>I422+(I422*J422)+(I422*K422)</f>
        <v/>
      </c>
      <c r="AP422" s="43">
        <f>IFERROR(VLOOKUP(E422,$AE$11:$AK$14,4,0),0)</f>
        <v/>
      </c>
      <c r="AQ422" s="117">
        <f>(I422+(I422*J422)+(I422*K422))*AP422</f>
        <v/>
      </c>
      <c r="AR422" s="118">
        <f>AO422+AQ422</f>
        <v/>
      </c>
      <c r="AT422" s="39">
        <f>IFERROR((VLOOKUP(E422,$AE$11:$AJ$14,5,0)),0)</f>
        <v/>
      </c>
      <c r="AU422" s="39">
        <f>IFERROR((VLOOKUP(E422,$AE$11:$AJ$14,6,0)),0)</f>
        <v/>
      </c>
      <c r="AW422" s="119">
        <f>AR422*AT422</f>
        <v/>
      </c>
      <c r="AX422" s="119">
        <f>AR422*AU422</f>
        <v/>
      </c>
    </row>
    <row r="423">
      <c r="A423" s="32" t="n">
        <v>413</v>
      </c>
      <c r="B423" s="33" t="n"/>
      <c r="C423" s="33" t="n"/>
      <c r="D423" s="33" t="n"/>
      <c r="E423" s="33" t="inlineStr">
        <is>
          <t>-</t>
        </is>
      </c>
      <c r="F423" s="54">
        <f>IFERROR((VLOOKUP(E423,$AE$11:$AG$14,3,0)),"-")</f>
        <v/>
      </c>
      <c r="G423" s="33" t="n"/>
      <c r="H423" s="33" t="n"/>
      <c r="I423" s="46" t="n"/>
      <c r="J423" s="35" t="n"/>
      <c r="K423" s="35" t="n"/>
      <c r="L423" s="36">
        <f>IF($H$4="-",0,IF($H$4="VAREJO",AW423,IF($H$4="ATACADO",AX423,0)))</f>
        <v/>
      </c>
      <c r="M423" s="33" t="n"/>
      <c r="AN423" s="47" t="n">
        <v>413</v>
      </c>
      <c r="AO423" s="117">
        <f>I423+(I423*J423)+(I423*K423)</f>
        <v/>
      </c>
      <c r="AP423" s="43">
        <f>IFERROR(VLOOKUP(E423,$AE$11:$AK$14,4,0),0)</f>
        <v/>
      </c>
      <c r="AQ423" s="117">
        <f>(I423+(I423*J423)+(I423*K423))*AP423</f>
        <v/>
      </c>
      <c r="AR423" s="118">
        <f>AO423+AQ423</f>
        <v/>
      </c>
      <c r="AT423" s="39">
        <f>IFERROR((VLOOKUP(E423,$AE$11:$AJ$14,5,0)),0)</f>
        <v/>
      </c>
      <c r="AU423" s="39">
        <f>IFERROR((VLOOKUP(E423,$AE$11:$AJ$14,6,0)),0)</f>
        <v/>
      </c>
      <c r="AW423" s="119">
        <f>AR423*AT423</f>
        <v/>
      </c>
      <c r="AX423" s="119">
        <f>AR423*AU423</f>
        <v/>
      </c>
    </row>
    <row r="424">
      <c r="A424" s="32" t="n">
        <v>414</v>
      </c>
      <c r="B424" s="33" t="n"/>
      <c r="C424" s="33" t="n"/>
      <c r="D424" s="33" t="n"/>
      <c r="E424" s="33" t="inlineStr">
        <is>
          <t>-</t>
        </is>
      </c>
      <c r="F424" s="54">
        <f>IFERROR((VLOOKUP(E424,$AE$11:$AG$14,3,0)),"-")</f>
        <v/>
      </c>
      <c r="G424" s="33" t="n"/>
      <c r="H424" s="33" t="n"/>
      <c r="I424" s="46" t="n"/>
      <c r="J424" s="35" t="n"/>
      <c r="K424" s="35" t="n"/>
      <c r="L424" s="36">
        <f>IF($H$4="-",0,IF($H$4="VAREJO",AW424,IF($H$4="ATACADO",AX424,0)))</f>
        <v/>
      </c>
      <c r="M424" s="33" t="n"/>
      <c r="AN424" s="47" t="n">
        <v>414</v>
      </c>
      <c r="AO424" s="117">
        <f>I424+(I424*J424)+(I424*K424)</f>
        <v/>
      </c>
      <c r="AP424" s="43">
        <f>IFERROR(VLOOKUP(E424,$AE$11:$AK$14,4,0),0)</f>
        <v/>
      </c>
      <c r="AQ424" s="117">
        <f>(I424+(I424*J424)+(I424*K424))*AP424</f>
        <v/>
      </c>
      <c r="AR424" s="118">
        <f>AO424+AQ424</f>
        <v/>
      </c>
      <c r="AT424" s="39">
        <f>IFERROR((VLOOKUP(E424,$AE$11:$AJ$14,5,0)),0)</f>
        <v/>
      </c>
      <c r="AU424" s="39">
        <f>IFERROR((VLOOKUP(E424,$AE$11:$AJ$14,6,0)),0)</f>
        <v/>
      </c>
      <c r="AW424" s="119">
        <f>AR424*AT424</f>
        <v/>
      </c>
      <c r="AX424" s="119">
        <f>AR424*AU424</f>
        <v/>
      </c>
    </row>
    <row r="425">
      <c r="A425" s="32" t="n">
        <v>415</v>
      </c>
      <c r="B425" s="33" t="n"/>
      <c r="C425" s="33" t="n"/>
      <c r="D425" s="33" t="n"/>
      <c r="E425" s="33" t="inlineStr">
        <is>
          <t>-</t>
        </is>
      </c>
      <c r="F425" s="54">
        <f>IFERROR((VLOOKUP(E425,$AE$11:$AG$14,3,0)),"-")</f>
        <v/>
      </c>
      <c r="G425" s="33" t="n"/>
      <c r="H425" s="33" t="n"/>
      <c r="I425" s="46" t="n"/>
      <c r="J425" s="35" t="n"/>
      <c r="K425" s="35" t="n"/>
      <c r="L425" s="36">
        <f>IF($H$4="-",0,IF($H$4="VAREJO",AW425,IF($H$4="ATACADO",AX425,0)))</f>
        <v/>
      </c>
      <c r="M425" s="33" t="n"/>
      <c r="AN425" s="47" t="n">
        <v>415</v>
      </c>
      <c r="AO425" s="117">
        <f>I425+(I425*J425)+(I425*K425)</f>
        <v/>
      </c>
      <c r="AP425" s="43">
        <f>IFERROR(VLOOKUP(E425,$AE$11:$AK$14,4,0),0)</f>
        <v/>
      </c>
      <c r="AQ425" s="117">
        <f>(I425+(I425*J425)+(I425*K425))*AP425</f>
        <v/>
      </c>
      <c r="AR425" s="118">
        <f>AO425+AQ425</f>
        <v/>
      </c>
      <c r="AT425" s="39">
        <f>IFERROR((VLOOKUP(E425,$AE$11:$AJ$14,5,0)),0)</f>
        <v/>
      </c>
      <c r="AU425" s="39">
        <f>IFERROR((VLOOKUP(E425,$AE$11:$AJ$14,6,0)),0)</f>
        <v/>
      </c>
      <c r="AW425" s="119">
        <f>AR425*AT425</f>
        <v/>
      </c>
      <c r="AX425" s="119">
        <f>AR425*AU425</f>
        <v/>
      </c>
    </row>
    <row r="426">
      <c r="A426" s="32" t="n">
        <v>416</v>
      </c>
      <c r="B426" s="33" t="n"/>
      <c r="C426" s="33" t="n"/>
      <c r="D426" s="33" t="n"/>
      <c r="E426" s="33" t="inlineStr">
        <is>
          <t>-</t>
        </is>
      </c>
      <c r="F426" s="54">
        <f>IFERROR((VLOOKUP(E426,$AE$11:$AG$14,3,0)),"-")</f>
        <v/>
      </c>
      <c r="G426" s="33" t="n"/>
      <c r="H426" s="33" t="n"/>
      <c r="I426" s="46" t="n"/>
      <c r="J426" s="35" t="n"/>
      <c r="K426" s="35" t="n"/>
      <c r="L426" s="36">
        <f>IF($H$4="-",0,IF($H$4="VAREJO",AW426,IF($H$4="ATACADO",AX426,0)))</f>
        <v/>
      </c>
      <c r="M426" s="33" t="n"/>
      <c r="AN426" s="47" t="n">
        <v>416</v>
      </c>
      <c r="AO426" s="117">
        <f>I426+(I426*J426)+(I426*K426)</f>
        <v/>
      </c>
      <c r="AP426" s="43">
        <f>IFERROR(VLOOKUP(E426,$AE$11:$AK$14,4,0),0)</f>
        <v/>
      </c>
      <c r="AQ426" s="117">
        <f>(I426+(I426*J426)+(I426*K426))*AP426</f>
        <v/>
      </c>
      <c r="AR426" s="118">
        <f>AO426+AQ426</f>
        <v/>
      </c>
      <c r="AT426" s="39">
        <f>IFERROR((VLOOKUP(E426,$AE$11:$AJ$14,5,0)),0)</f>
        <v/>
      </c>
      <c r="AU426" s="39">
        <f>IFERROR((VLOOKUP(E426,$AE$11:$AJ$14,6,0)),0)</f>
        <v/>
      </c>
      <c r="AW426" s="119">
        <f>AR426*AT426</f>
        <v/>
      </c>
      <c r="AX426" s="119">
        <f>AR426*AU426</f>
        <v/>
      </c>
    </row>
    <row r="427">
      <c r="A427" s="32" t="n">
        <v>417</v>
      </c>
      <c r="B427" s="33" t="n"/>
      <c r="C427" s="33" t="n"/>
      <c r="D427" s="33" t="n"/>
      <c r="E427" s="33" t="inlineStr">
        <is>
          <t>-</t>
        </is>
      </c>
      <c r="F427" s="54">
        <f>IFERROR((VLOOKUP(E427,$AE$11:$AG$14,3,0)),"-")</f>
        <v/>
      </c>
      <c r="G427" s="33" t="n"/>
      <c r="H427" s="33" t="n"/>
      <c r="I427" s="46" t="n"/>
      <c r="J427" s="35" t="n"/>
      <c r="K427" s="35" t="n"/>
      <c r="L427" s="36">
        <f>IF($H$4="-",0,IF($H$4="VAREJO",AW427,IF($H$4="ATACADO",AX427,0)))</f>
        <v/>
      </c>
      <c r="M427" s="33" t="n"/>
      <c r="AN427" s="47" t="n">
        <v>417</v>
      </c>
      <c r="AO427" s="117">
        <f>I427+(I427*J427)+(I427*K427)</f>
        <v/>
      </c>
      <c r="AP427" s="43">
        <f>IFERROR(VLOOKUP(E427,$AE$11:$AK$14,4,0),0)</f>
        <v/>
      </c>
      <c r="AQ427" s="117">
        <f>(I427+(I427*J427)+(I427*K427))*AP427</f>
        <v/>
      </c>
      <c r="AR427" s="118">
        <f>AO427+AQ427</f>
        <v/>
      </c>
      <c r="AT427" s="39">
        <f>IFERROR((VLOOKUP(E427,$AE$11:$AJ$14,5,0)),0)</f>
        <v/>
      </c>
      <c r="AU427" s="39">
        <f>IFERROR((VLOOKUP(E427,$AE$11:$AJ$14,6,0)),0)</f>
        <v/>
      </c>
      <c r="AW427" s="119">
        <f>AR427*AT427</f>
        <v/>
      </c>
      <c r="AX427" s="119">
        <f>AR427*AU427</f>
        <v/>
      </c>
    </row>
    <row r="428">
      <c r="A428" s="32" t="n">
        <v>418</v>
      </c>
      <c r="B428" s="33" t="n"/>
      <c r="C428" s="33" t="n"/>
      <c r="D428" s="33" t="n"/>
      <c r="E428" s="33" t="inlineStr">
        <is>
          <t>-</t>
        </is>
      </c>
      <c r="F428" s="54">
        <f>IFERROR((VLOOKUP(E428,$AE$11:$AG$14,3,0)),"-")</f>
        <v/>
      </c>
      <c r="G428" s="33" t="n"/>
      <c r="H428" s="33" t="n"/>
      <c r="I428" s="46" t="n"/>
      <c r="J428" s="35" t="n"/>
      <c r="K428" s="35" t="n"/>
      <c r="L428" s="36">
        <f>IF($H$4="-",0,IF($H$4="VAREJO",AW428,IF($H$4="ATACADO",AX428,0)))</f>
        <v/>
      </c>
      <c r="M428" s="33" t="n"/>
      <c r="AN428" s="47" t="n">
        <v>418</v>
      </c>
      <c r="AO428" s="117">
        <f>I428+(I428*J428)+(I428*K428)</f>
        <v/>
      </c>
      <c r="AP428" s="43">
        <f>IFERROR(VLOOKUP(E428,$AE$11:$AK$14,4,0),0)</f>
        <v/>
      </c>
      <c r="AQ428" s="117">
        <f>(I428+(I428*J428)+(I428*K428))*AP428</f>
        <v/>
      </c>
      <c r="AR428" s="118">
        <f>AO428+AQ428</f>
        <v/>
      </c>
      <c r="AT428" s="39">
        <f>IFERROR((VLOOKUP(E428,$AE$11:$AJ$14,5,0)),0)</f>
        <v/>
      </c>
      <c r="AU428" s="39">
        <f>IFERROR((VLOOKUP(E428,$AE$11:$AJ$14,6,0)),0)</f>
        <v/>
      </c>
      <c r="AW428" s="119">
        <f>AR428*AT428</f>
        <v/>
      </c>
      <c r="AX428" s="119">
        <f>AR428*AU428</f>
        <v/>
      </c>
    </row>
    <row r="429">
      <c r="A429" s="32" t="n">
        <v>419</v>
      </c>
      <c r="B429" s="33" t="n"/>
      <c r="C429" s="33" t="n"/>
      <c r="D429" s="33" t="n"/>
      <c r="E429" s="33" t="inlineStr">
        <is>
          <t>-</t>
        </is>
      </c>
      <c r="F429" s="54">
        <f>IFERROR((VLOOKUP(E429,$AE$11:$AG$14,3,0)),"-")</f>
        <v/>
      </c>
      <c r="G429" s="33" t="n"/>
      <c r="H429" s="33" t="n"/>
      <c r="I429" s="46" t="n"/>
      <c r="J429" s="35" t="n"/>
      <c r="K429" s="35" t="n"/>
      <c r="L429" s="36">
        <f>IF($H$4="-",0,IF($H$4="VAREJO",AW429,IF($H$4="ATACADO",AX429,0)))</f>
        <v/>
      </c>
      <c r="M429" s="33" t="n"/>
      <c r="AN429" s="47" t="n">
        <v>419</v>
      </c>
      <c r="AO429" s="117">
        <f>I429+(I429*J429)+(I429*K429)</f>
        <v/>
      </c>
      <c r="AP429" s="43">
        <f>IFERROR(VLOOKUP(E429,$AE$11:$AK$14,4,0),0)</f>
        <v/>
      </c>
      <c r="AQ429" s="117">
        <f>(I429+(I429*J429)+(I429*K429))*AP429</f>
        <v/>
      </c>
      <c r="AR429" s="118">
        <f>AO429+AQ429</f>
        <v/>
      </c>
      <c r="AT429" s="39">
        <f>IFERROR((VLOOKUP(E429,$AE$11:$AJ$14,5,0)),0)</f>
        <v/>
      </c>
      <c r="AU429" s="39">
        <f>IFERROR((VLOOKUP(E429,$AE$11:$AJ$14,6,0)),0)</f>
        <v/>
      </c>
      <c r="AW429" s="119">
        <f>AR429*AT429</f>
        <v/>
      </c>
      <c r="AX429" s="119">
        <f>AR429*AU429</f>
        <v/>
      </c>
    </row>
    <row r="430">
      <c r="A430" s="32" t="n">
        <v>420</v>
      </c>
      <c r="B430" s="33" t="n"/>
      <c r="C430" s="33" t="n"/>
      <c r="D430" s="33" t="n"/>
      <c r="E430" s="33" t="inlineStr">
        <is>
          <t>-</t>
        </is>
      </c>
      <c r="F430" s="54">
        <f>IFERROR((VLOOKUP(E430,$AE$11:$AG$14,3,0)),"-")</f>
        <v/>
      </c>
      <c r="G430" s="33" t="n"/>
      <c r="H430" s="33" t="n"/>
      <c r="I430" s="46" t="n"/>
      <c r="J430" s="35" t="n"/>
      <c r="K430" s="35" t="n"/>
      <c r="L430" s="36">
        <f>IF($H$4="-",0,IF($H$4="VAREJO",AW430,IF($H$4="ATACADO",AX430,0)))</f>
        <v/>
      </c>
      <c r="M430" s="33" t="n"/>
      <c r="AN430" s="47" t="n">
        <v>420</v>
      </c>
      <c r="AO430" s="117">
        <f>I430+(I430*J430)+(I430*K430)</f>
        <v/>
      </c>
      <c r="AP430" s="43">
        <f>IFERROR(VLOOKUP(E430,$AE$11:$AK$14,4,0),0)</f>
        <v/>
      </c>
      <c r="AQ430" s="117">
        <f>(I430+(I430*J430)+(I430*K430))*AP430</f>
        <v/>
      </c>
      <c r="AR430" s="118">
        <f>AO430+AQ430</f>
        <v/>
      </c>
      <c r="AT430" s="39">
        <f>IFERROR((VLOOKUP(E430,$AE$11:$AJ$14,5,0)),0)</f>
        <v/>
      </c>
      <c r="AU430" s="39">
        <f>IFERROR((VLOOKUP(E430,$AE$11:$AJ$14,6,0)),0)</f>
        <v/>
      </c>
      <c r="AW430" s="119">
        <f>AR430*AT430</f>
        <v/>
      </c>
      <c r="AX430" s="119">
        <f>AR430*AU430</f>
        <v/>
      </c>
    </row>
    <row r="431">
      <c r="A431" s="32" t="n">
        <v>421</v>
      </c>
      <c r="B431" s="33" t="n"/>
      <c r="C431" s="33" t="n"/>
      <c r="D431" s="33" t="n"/>
      <c r="E431" s="33" t="inlineStr">
        <is>
          <t>-</t>
        </is>
      </c>
      <c r="F431" s="54">
        <f>IFERROR((VLOOKUP(E431,$AE$11:$AG$14,3,0)),"-")</f>
        <v/>
      </c>
      <c r="G431" s="33" t="n"/>
      <c r="H431" s="33" t="n"/>
      <c r="I431" s="46" t="n"/>
      <c r="J431" s="35" t="n"/>
      <c r="K431" s="35" t="n"/>
      <c r="L431" s="36">
        <f>IF($H$4="-",0,IF($H$4="VAREJO",AW431,IF($H$4="ATACADO",AX431,0)))</f>
        <v/>
      </c>
      <c r="M431" s="33" t="n"/>
      <c r="AN431" s="47" t="n">
        <v>421</v>
      </c>
      <c r="AO431" s="117">
        <f>I431+(I431*J431)+(I431*K431)</f>
        <v/>
      </c>
      <c r="AP431" s="43">
        <f>IFERROR(VLOOKUP(E431,$AE$11:$AK$14,4,0),0)</f>
        <v/>
      </c>
      <c r="AQ431" s="117">
        <f>(I431+(I431*J431)+(I431*K431))*AP431</f>
        <v/>
      </c>
      <c r="AR431" s="118">
        <f>AO431+AQ431</f>
        <v/>
      </c>
      <c r="AT431" s="39">
        <f>IFERROR((VLOOKUP(E431,$AE$11:$AJ$14,5,0)),0)</f>
        <v/>
      </c>
      <c r="AU431" s="39">
        <f>IFERROR((VLOOKUP(E431,$AE$11:$AJ$14,6,0)),0)</f>
        <v/>
      </c>
      <c r="AW431" s="119">
        <f>AR431*AT431</f>
        <v/>
      </c>
      <c r="AX431" s="119">
        <f>AR431*AU431</f>
        <v/>
      </c>
    </row>
    <row r="432">
      <c r="A432" s="32" t="n">
        <v>422</v>
      </c>
      <c r="B432" s="33" t="n"/>
      <c r="C432" s="33" t="n"/>
      <c r="D432" s="33" t="n"/>
      <c r="E432" s="33" t="inlineStr">
        <is>
          <t>-</t>
        </is>
      </c>
      <c r="F432" s="54">
        <f>IFERROR((VLOOKUP(E432,$AE$11:$AG$14,3,0)),"-")</f>
        <v/>
      </c>
      <c r="G432" s="33" t="n"/>
      <c r="H432" s="33" t="n"/>
      <c r="I432" s="46" t="n"/>
      <c r="J432" s="35" t="n"/>
      <c r="K432" s="35" t="n"/>
      <c r="L432" s="36">
        <f>IF($H$4="-",0,IF($H$4="VAREJO",AW432,IF($H$4="ATACADO",AX432,0)))</f>
        <v/>
      </c>
      <c r="M432" s="33" t="n"/>
      <c r="AN432" s="47" t="n">
        <v>422</v>
      </c>
      <c r="AO432" s="117">
        <f>I432+(I432*J432)+(I432*K432)</f>
        <v/>
      </c>
      <c r="AP432" s="43">
        <f>IFERROR(VLOOKUP(E432,$AE$11:$AK$14,4,0),0)</f>
        <v/>
      </c>
      <c r="AQ432" s="117">
        <f>(I432+(I432*J432)+(I432*K432))*AP432</f>
        <v/>
      </c>
      <c r="AR432" s="118">
        <f>AO432+AQ432</f>
        <v/>
      </c>
      <c r="AT432" s="39">
        <f>IFERROR((VLOOKUP(E432,$AE$11:$AJ$14,5,0)),0)</f>
        <v/>
      </c>
      <c r="AU432" s="39">
        <f>IFERROR((VLOOKUP(E432,$AE$11:$AJ$14,6,0)),0)</f>
        <v/>
      </c>
      <c r="AW432" s="119">
        <f>AR432*AT432</f>
        <v/>
      </c>
      <c r="AX432" s="119">
        <f>AR432*AU432</f>
        <v/>
      </c>
    </row>
    <row r="433">
      <c r="A433" s="32" t="n">
        <v>423</v>
      </c>
      <c r="B433" s="33" t="n"/>
      <c r="C433" s="33" t="n"/>
      <c r="D433" s="33" t="n"/>
      <c r="E433" s="33" t="inlineStr">
        <is>
          <t>-</t>
        </is>
      </c>
      <c r="F433" s="54">
        <f>IFERROR((VLOOKUP(E433,$AE$11:$AG$14,3,0)),"-")</f>
        <v/>
      </c>
      <c r="G433" s="33" t="n"/>
      <c r="H433" s="33" t="n"/>
      <c r="I433" s="46" t="n"/>
      <c r="J433" s="35" t="n"/>
      <c r="K433" s="35" t="n"/>
      <c r="L433" s="36">
        <f>IF($H$4="-",0,IF($H$4="VAREJO",AW433,IF($H$4="ATACADO",AX433,0)))</f>
        <v/>
      </c>
      <c r="M433" s="33" t="n"/>
      <c r="AN433" s="47" t="n">
        <v>423</v>
      </c>
      <c r="AO433" s="117">
        <f>I433+(I433*J433)+(I433*K433)</f>
        <v/>
      </c>
      <c r="AP433" s="43">
        <f>IFERROR(VLOOKUP(E433,$AE$11:$AK$14,4,0),0)</f>
        <v/>
      </c>
      <c r="AQ433" s="117">
        <f>(I433+(I433*J433)+(I433*K433))*AP433</f>
        <v/>
      </c>
      <c r="AR433" s="118">
        <f>AO433+AQ433</f>
        <v/>
      </c>
      <c r="AT433" s="39">
        <f>IFERROR((VLOOKUP(E433,$AE$11:$AJ$14,5,0)),0)</f>
        <v/>
      </c>
      <c r="AU433" s="39">
        <f>IFERROR((VLOOKUP(E433,$AE$11:$AJ$14,6,0)),0)</f>
        <v/>
      </c>
      <c r="AW433" s="119">
        <f>AR433*AT433</f>
        <v/>
      </c>
      <c r="AX433" s="119">
        <f>AR433*AU433</f>
        <v/>
      </c>
    </row>
    <row r="434">
      <c r="A434" s="32" t="n">
        <v>424</v>
      </c>
      <c r="B434" s="33" t="n"/>
      <c r="C434" s="33" t="n"/>
      <c r="D434" s="33" t="n"/>
      <c r="E434" s="33" t="inlineStr">
        <is>
          <t>-</t>
        </is>
      </c>
      <c r="F434" s="54">
        <f>IFERROR((VLOOKUP(E434,$AE$11:$AG$14,3,0)),"-")</f>
        <v/>
      </c>
      <c r="G434" s="33" t="n"/>
      <c r="H434" s="33" t="n"/>
      <c r="I434" s="46" t="n"/>
      <c r="J434" s="35" t="n"/>
      <c r="K434" s="35" t="n"/>
      <c r="L434" s="36">
        <f>IF($H$4="-",0,IF($H$4="VAREJO",AW434,IF($H$4="ATACADO",AX434,0)))</f>
        <v/>
      </c>
      <c r="M434" s="33" t="n"/>
      <c r="AN434" s="47" t="n">
        <v>424</v>
      </c>
      <c r="AO434" s="117">
        <f>I434+(I434*J434)+(I434*K434)</f>
        <v/>
      </c>
      <c r="AP434" s="43">
        <f>IFERROR(VLOOKUP(E434,$AE$11:$AK$14,4,0),0)</f>
        <v/>
      </c>
      <c r="AQ434" s="117">
        <f>(I434+(I434*J434)+(I434*K434))*AP434</f>
        <v/>
      </c>
      <c r="AR434" s="118">
        <f>AO434+AQ434</f>
        <v/>
      </c>
      <c r="AT434" s="39">
        <f>IFERROR((VLOOKUP(E434,$AE$11:$AJ$14,5,0)),0)</f>
        <v/>
      </c>
      <c r="AU434" s="39">
        <f>IFERROR((VLOOKUP(E434,$AE$11:$AJ$14,6,0)),0)</f>
        <v/>
      </c>
      <c r="AW434" s="119">
        <f>AR434*AT434</f>
        <v/>
      </c>
      <c r="AX434" s="119">
        <f>AR434*AU434</f>
        <v/>
      </c>
    </row>
    <row r="435">
      <c r="A435" s="32" t="n">
        <v>425</v>
      </c>
      <c r="B435" s="33" t="n"/>
      <c r="C435" s="33" t="n"/>
      <c r="D435" s="33" t="n"/>
      <c r="E435" s="33" t="inlineStr">
        <is>
          <t>-</t>
        </is>
      </c>
      <c r="F435" s="54">
        <f>IFERROR((VLOOKUP(E435,$AE$11:$AG$14,3,0)),"-")</f>
        <v/>
      </c>
      <c r="G435" s="33" t="n"/>
      <c r="H435" s="33" t="n"/>
      <c r="I435" s="46" t="n"/>
      <c r="J435" s="35" t="n"/>
      <c r="K435" s="35" t="n"/>
      <c r="L435" s="36">
        <f>IF($H$4="-",0,IF($H$4="VAREJO",AW435,IF($H$4="ATACADO",AX435,0)))</f>
        <v/>
      </c>
      <c r="M435" s="33" t="n"/>
      <c r="AN435" s="47" t="n">
        <v>425</v>
      </c>
      <c r="AO435" s="117">
        <f>I435+(I435*J435)+(I435*K435)</f>
        <v/>
      </c>
      <c r="AP435" s="43">
        <f>IFERROR(VLOOKUP(E435,$AE$11:$AK$14,4,0),0)</f>
        <v/>
      </c>
      <c r="AQ435" s="117">
        <f>(I435+(I435*J435)+(I435*K435))*AP435</f>
        <v/>
      </c>
      <c r="AR435" s="118">
        <f>AO435+AQ435</f>
        <v/>
      </c>
      <c r="AT435" s="39">
        <f>IFERROR((VLOOKUP(E435,$AE$11:$AJ$14,5,0)),0)</f>
        <v/>
      </c>
      <c r="AU435" s="39">
        <f>IFERROR((VLOOKUP(E435,$AE$11:$AJ$14,6,0)),0)</f>
        <v/>
      </c>
      <c r="AW435" s="119">
        <f>AR435*AT435</f>
        <v/>
      </c>
      <c r="AX435" s="119">
        <f>AR435*AU435</f>
        <v/>
      </c>
    </row>
    <row r="436">
      <c r="A436" s="32" t="n">
        <v>426</v>
      </c>
      <c r="B436" s="33" t="n"/>
      <c r="C436" s="33" t="n"/>
      <c r="D436" s="33" t="n"/>
      <c r="E436" s="33" t="inlineStr">
        <is>
          <t>-</t>
        </is>
      </c>
      <c r="F436" s="54">
        <f>IFERROR((VLOOKUP(E436,$AE$11:$AG$14,3,0)),"-")</f>
        <v/>
      </c>
      <c r="G436" s="33" t="n"/>
      <c r="H436" s="33" t="n"/>
      <c r="I436" s="46" t="n"/>
      <c r="J436" s="35" t="n"/>
      <c r="K436" s="35" t="n"/>
      <c r="L436" s="36">
        <f>IF($H$4="-",0,IF($H$4="VAREJO",AW436,IF($H$4="ATACADO",AX436,0)))</f>
        <v/>
      </c>
      <c r="M436" s="33" t="n"/>
      <c r="AN436" s="47" t="n">
        <v>426</v>
      </c>
      <c r="AO436" s="117">
        <f>I436+(I436*J436)+(I436*K436)</f>
        <v/>
      </c>
      <c r="AP436" s="43">
        <f>IFERROR(VLOOKUP(E436,$AE$11:$AK$14,4,0),0)</f>
        <v/>
      </c>
      <c r="AQ436" s="117">
        <f>(I436+(I436*J436)+(I436*K436))*AP436</f>
        <v/>
      </c>
      <c r="AR436" s="118">
        <f>AO436+AQ436</f>
        <v/>
      </c>
      <c r="AT436" s="39">
        <f>IFERROR((VLOOKUP(E436,$AE$11:$AJ$14,5,0)),0)</f>
        <v/>
      </c>
      <c r="AU436" s="39">
        <f>IFERROR((VLOOKUP(E436,$AE$11:$AJ$14,6,0)),0)</f>
        <v/>
      </c>
      <c r="AW436" s="119">
        <f>AR436*AT436</f>
        <v/>
      </c>
      <c r="AX436" s="119">
        <f>AR436*AU436</f>
        <v/>
      </c>
    </row>
    <row r="437">
      <c r="A437" s="32" t="n">
        <v>427</v>
      </c>
      <c r="B437" s="33" t="n"/>
      <c r="C437" s="33" t="n"/>
      <c r="D437" s="33" t="n"/>
      <c r="E437" s="33" t="inlineStr">
        <is>
          <t>-</t>
        </is>
      </c>
      <c r="F437" s="54">
        <f>IFERROR((VLOOKUP(E437,$AE$11:$AG$14,3,0)),"-")</f>
        <v/>
      </c>
      <c r="G437" s="33" t="n"/>
      <c r="H437" s="33" t="n"/>
      <c r="I437" s="46" t="n"/>
      <c r="J437" s="35" t="n"/>
      <c r="K437" s="35" t="n"/>
      <c r="L437" s="36">
        <f>IF($H$4="-",0,IF($H$4="VAREJO",AW437,IF($H$4="ATACADO",AX437,0)))</f>
        <v/>
      </c>
      <c r="M437" s="33" t="n"/>
      <c r="AN437" s="47" t="n">
        <v>427</v>
      </c>
      <c r="AO437" s="117">
        <f>I437+(I437*J437)+(I437*K437)</f>
        <v/>
      </c>
      <c r="AP437" s="43">
        <f>IFERROR(VLOOKUP(E437,$AE$11:$AK$14,4,0),0)</f>
        <v/>
      </c>
      <c r="AQ437" s="117">
        <f>(I437+(I437*J437)+(I437*K437))*AP437</f>
        <v/>
      </c>
      <c r="AR437" s="118">
        <f>AO437+AQ437</f>
        <v/>
      </c>
      <c r="AT437" s="39">
        <f>IFERROR((VLOOKUP(E437,$AE$11:$AJ$14,5,0)),0)</f>
        <v/>
      </c>
      <c r="AU437" s="39">
        <f>IFERROR((VLOOKUP(E437,$AE$11:$AJ$14,6,0)),0)</f>
        <v/>
      </c>
      <c r="AW437" s="119">
        <f>AR437*AT437</f>
        <v/>
      </c>
      <c r="AX437" s="119">
        <f>AR437*AU437</f>
        <v/>
      </c>
    </row>
    <row r="438">
      <c r="A438" s="32" t="n">
        <v>428</v>
      </c>
      <c r="B438" s="33" t="n"/>
      <c r="C438" s="33" t="n"/>
      <c r="D438" s="33" t="n"/>
      <c r="E438" s="33" t="inlineStr">
        <is>
          <t>-</t>
        </is>
      </c>
      <c r="F438" s="54">
        <f>IFERROR((VLOOKUP(E438,$AE$11:$AG$14,3,0)),"-")</f>
        <v/>
      </c>
      <c r="G438" s="33" t="n"/>
      <c r="H438" s="33" t="n"/>
      <c r="I438" s="46" t="n"/>
      <c r="J438" s="35" t="n"/>
      <c r="K438" s="35" t="n"/>
      <c r="L438" s="36">
        <f>IF($H$4="-",0,IF($H$4="VAREJO",AW438,IF($H$4="ATACADO",AX438,0)))</f>
        <v/>
      </c>
      <c r="M438" s="33" t="n"/>
      <c r="AN438" s="47" t="n">
        <v>428</v>
      </c>
      <c r="AO438" s="117">
        <f>I438+(I438*J438)+(I438*K438)</f>
        <v/>
      </c>
      <c r="AP438" s="43">
        <f>IFERROR(VLOOKUP(E438,$AE$11:$AK$14,4,0),0)</f>
        <v/>
      </c>
      <c r="AQ438" s="117">
        <f>(I438+(I438*J438)+(I438*K438))*AP438</f>
        <v/>
      </c>
      <c r="AR438" s="118">
        <f>AO438+AQ438</f>
        <v/>
      </c>
      <c r="AT438" s="39">
        <f>IFERROR((VLOOKUP(E438,$AE$11:$AJ$14,5,0)),0)</f>
        <v/>
      </c>
      <c r="AU438" s="39">
        <f>IFERROR((VLOOKUP(E438,$AE$11:$AJ$14,6,0)),0)</f>
        <v/>
      </c>
      <c r="AW438" s="119">
        <f>AR438*AT438</f>
        <v/>
      </c>
      <c r="AX438" s="119">
        <f>AR438*AU438</f>
        <v/>
      </c>
    </row>
    <row r="439">
      <c r="A439" s="32" t="n">
        <v>429</v>
      </c>
      <c r="B439" s="33" t="n"/>
      <c r="C439" s="33" t="n"/>
      <c r="D439" s="33" t="n"/>
      <c r="E439" s="33" t="inlineStr">
        <is>
          <t>-</t>
        </is>
      </c>
      <c r="F439" s="54">
        <f>IFERROR((VLOOKUP(E439,$AE$11:$AG$14,3,0)),"-")</f>
        <v/>
      </c>
      <c r="G439" s="33" t="n"/>
      <c r="H439" s="33" t="n"/>
      <c r="I439" s="46" t="n"/>
      <c r="J439" s="35" t="n"/>
      <c r="K439" s="35" t="n"/>
      <c r="L439" s="36">
        <f>IF($H$4="-",0,IF($H$4="VAREJO",AW439,IF($H$4="ATACADO",AX439,0)))</f>
        <v/>
      </c>
      <c r="M439" s="33" t="n"/>
      <c r="AN439" s="47" t="n">
        <v>429</v>
      </c>
      <c r="AO439" s="117">
        <f>I439+(I439*J439)+(I439*K439)</f>
        <v/>
      </c>
      <c r="AP439" s="43">
        <f>IFERROR(VLOOKUP(E439,$AE$11:$AK$14,4,0),0)</f>
        <v/>
      </c>
      <c r="AQ439" s="117">
        <f>(I439+(I439*J439)+(I439*K439))*AP439</f>
        <v/>
      </c>
      <c r="AR439" s="118">
        <f>AO439+AQ439</f>
        <v/>
      </c>
      <c r="AT439" s="39">
        <f>IFERROR((VLOOKUP(E439,$AE$11:$AJ$14,5,0)),0)</f>
        <v/>
      </c>
      <c r="AU439" s="39">
        <f>IFERROR((VLOOKUP(E439,$AE$11:$AJ$14,6,0)),0)</f>
        <v/>
      </c>
      <c r="AW439" s="119">
        <f>AR439*AT439</f>
        <v/>
      </c>
      <c r="AX439" s="119">
        <f>AR439*AU439</f>
        <v/>
      </c>
    </row>
    <row r="440">
      <c r="A440" s="32" t="n">
        <v>430</v>
      </c>
      <c r="B440" s="33" t="n"/>
      <c r="C440" s="33" t="n"/>
      <c r="D440" s="33" t="n"/>
      <c r="E440" s="33" t="inlineStr">
        <is>
          <t>-</t>
        </is>
      </c>
      <c r="F440" s="54">
        <f>IFERROR((VLOOKUP(E440,$AE$11:$AG$14,3,0)),"-")</f>
        <v/>
      </c>
      <c r="G440" s="33" t="n"/>
      <c r="H440" s="33" t="n"/>
      <c r="I440" s="46" t="n"/>
      <c r="J440" s="35" t="n"/>
      <c r="K440" s="35" t="n"/>
      <c r="L440" s="36">
        <f>IF($H$4="-",0,IF($H$4="VAREJO",AW440,IF($H$4="ATACADO",AX440,0)))</f>
        <v/>
      </c>
      <c r="M440" s="33" t="n"/>
      <c r="AN440" s="47" t="n">
        <v>430</v>
      </c>
      <c r="AO440" s="117">
        <f>I440+(I440*J440)+(I440*K440)</f>
        <v/>
      </c>
      <c r="AP440" s="43">
        <f>IFERROR(VLOOKUP(E440,$AE$11:$AK$14,4,0),0)</f>
        <v/>
      </c>
      <c r="AQ440" s="117">
        <f>(I440+(I440*J440)+(I440*K440))*AP440</f>
        <v/>
      </c>
      <c r="AR440" s="118">
        <f>AO440+AQ440</f>
        <v/>
      </c>
      <c r="AT440" s="39">
        <f>IFERROR((VLOOKUP(E440,$AE$11:$AJ$14,5,0)),0)</f>
        <v/>
      </c>
      <c r="AU440" s="39">
        <f>IFERROR((VLOOKUP(E440,$AE$11:$AJ$14,6,0)),0)</f>
        <v/>
      </c>
      <c r="AW440" s="119">
        <f>AR440*AT440</f>
        <v/>
      </c>
      <c r="AX440" s="119">
        <f>AR440*AU440</f>
        <v/>
      </c>
    </row>
    <row r="441">
      <c r="A441" s="32" t="n">
        <v>431</v>
      </c>
      <c r="B441" s="33" t="n"/>
      <c r="C441" s="33" t="n"/>
      <c r="D441" s="33" t="n"/>
      <c r="E441" s="33" t="inlineStr">
        <is>
          <t>-</t>
        </is>
      </c>
      <c r="F441" s="54">
        <f>IFERROR((VLOOKUP(E441,$AE$11:$AG$14,3,0)),"-")</f>
        <v/>
      </c>
      <c r="G441" s="33" t="n"/>
      <c r="H441" s="33" t="n"/>
      <c r="I441" s="46" t="n"/>
      <c r="J441" s="35" t="n"/>
      <c r="K441" s="35" t="n"/>
      <c r="L441" s="36">
        <f>IF($H$4="-",0,IF($H$4="VAREJO",AW441,IF($H$4="ATACADO",AX441,0)))</f>
        <v/>
      </c>
      <c r="M441" s="33" t="n"/>
      <c r="AN441" s="47" t="n">
        <v>431</v>
      </c>
      <c r="AO441" s="117">
        <f>I441+(I441*J441)+(I441*K441)</f>
        <v/>
      </c>
      <c r="AP441" s="43">
        <f>IFERROR(VLOOKUP(E441,$AE$11:$AK$14,4,0),0)</f>
        <v/>
      </c>
      <c r="AQ441" s="117">
        <f>(I441+(I441*J441)+(I441*K441))*AP441</f>
        <v/>
      </c>
      <c r="AR441" s="118">
        <f>AO441+AQ441</f>
        <v/>
      </c>
      <c r="AT441" s="39">
        <f>IFERROR((VLOOKUP(E441,$AE$11:$AJ$14,5,0)),0)</f>
        <v/>
      </c>
      <c r="AU441" s="39">
        <f>IFERROR((VLOOKUP(E441,$AE$11:$AJ$14,6,0)),0)</f>
        <v/>
      </c>
      <c r="AW441" s="119">
        <f>AR441*AT441</f>
        <v/>
      </c>
      <c r="AX441" s="119">
        <f>AR441*AU441</f>
        <v/>
      </c>
    </row>
    <row r="442">
      <c r="A442" s="32" t="n">
        <v>432</v>
      </c>
      <c r="B442" s="33" t="n"/>
      <c r="C442" s="33" t="n"/>
      <c r="D442" s="33" t="n"/>
      <c r="E442" s="33" t="inlineStr">
        <is>
          <t>-</t>
        </is>
      </c>
      <c r="F442" s="54">
        <f>IFERROR((VLOOKUP(E442,$AE$11:$AG$14,3,0)),"-")</f>
        <v/>
      </c>
      <c r="G442" s="33" t="n"/>
      <c r="H442" s="33" t="n"/>
      <c r="I442" s="46" t="n"/>
      <c r="J442" s="35" t="n"/>
      <c r="K442" s="35" t="n"/>
      <c r="L442" s="36">
        <f>IF($H$4="-",0,IF($H$4="VAREJO",AW442,IF($H$4="ATACADO",AX442,0)))</f>
        <v/>
      </c>
      <c r="M442" s="33" t="n"/>
      <c r="AN442" s="47" t="n">
        <v>432</v>
      </c>
      <c r="AO442" s="117">
        <f>I442+(I442*J442)+(I442*K442)</f>
        <v/>
      </c>
      <c r="AP442" s="43">
        <f>IFERROR(VLOOKUP(E442,$AE$11:$AK$14,4,0),0)</f>
        <v/>
      </c>
      <c r="AQ442" s="117">
        <f>(I442+(I442*J442)+(I442*K442))*AP442</f>
        <v/>
      </c>
      <c r="AR442" s="118">
        <f>AO442+AQ442</f>
        <v/>
      </c>
      <c r="AT442" s="39">
        <f>IFERROR((VLOOKUP(E442,$AE$11:$AJ$14,5,0)),0)</f>
        <v/>
      </c>
      <c r="AU442" s="39">
        <f>IFERROR((VLOOKUP(E442,$AE$11:$AJ$14,6,0)),0)</f>
        <v/>
      </c>
      <c r="AW442" s="119">
        <f>AR442*AT442</f>
        <v/>
      </c>
      <c r="AX442" s="119">
        <f>AR442*AU442</f>
        <v/>
      </c>
    </row>
    <row r="443">
      <c r="A443" s="32" t="n">
        <v>433</v>
      </c>
      <c r="B443" s="33" t="n"/>
      <c r="C443" s="33" t="n"/>
      <c r="D443" s="33" t="n"/>
      <c r="E443" s="33" t="inlineStr">
        <is>
          <t>-</t>
        </is>
      </c>
      <c r="F443" s="54">
        <f>IFERROR((VLOOKUP(E443,$AE$11:$AG$14,3,0)),"-")</f>
        <v/>
      </c>
      <c r="G443" s="33" t="n"/>
      <c r="H443" s="33" t="n"/>
      <c r="I443" s="46" t="n"/>
      <c r="J443" s="35" t="n"/>
      <c r="K443" s="35" t="n"/>
      <c r="L443" s="36">
        <f>IF($H$4="-",0,IF($H$4="VAREJO",AW443,IF($H$4="ATACADO",AX443,0)))</f>
        <v/>
      </c>
      <c r="M443" s="33" t="n"/>
      <c r="AN443" s="47" t="n">
        <v>433</v>
      </c>
      <c r="AO443" s="117">
        <f>I443+(I443*J443)+(I443*K443)</f>
        <v/>
      </c>
      <c r="AP443" s="43">
        <f>IFERROR(VLOOKUP(E443,$AE$11:$AK$14,4,0),0)</f>
        <v/>
      </c>
      <c r="AQ443" s="117">
        <f>(I443+(I443*J443)+(I443*K443))*AP443</f>
        <v/>
      </c>
      <c r="AR443" s="118">
        <f>AO443+AQ443</f>
        <v/>
      </c>
      <c r="AT443" s="39">
        <f>IFERROR((VLOOKUP(E443,$AE$11:$AJ$14,5,0)),0)</f>
        <v/>
      </c>
      <c r="AU443" s="39">
        <f>IFERROR((VLOOKUP(E443,$AE$11:$AJ$14,6,0)),0)</f>
        <v/>
      </c>
      <c r="AW443" s="119">
        <f>AR443*AT443</f>
        <v/>
      </c>
      <c r="AX443" s="119">
        <f>AR443*AU443</f>
        <v/>
      </c>
    </row>
    <row r="444">
      <c r="A444" s="32" t="n">
        <v>434</v>
      </c>
      <c r="B444" s="33" t="n"/>
      <c r="C444" s="33" t="n"/>
      <c r="D444" s="33" t="n"/>
      <c r="E444" s="33" t="inlineStr">
        <is>
          <t>-</t>
        </is>
      </c>
      <c r="F444" s="54">
        <f>IFERROR((VLOOKUP(E444,$AE$11:$AG$14,3,0)),"-")</f>
        <v/>
      </c>
      <c r="G444" s="33" t="n"/>
      <c r="H444" s="33" t="n"/>
      <c r="I444" s="46" t="n"/>
      <c r="J444" s="35" t="n"/>
      <c r="K444" s="35" t="n"/>
      <c r="L444" s="36">
        <f>IF($H$4="-",0,IF($H$4="VAREJO",AW444,IF($H$4="ATACADO",AX444,0)))</f>
        <v/>
      </c>
      <c r="M444" s="33" t="n"/>
      <c r="AN444" s="47" t="n">
        <v>434</v>
      </c>
      <c r="AO444" s="117">
        <f>I444+(I444*J444)+(I444*K444)</f>
        <v/>
      </c>
      <c r="AP444" s="43">
        <f>IFERROR(VLOOKUP(E444,$AE$11:$AK$14,4,0),0)</f>
        <v/>
      </c>
      <c r="AQ444" s="117">
        <f>(I444+(I444*J444)+(I444*K444))*AP444</f>
        <v/>
      </c>
      <c r="AR444" s="118">
        <f>AO444+AQ444</f>
        <v/>
      </c>
      <c r="AT444" s="39">
        <f>IFERROR((VLOOKUP(E444,$AE$11:$AJ$14,5,0)),0)</f>
        <v/>
      </c>
      <c r="AU444" s="39">
        <f>IFERROR((VLOOKUP(E444,$AE$11:$AJ$14,6,0)),0)</f>
        <v/>
      </c>
      <c r="AW444" s="119">
        <f>AR444*AT444</f>
        <v/>
      </c>
      <c r="AX444" s="119">
        <f>AR444*AU444</f>
        <v/>
      </c>
    </row>
    <row r="445">
      <c r="A445" s="32" t="n">
        <v>435</v>
      </c>
      <c r="B445" s="33" t="n"/>
      <c r="C445" s="33" t="n"/>
      <c r="D445" s="33" t="n"/>
      <c r="E445" s="33" t="inlineStr">
        <is>
          <t>-</t>
        </is>
      </c>
      <c r="F445" s="54">
        <f>IFERROR((VLOOKUP(E445,$AE$11:$AG$14,3,0)),"-")</f>
        <v/>
      </c>
      <c r="G445" s="33" t="n"/>
      <c r="H445" s="33" t="n"/>
      <c r="I445" s="46" t="n"/>
      <c r="J445" s="35" t="n"/>
      <c r="K445" s="35" t="n"/>
      <c r="L445" s="36">
        <f>IF($H$4="-",0,IF($H$4="VAREJO",AW445,IF($H$4="ATACADO",AX445,0)))</f>
        <v/>
      </c>
      <c r="M445" s="33" t="n"/>
      <c r="AN445" s="47" t="n">
        <v>435</v>
      </c>
      <c r="AO445" s="117">
        <f>I445+(I445*J445)+(I445*K445)</f>
        <v/>
      </c>
      <c r="AP445" s="43">
        <f>IFERROR(VLOOKUP(E445,$AE$11:$AK$14,4,0),0)</f>
        <v/>
      </c>
      <c r="AQ445" s="117">
        <f>(I445+(I445*J445)+(I445*K445))*AP445</f>
        <v/>
      </c>
      <c r="AR445" s="118">
        <f>AO445+AQ445</f>
        <v/>
      </c>
      <c r="AT445" s="39">
        <f>IFERROR((VLOOKUP(E445,$AE$11:$AJ$14,5,0)),0)</f>
        <v/>
      </c>
      <c r="AU445" s="39">
        <f>IFERROR((VLOOKUP(E445,$AE$11:$AJ$14,6,0)),0)</f>
        <v/>
      </c>
      <c r="AW445" s="119">
        <f>AR445*AT445</f>
        <v/>
      </c>
      <c r="AX445" s="119">
        <f>AR445*AU445</f>
        <v/>
      </c>
    </row>
    <row r="446">
      <c r="A446" s="32" t="n">
        <v>436</v>
      </c>
      <c r="B446" s="33" t="n"/>
      <c r="C446" s="33" t="n"/>
      <c r="D446" s="33" t="n"/>
      <c r="E446" s="33" t="inlineStr">
        <is>
          <t>-</t>
        </is>
      </c>
      <c r="F446" s="54">
        <f>IFERROR((VLOOKUP(E446,$AE$11:$AG$14,3,0)),"-")</f>
        <v/>
      </c>
      <c r="G446" s="33" t="n"/>
      <c r="H446" s="33" t="n"/>
      <c r="I446" s="46" t="n"/>
      <c r="J446" s="35" t="n"/>
      <c r="K446" s="35" t="n"/>
      <c r="L446" s="36">
        <f>IF($H$4="-",0,IF($H$4="VAREJO",AW446,IF($H$4="ATACADO",AX446,0)))</f>
        <v/>
      </c>
      <c r="M446" s="33" t="n"/>
      <c r="AN446" s="47" t="n">
        <v>436</v>
      </c>
      <c r="AO446" s="117">
        <f>I446+(I446*J446)+(I446*K446)</f>
        <v/>
      </c>
      <c r="AP446" s="43">
        <f>IFERROR(VLOOKUP(E446,$AE$11:$AK$14,4,0),0)</f>
        <v/>
      </c>
      <c r="AQ446" s="117">
        <f>(I446+(I446*J446)+(I446*K446))*AP446</f>
        <v/>
      </c>
      <c r="AR446" s="118">
        <f>AO446+AQ446</f>
        <v/>
      </c>
      <c r="AT446" s="39">
        <f>IFERROR((VLOOKUP(E446,$AE$11:$AJ$14,5,0)),0)</f>
        <v/>
      </c>
      <c r="AU446" s="39">
        <f>IFERROR((VLOOKUP(E446,$AE$11:$AJ$14,6,0)),0)</f>
        <v/>
      </c>
      <c r="AW446" s="119">
        <f>AR446*AT446</f>
        <v/>
      </c>
      <c r="AX446" s="119">
        <f>AR446*AU446</f>
        <v/>
      </c>
    </row>
    <row r="447">
      <c r="A447" s="32" t="n">
        <v>437</v>
      </c>
      <c r="B447" s="33" t="n"/>
      <c r="C447" s="33" t="n"/>
      <c r="D447" s="33" t="n"/>
      <c r="E447" s="33" t="inlineStr">
        <is>
          <t>-</t>
        </is>
      </c>
      <c r="F447" s="54">
        <f>IFERROR((VLOOKUP(E447,$AE$11:$AG$14,3,0)),"-")</f>
        <v/>
      </c>
      <c r="G447" s="33" t="n"/>
      <c r="H447" s="33" t="n"/>
      <c r="I447" s="46" t="n"/>
      <c r="J447" s="35" t="n"/>
      <c r="K447" s="35" t="n"/>
      <c r="L447" s="36">
        <f>IF($H$4="-",0,IF($H$4="VAREJO",AW447,IF($H$4="ATACADO",AX447,0)))</f>
        <v/>
      </c>
      <c r="M447" s="33" t="n"/>
      <c r="AN447" s="47" t="n">
        <v>437</v>
      </c>
      <c r="AO447" s="117">
        <f>I447+(I447*J447)+(I447*K447)</f>
        <v/>
      </c>
      <c r="AP447" s="43">
        <f>IFERROR(VLOOKUP(E447,$AE$11:$AK$14,4,0),0)</f>
        <v/>
      </c>
      <c r="AQ447" s="117">
        <f>(I447+(I447*J447)+(I447*K447))*AP447</f>
        <v/>
      </c>
      <c r="AR447" s="118">
        <f>AO447+AQ447</f>
        <v/>
      </c>
      <c r="AT447" s="39">
        <f>IFERROR((VLOOKUP(E447,$AE$11:$AJ$14,5,0)),0)</f>
        <v/>
      </c>
      <c r="AU447" s="39">
        <f>IFERROR((VLOOKUP(E447,$AE$11:$AJ$14,6,0)),0)</f>
        <v/>
      </c>
      <c r="AW447" s="119">
        <f>AR447*AT447</f>
        <v/>
      </c>
      <c r="AX447" s="119">
        <f>AR447*AU447</f>
        <v/>
      </c>
    </row>
    <row r="448">
      <c r="A448" s="32" t="n">
        <v>438</v>
      </c>
      <c r="B448" s="33" t="n"/>
      <c r="C448" s="33" t="n"/>
      <c r="D448" s="33" t="n"/>
      <c r="E448" s="33" t="inlineStr">
        <is>
          <t>-</t>
        </is>
      </c>
      <c r="F448" s="54">
        <f>IFERROR((VLOOKUP(E448,$AE$11:$AG$14,3,0)),"-")</f>
        <v/>
      </c>
      <c r="G448" s="33" t="n"/>
      <c r="H448" s="33" t="n"/>
      <c r="I448" s="46" t="n"/>
      <c r="J448" s="35" t="n"/>
      <c r="K448" s="35" t="n"/>
      <c r="L448" s="36">
        <f>IF($H$4="-",0,IF($H$4="VAREJO",AW448,IF($H$4="ATACADO",AX448,0)))</f>
        <v/>
      </c>
      <c r="M448" s="33" t="n"/>
      <c r="AN448" s="47" t="n">
        <v>438</v>
      </c>
      <c r="AO448" s="117">
        <f>I448+(I448*J448)+(I448*K448)</f>
        <v/>
      </c>
      <c r="AP448" s="43">
        <f>IFERROR(VLOOKUP(E448,$AE$11:$AK$14,4,0),0)</f>
        <v/>
      </c>
      <c r="AQ448" s="117">
        <f>(I448+(I448*J448)+(I448*K448))*AP448</f>
        <v/>
      </c>
      <c r="AR448" s="118">
        <f>AO448+AQ448</f>
        <v/>
      </c>
      <c r="AT448" s="39">
        <f>IFERROR((VLOOKUP(E448,$AE$11:$AJ$14,5,0)),0)</f>
        <v/>
      </c>
      <c r="AU448" s="39">
        <f>IFERROR((VLOOKUP(E448,$AE$11:$AJ$14,6,0)),0)</f>
        <v/>
      </c>
      <c r="AW448" s="119">
        <f>AR448*AT448</f>
        <v/>
      </c>
      <c r="AX448" s="119">
        <f>AR448*AU448</f>
        <v/>
      </c>
    </row>
    <row r="449">
      <c r="A449" s="32" t="n">
        <v>439</v>
      </c>
      <c r="B449" s="33" t="n"/>
      <c r="C449" s="33" t="n"/>
      <c r="D449" s="33" t="n"/>
      <c r="E449" s="33" t="inlineStr">
        <is>
          <t>-</t>
        </is>
      </c>
      <c r="F449" s="54">
        <f>IFERROR((VLOOKUP(E449,$AE$11:$AG$14,3,0)),"-")</f>
        <v/>
      </c>
      <c r="G449" s="33" t="n"/>
      <c r="H449" s="33" t="n"/>
      <c r="I449" s="46" t="n"/>
      <c r="J449" s="35" t="n"/>
      <c r="K449" s="35" t="n"/>
      <c r="L449" s="36">
        <f>IF($H$4="-",0,IF($H$4="VAREJO",AW449,IF($H$4="ATACADO",AX449,0)))</f>
        <v/>
      </c>
      <c r="M449" s="33" t="n"/>
      <c r="AN449" s="47" t="n">
        <v>439</v>
      </c>
      <c r="AO449" s="117">
        <f>I449+(I449*J449)+(I449*K449)</f>
        <v/>
      </c>
      <c r="AP449" s="43">
        <f>IFERROR(VLOOKUP(E449,$AE$11:$AK$14,4,0),0)</f>
        <v/>
      </c>
      <c r="AQ449" s="117">
        <f>(I449+(I449*J449)+(I449*K449))*AP449</f>
        <v/>
      </c>
      <c r="AR449" s="118">
        <f>AO449+AQ449</f>
        <v/>
      </c>
      <c r="AT449" s="39">
        <f>IFERROR((VLOOKUP(E449,$AE$11:$AJ$14,5,0)),0)</f>
        <v/>
      </c>
      <c r="AU449" s="39">
        <f>IFERROR((VLOOKUP(E449,$AE$11:$AJ$14,6,0)),0)</f>
        <v/>
      </c>
      <c r="AW449" s="119">
        <f>AR449*AT449</f>
        <v/>
      </c>
      <c r="AX449" s="119">
        <f>AR449*AU449</f>
        <v/>
      </c>
    </row>
    <row r="450">
      <c r="A450" s="32" t="n">
        <v>440</v>
      </c>
      <c r="B450" s="33" t="n"/>
      <c r="C450" s="33" t="n"/>
      <c r="D450" s="33" t="n"/>
      <c r="E450" s="33" t="inlineStr">
        <is>
          <t>-</t>
        </is>
      </c>
      <c r="F450" s="54">
        <f>IFERROR((VLOOKUP(E450,$AE$11:$AG$14,3,0)),"-")</f>
        <v/>
      </c>
      <c r="G450" s="33" t="n"/>
      <c r="H450" s="33" t="n"/>
      <c r="I450" s="46" t="n"/>
      <c r="J450" s="35" t="n"/>
      <c r="K450" s="35" t="n"/>
      <c r="L450" s="36">
        <f>IF($H$4="-",0,IF($H$4="VAREJO",AW450,IF($H$4="ATACADO",AX450,0)))</f>
        <v/>
      </c>
      <c r="M450" s="33" t="n"/>
      <c r="AN450" s="47" t="n">
        <v>440</v>
      </c>
      <c r="AO450" s="117">
        <f>I450+(I450*J450)+(I450*K450)</f>
        <v/>
      </c>
      <c r="AP450" s="43">
        <f>IFERROR(VLOOKUP(E450,$AE$11:$AK$14,4,0),0)</f>
        <v/>
      </c>
      <c r="AQ450" s="117">
        <f>(I450+(I450*J450)+(I450*K450))*AP450</f>
        <v/>
      </c>
      <c r="AR450" s="118">
        <f>AO450+AQ450</f>
        <v/>
      </c>
      <c r="AT450" s="39">
        <f>IFERROR((VLOOKUP(E450,$AE$11:$AJ$14,5,0)),0)</f>
        <v/>
      </c>
      <c r="AU450" s="39">
        <f>IFERROR((VLOOKUP(E450,$AE$11:$AJ$14,6,0)),0)</f>
        <v/>
      </c>
      <c r="AW450" s="119">
        <f>AR450*AT450</f>
        <v/>
      </c>
      <c r="AX450" s="119">
        <f>AR450*AU450</f>
        <v/>
      </c>
    </row>
    <row r="451">
      <c r="A451" s="32" t="n">
        <v>441</v>
      </c>
      <c r="B451" s="33" t="n"/>
      <c r="C451" s="33" t="n"/>
      <c r="D451" s="33" t="n"/>
      <c r="E451" s="33" t="inlineStr">
        <is>
          <t>-</t>
        </is>
      </c>
      <c r="F451" s="54">
        <f>IFERROR((VLOOKUP(E451,$AE$11:$AG$14,3,0)),"-")</f>
        <v/>
      </c>
      <c r="G451" s="33" t="n"/>
      <c r="H451" s="33" t="n"/>
      <c r="I451" s="46" t="n"/>
      <c r="J451" s="35" t="n"/>
      <c r="K451" s="35" t="n"/>
      <c r="L451" s="36">
        <f>IF($H$4="-",0,IF($H$4="VAREJO",AW451,IF($H$4="ATACADO",AX451,0)))</f>
        <v/>
      </c>
      <c r="M451" s="33" t="n"/>
      <c r="AN451" s="47" t="n">
        <v>441</v>
      </c>
      <c r="AO451" s="117">
        <f>I451+(I451*J451)+(I451*K451)</f>
        <v/>
      </c>
      <c r="AP451" s="43">
        <f>IFERROR(VLOOKUP(E451,$AE$11:$AK$14,4,0),0)</f>
        <v/>
      </c>
      <c r="AQ451" s="117">
        <f>(I451+(I451*J451)+(I451*K451))*AP451</f>
        <v/>
      </c>
      <c r="AR451" s="118">
        <f>AO451+AQ451</f>
        <v/>
      </c>
      <c r="AT451" s="39">
        <f>IFERROR((VLOOKUP(E451,$AE$11:$AJ$14,5,0)),0)</f>
        <v/>
      </c>
      <c r="AU451" s="39">
        <f>IFERROR((VLOOKUP(E451,$AE$11:$AJ$14,6,0)),0)</f>
        <v/>
      </c>
      <c r="AW451" s="119">
        <f>AR451*AT451</f>
        <v/>
      </c>
      <c r="AX451" s="119">
        <f>AR451*AU451</f>
        <v/>
      </c>
    </row>
    <row r="452">
      <c r="A452" s="32" t="n">
        <v>442</v>
      </c>
      <c r="B452" s="33" t="n"/>
      <c r="C452" s="33" t="n"/>
      <c r="D452" s="33" t="n"/>
      <c r="E452" s="33" t="inlineStr">
        <is>
          <t>-</t>
        </is>
      </c>
      <c r="F452" s="54">
        <f>IFERROR((VLOOKUP(E452,$AE$11:$AG$14,3,0)),"-")</f>
        <v/>
      </c>
      <c r="G452" s="33" t="n"/>
      <c r="H452" s="33" t="n"/>
      <c r="I452" s="46" t="n"/>
      <c r="J452" s="35" t="n"/>
      <c r="K452" s="35" t="n"/>
      <c r="L452" s="36">
        <f>IF($H$4="-",0,IF($H$4="VAREJO",AW452,IF($H$4="ATACADO",AX452,0)))</f>
        <v/>
      </c>
      <c r="M452" s="33" t="n"/>
      <c r="AN452" s="47" t="n">
        <v>442</v>
      </c>
      <c r="AO452" s="117">
        <f>I452+(I452*J452)+(I452*K452)</f>
        <v/>
      </c>
      <c r="AP452" s="43">
        <f>IFERROR(VLOOKUP(E452,$AE$11:$AK$14,4,0),0)</f>
        <v/>
      </c>
      <c r="AQ452" s="117">
        <f>(I452+(I452*J452)+(I452*K452))*AP452</f>
        <v/>
      </c>
      <c r="AR452" s="118">
        <f>AO452+AQ452</f>
        <v/>
      </c>
      <c r="AT452" s="39">
        <f>IFERROR((VLOOKUP(E452,$AE$11:$AJ$14,5,0)),0)</f>
        <v/>
      </c>
      <c r="AU452" s="39">
        <f>IFERROR((VLOOKUP(E452,$AE$11:$AJ$14,6,0)),0)</f>
        <v/>
      </c>
      <c r="AW452" s="119">
        <f>AR452*AT452</f>
        <v/>
      </c>
      <c r="AX452" s="119">
        <f>AR452*AU452</f>
        <v/>
      </c>
    </row>
    <row r="453">
      <c r="A453" s="32" t="n">
        <v>443</v>
      </c>
      <c r="B453" s="33" t="n"/>
      <c r="C453" s="33" t="n"/>
      <c r="D453" s="33" t="n"/>
      <c r="E453" s="33" t="inlineStr">
        <is>
          <t>-</t>
        </is>
      </c>
      <c r="F453" s="54">
        <f>IFERROR((VLOOKUP(E453,$AE$11:$AG$14,3,0)),"-")</f>
        <v/>
      </c>
      <c r="G453" s="33" t="n"/>
      <c r="H453" s="33" t="n"/>
      <c r="I453" s="46" t="n"/>
      <c r="J453" s="35" t="n"/>
      <c r="K453" s="35" t="n"/>
      <c r="L453" s="36">
        <f>IF($H$4="-",0,IF($H$4="VAREJO",AW453,IF($H$4="ATACADO",AX453,0)))</f>
        <v/>
      </c>
      <c r="M453" s="33" t="n"/>
      <c r="AN453" s="47" t="n">
        <v>443</v>
      </c>
      <c r="AO453" s="117">
        <f>I453+(I453*J453)+(I453*K453)</f>
        <v/>
      </c>
      <c r="AP453" s="43">
        <f>IFERROR(VLOOKUP(E453,$AE$11:$AK$14,4,0),0)</f>
        <v/>
      </c>
      <c r="AQ453" s="117">
        <f>(I453+(I453*J453)+(I453*K453))*AP453</f>
        <v/>
      </c>
      <c r="AR453" s="118">
        <f>AO453+AQ453</f>
        <v/>
      </c>
      <c r="AT453" s="39">
        <f>IFERROR((VLOOKUP(E453,$AE$11:$AJ$14,5,0)),0)</f>
        <v/>
      </c>
      <c r="AU453" s="39">
        <f>IFERROR((VLOOKUP(E453,$AE$11:$AJ$14,6,0)),0)</f>
        <v/>
      </c>
      <c r="AW453" s="119">
        <f>AR453*AT453</f>
        <v/>
      </c>
      <c r="AX453" s="119">
        <f>AR453*AU453</f>
        <v/>
      </c>
    </row>
    <row r="454">
      <c r="A454" s="32" t="n">
        <v>444</v>
      </c>
      <c r="B454" s="33" t="n"/>
      <c r="C454" s="33" t="n"/>
      <c r="D454" s="33" t="n"/>
      <c r="E454" s="33" t="inlineStr">
        <is>
          <t>-</t>
        </is>
      </c>
      <c r="F454" s="54">
        <f>IFERROR((VLOOKUP(E454,$AE$11:$AG$14,3,0)),"-")</f>
        <v/>
      </c>
      <c r="G454" s="33" t="n"/>
      <c r="H454" s="33" t="n"/>
      <c r="I454" s="46" t="n"/>
      <c r="J454" s="35" t="n"/>
      <c r="K454" s="35" t="n"/>
      <c r="L454" s="36">
        <f>IF($H$4="-",0,IF($H$4="VAREJO",AW454,IF($H$4="ATACADO",AX454,0)))</f>
        <v/>
      </c>
      <c r="M454" s="33" t="n"/>
      <c r="AN454" s="47" t="n">
        <v>444</v>
      </c>
      <c r="AO454" s="117">
        <f>I454+(I454*J454)+(I454*K454)</f>
        <v/>
      </c>
      <c r="AP454" s="43">
        <f>IFERROR(VLOOKUP(E454,$AE$11:$AK$14,4,0),0)</f>
        <v/>
      </c>
      <c r="AQ454" s="117">
        <f>(I454+(I454*J454)+(I454*K454))*AP454</f>
        <v/>
      </c>
      <c r="AR454" s="118">
        <f>AO454+AQ454</f>
        <v/>
      </c>
      <c r="AT454" s="39">
        <f>IFERROR((VLOOKUP(E454,$AE$11:$AJ$14,5,0)),0)</f>
        <v/>
      </c>
      <c r="AU454" s="39">
        <f>IFERROR((VLOOKUP(E454,$AE$11:$AJ$14,6,0)),0)</f>
        <v/>
      </c>
      <c r="AW454" s="119">
        <f>AR454*AT454</f>
        <v/>
      </c>
      <c r="AX454" s="119">
        <f>AR454*AU454</f>
        <v/>
      </c>
    </row>
    <row r="455">
      <c r="A455" s="32" t="n">
        <v>445</v>
      </c>
      <c r="B455" s="33" t="n"/>
      <c r="C455" s="33" t="n"/>
      <c r="D455" s="33" t="n"/>
      <c r="E455" s="33" t="inlineStr">
        <is>
          <t>-</t>
        </is>
      </c>
      <c r="F455" s="54">
        <f>IFERROR((VLOOKUP(E455,$AE$11:$AG$14,3,0)),"-")</f>
        <v/>
      </c>
      <c r="G455" s="33" t="n"/>
      <c r="H455" s="33" t="n"/>
      <c r="I455" s="46" t="n"/>
      <c r="J455" s="35" t="n"/>
      <c r="K455" s="35" t="n"/>
      <c r="L455" s="36">
        <f>IF($H$4="-",0,IF($H$4="VAREJO",AW455,IF($H$4="ATACADO",AX455,0)))</f>
        <v/>
      </c>
      <c r="M455" s="33" t="n"/>
      <c r="AN455" s="47" t="n">
        <v>445</v>
      </c>
      <c r="AO455" s="117">
        <f>I455+(I455*J455)+(I455*K455)</f>
        <v/>
      </c>
      <c r="AP455" s="43">
        <f>IFERROR(VLOOKUP(E455,$AE$11:$AK$14,4,0),0)</f>
        <v/>
      </c>
      <c r="AQ455" s="117">
        <f>(I455+(I455*J455)+(I455*K455))*AP455</f>
        <v/>
      </c>
      <c r="AR455" s="118">
        <f>AO455+AQ455</f>
        <v/>
      </c>
      <c r="AT455" s="39">
        <f>IFERROR((VLOOKUP(E455,$AE$11:$AJ$14,5,0)),0)</f>
        <v/>
      </c>
      <c r="AU455" s="39">
        <f>IFERROR((VLOOKUP(E455,$AE$11:$AJ$14,6,0)),0)</f>
        <v/>
      </c>
      <c r="AW455" s="119">
        <f>AR455*AT455</f>
        <v/>
      </c>
      <c r="AX455" s="119">
        <f>AR455*AU455</f>
        <v/>
      </c>
    </row>
    <row r="456">
      <c r="A456" s="32" t="n">
        <v>446</v>
      </c>
      <c r="B456" s="33" t="n"/>
      <c r="C456" s="33" t="n"/>
      <c r="D456" s="33" t="n"/>
      <c r="E456" s="33" t="inlineStr">
        <is>
          <t>-</t>
        </is>
      </c>
      <c r="F456" s="54">
        <f>IFERROR((VLOOKUP(E456,$AE$11:$AG$14,3,0)),"-")</f>
        <v/>
      </c>
      <c r="G456" s="33" t="n"/>
      <c r="H456" s="33" t="n"/>
      <c r="I456" s="46" t="n"/>
      <c r="J456" s="35" t="n"/>
      <c r="K456" s="35" t="n"/>
      <c r="L456" s="36">
        <f>IF($H$4="-",0,IF($H$4="VAREJO",AW456,IF($H$4="ATACADO",AX456,0)))</f>
        <v/>
      </c>
      <c r="M456" s="33" t="n"/>
      <c r="AN456" s="47" t="n">
        <v>446</v>
      </c>
      <c r="AO456" s="117">
        <f>I456+(I456*J456)+(I456*K456)</f>
        <v/>
      </c>
      <c r="AP456" s="43">
        <f>IFERROR(VLOOKUP(E456,$AE$11:$AK$14,4,0),0)</f>
        <v/>
      </c>
      <c r="AQ456" s="117">
        <f>(I456+(I456*J456)+(I456*K456))*AP456</f>
        <v/>
      </c>
      <c r="AR456" s="118">
        <f>AO456+AQ456</f>
        <v/>
      </c>
      <c r="AT456" s="39">
        <f>IFERROR((VLOOKUP(E456,$AE$11:$AJ$14,5,0)),0)</f>
        <v/>
      </c>
      <c r="AU456" s="39">
        <f>IFERROR((VLOOKUP(E456,$AE$11:$AJ$14,6,0)),0)</f>
        <v/>
      </c>
      <c r="AW456" s="119">
        <f>AR456*AT456</f>
        <v/>
      </c>
      <c r="AX456" s="119">
        <f>AR456*AU456</f>
        <v/>
      </c>
    </row>
    <row r="457">
      <c r="A457" s="32" t="n">
        <v>447</v>
      </c>
      <c r="B457" s="33" t="n"/>
      <c r="C457" s="33" t="n"/>
      <c r="D457" s="33" t="n"/>
      <c r="E457" s="33" t="inlineStr">
        <is>
          <t>-</t>
        </is>
      </c>
      <c r="F457" s="54">
        <f>IFERROR((VLOOKUP(E457,$AE$11:$AG$14,3,0)),"-")</f>
        <v/>
      </c>
      <c r="G457" s="33" t="n"/>
      <c r="H457" s="33" t="n"/>
      <c r="I457" s="46" t="n"/>
      <c r="J457" s="35" t="n"/>
      <c r="K457" s="35" t="n"/>
      <c r="L457" s="36">
        <f>IF($H$4="-",0,IF($H$4="VAREJO",AW457,IF($H$4="ATACADO",AX457,0)))</f>
        <v/>
      </c>
      <c r="M457" s="33" t="n"/>
      <c r="AN457" s="47" t="n">
        <v>447</v>
      </c>
      <c r="AO457" s="117">
        <f>I457+(I457*J457)+(I457*K457)</f>
        <v/>
      </c>
      <c r="AP457" s="43">
        <f>IFERROR(VLOOKUP(E457,$AE$11:$AK$14,4,0),0)</f>
        <v/>
      </c>
      <c r="AQ457" s="117">
        <f>(I457+(I457*J457)+(I457*K457))*AP457</f>
        <v/>
      </c>
      <c r="AR457" s="118">
        <f>AO457+AQ457</f>
        <v/>
      </c>
      <c r="AT457" s="39">
        <f>IFERROR((VLOOKUP(E457,$AE$11:$AJ$14,5,0)),0)</f>
        <v/>
      </c>
      <c r="AU457" s="39">
        <f>IFERROR((VLOOKUP(E457,$AE$11:$AJ$14,6,0)),0)</f>
        <v/>
      </c>
      <c r="AW457" s="119">
        <f>AR457*AT457</f>
        <v/>
      </c>
      <c r="AX457" s="119">
        <f>AR457*AU457</f>
        <v/>
      </c>
    </row>
    <row r="458">
      <c r="A458" s="32" t="n">
        <v>448</v>
      </c>
      <c r="B458" s="33" t="n"/>
      <c r="C458" s="33" t="n"/>
      <c r="D458" s="33" t="n"/>
      <c r="E458" s="33" t="inlineStr">
        <is>
          <t>-</t>
        </is>
      </c>
      <c r="F458" s="54">
        <f>IFERROR((VLOOKUP(E458,$AE$11:$AG$14,3,0)),"-")</f>
        <v/>
      </c>
      <c r="G458" s="33" t="n"/>
      <c r="H458" s="33" t="n"/>
      <c r="I458" s="46" t="n"/>
      <c r="J458" s="35" t="n"/>
      <c r="K458" s="35" t="n"/>
      <c r="L458" s="36">
        <f>IF($H$4="-",0,IF($H$4="VAREJO",AW458,IF($H$4="ATACADO",AX458,0)))</f>
        <v/>
      </c>
      <c r="M458" s="33" t="n"/>
      <c r="AN458" s="47" t="n">
        <v>448</v>
      </c>
      <c r="AO458" s="117">
        <f>I458+(I458*J458)+(I458*K458)</f>
        <v/>
      </c>
      <c r="AP458" s="43">
        <f>IFERROR(VLOOKUP(E458,$AE$11:$AK$14,4,0),0)</f>
        <v/>
      </c>
      <c r="AQ458" s="117">
        <f>(I458+(I458*J458)+(I458*K458))*AP458</f>
        <v/>
      </c>
      <c r="AR458" s="118">
        <f>AO458+AQ458</f>
        <v/>
      </c>
      <c r="AT458" s="39">
        <f>IFERROR((VLOOKUP(E458,$AE$11:$AJ$14,5,0)),0)</f>
        <v/>
      </c>
      <c r="AU458" s="39">
        <f>IFERROR((VLOOKUP(E458,$AE$11:$AJ$14,6,0)),0)</f>
        <v/>
      </c>
      <c r="AW458" s="119">
        <f>AR458*AT458</f>
        <v/>
      </c>
      <c r="AX458" s="119">
        <f>AR458*AU458</f>
        <v/>
      </c>
    </row>
    <row r="459">
      <c r="A459" s="32" t="n">
        <v>449</v>
      </c>
      <c r="B459" s="33" t="n"/>
      <c r="C459" s="33" t="n"/>
      <c r="D459" s="33" t="n"/>
      <c r="E459" s="33" t="inlineStr">
        <is>
          <t>-</t>
        </is>
      </c>
      <c r="F459" s="54">
        <f>IFERROR((VLOOKUP(E459,$AE$11:$AG$14,3,0)),"-")</f>
        <v/>
      </c>
      <c r="G459" s="33" t="n"/>
      <c r="H459" s="33" t="n"/>
      <c r="I459" s="46" t="n"/>
      <c r="J459" s="35" t="n"/>
      <c r="K459" s="35" t="n"/>
      <c r="L459" s="36">
        <f>IF($H$4="-",0,IF($H$4="VAREJO",AW459,IF($H$4="ATACADO",AX459,0)))</f>
        <v/>
      </c>
      <c r="M459" s="33" t="n"/>
      <c r="AN459" s="47" t="n">
        <v>449</v>
      </c>
      <c r="AO459" s="117">
        <f>I459+(I459*J459)+(I459*K459)</f>
        <v/>
      </c>
      <c r="AP459" s="43">
        <f>IFERROR(VLOOKUP(E459,$AE$11:$AK$14,4,0),0)</f>
        <v/>
      </c>
      <c r="AQ459" s="117">
        <f>(I459+(I459*J459)+(I459*K459))*AP459</f>
        <v/>
      </c>
      <c r="AR459" s="118">
        <f>AO459+AQ459</f>
        <v/>
      </c>
      <c r="AT459" s="39">
        <f>IFERROR((VLOOKUP(E459,$AE$11:$AJ$14,5,0)),0)</f>
        <v/>
      </c>
      <c r="AU459" s="39">
        <f>IFERROR((VLOOKUP(E459,$AE$11:$AJ$14,6,0)),0)</f>
        <v/>
      </c>
      <c r="AW459" s="119">
        <f>AR459*AT459</f>
        <v/>
      </c>
      <c r="AX459" s="119">
        <f>AR459*AU459</f>
        <v/>
      </c>
    </row>
    <row r="460">
      <c r="A460" s="32" t="n">
        <v>450</v>
      </c>
      <c r="B460" s="33" t="n"/>
      <c r="C460" s="33" t="n"/>
      <c r="D460" s="33" t="n"/>
      <c r="E460" s="33" t="inlineStr">
        <is>
          <t>-</t>
        </is>
      </c>
      <c r="F460" s="54">
        <f>IFERROR((VLOOKUP(E460,$AE$11:$AG$14,3,0)),"-")</f>
        <v/>
      </c>
      <c r="G460" s="33" t="n"/>
      <c r="H460" s="33" t="n"/>
      <c r="I460" s="46" t="n"/>
      <c r="J460" s="35" t="n"/>
      <c r="K460" s="35" t="n"/>
      <c r="L460" s="36">
        <f>IF($H$4="-",0,IF($H$4="VAREJO",AW460,IF($H$4="ATACADO",AX460,0)))</f>
        <v/>
      </c>
      <c r="M460" s="33" t="n"/>
      <c r="AN460" s="47" t="n">
        <v>450</v>
      </c>
      <c r="AO460" s="117">
        <f>I460+(I460*J460)+(I460*K460)</f>
        <v/>
      </c>
      <c r="AP460" s="43">
        <f>IFERROR(VLOOKUP(E460,$AE$11:$AK$14,4,0),0)</f>
        <v/>
      </c>
      <c r="AQ460" s="117">
        <f>(I460+(I460*J460)+(I460*K460))*AP460</f>
        <v/>
      </c>
      <c r="AR460" s="118">
        <f>AO460+AQ460</f>
        <v/>
      </c>
      <c r="AT460" s="39">
        <f>IFERROR((VLOOKUP(E460,$AE$11:$AJ$14,5,0)),0)</f>
        <v/>
      </c>
      <c r="AU460" s="39">
        <f>IFERROR((VLOOKUP(E460,$AE$11:$AJ$14,6,0)),0)</f>
        <v/>
      </c>
      <c r="AW460" s="119">
        <f>AR460*AT460</f>
        <v/>
      </c>
      <c r="AX460" s="119">
        <f>AR460*AU460</f>
        <v/>
      </c>
    </row>
    <row r="461">
      <c r="A461" s="32" t="n">
        <v>451</v>
      </c>
      <c r="B461" s="33" t="n"/>
      <c r="C461" s="33" t="n"/>
      <c r="D461" s="33" t="n"/>
      <c r="E461" s="33" t="inlineStr">
        <is>
          <t>-</t>
        </is>
      </c>
      <c r="F461" s="54">
        <f>IFERROR((VLOOKUP(E461,$AE$11:$AG$14,3,0)),"-")</f>
        <v/>
      </c>
      <c r="G461" s="33" t="n"/>
      <c r="H461" s="33" t="n"/>
      <c r="I461" s="46" t="n"/>
      <c r="J461" s="35" t="n"/>
      <c r="K461" s="35" t="n"/>
      <c r="L461" s="36">
        <f>IF($H$4="-",0,IF($H$4="VAREJO",AW461,IF($H$4="ATACADO",AX461,0)))</f>
        <v/>
      </c>
      <c r="M461" s="33" t="n"/>
      <c r="AN461" s="47" t="n">
        <v>451</v>
      </c>
      <c r="AO461" s="117">
        <f>I461+(I461*J461)+(I461*K461)</f>
        <v/>
      </c>
      <c r="AP461" s="43">
        <f>IFERROR(VLOOKUP(E461,$AE$11:$AK$14,4,0),0)</f>
        <v/>
      </c>
      <c r="AQ461" s="117">
        <f>(I461+(I461*J461)+(I461*K461))*AP461</f>
        <v/>
      </c>
      <c r="AR461" s="118">
        <f>AO461+AQ461</f>
        <v/>
      </c>
      <c r="AT461" s="39">
        <f>IFERROR((VLOOKUP(E461,$AE$11:$AJ$14,5,0)),0)</f>
        <v/>
      </c>
      <c r="AU461" s="39">
        <f>IFERROR((VLOOKUP(E461,$AE$11:$AJ$14,6,0)),0)</f>
        <v/>
      </c>
      <c r="AW461" s="119">
        <f>AR461*AT461</f>
        <v/>
      </c>
      <c r="AX461" s="119">
        <f>AR461*AU461</f>
        <v/>
      </c>
    </row>
    <row r="462">
      <c r="A462" s="32" t="n">
        <v>452</v>
      </c>
      <c r="B462" s="33" t="n"/>
      <c r="C462" s="33" t="n"/>
      <c r="D462" s="33" t="n"/>
      <c r="E462" s="33" t="inlineStr">
        <is>
          <t>-</t>
        </is>
      </c>
      <c r="F462" s="54">
        <f>IFERROR((VLOOKUP(E462,$AE$11:$AG$14,3,0)),"-")</f>
        <v/>
      </c>
      <c r="G462" s="33" t="n"/>
      <c r="H462" s="33" t="n"/>
      <c r="I462" s="46" t="n"/>
      <c r="J462" s="35" t="n"/>
      <c r="K462" s="35" t="n"/>
      <c r="L462" s="36">
        <f>IF($H$4="-",0,IF($H$4="VAREJO",AW462,IF($H$4="ATACADO",AX462,0)))</f>
        <v/>
      </c>
      <c r="M462" s="33" t="n"/>
      <c r="AN462" s="47" t="n">
        <v>452</v>
      </c>
      <c r="AO462" s="117">
        <f>I462+(I462*J462)+(I462*K462)</f>
        <v/>
      </c>
      <c r="AP462" s="43">
        <f>IFERROR(VLOOKUP(E462,$AE$11:$AK$14,4,0),0)</f>
        <v/>
      </c>
      <c r="AQ462" s="117">
        <f>(I462+(I462*J462)+(I462*K462))*AP462</f>
        <v/>
      </c>
      <c r="AR462" s="118">
        <f>AO462+AQ462</f>
        <v/>
      </c>
      <c r="AT462" s="39">
        <f>IFERROR((VLOOKUP(E462,$AE$11:$AJ$14,5,0)),0)</f>
        <v/>
      </c>
      <c r="AU462" s="39">
        <f>IFERROR((VLOOKUP(E462,$AE$11:$AJ$14,6,0)),0)</f>
        <v/>
      </c>
      <c r="AW462" s="119">
        <f>AR462*AT462</f>
        <v/>
      </c>
      <c r="AX462" s="119">
        <f>AR462*AU462</f>
        <v/>
      </c>
    </row>
    <row r="463">
      <c r="A463" s="32" t="n">
        <v>453</v>
      </c>
      <c r="B463" s="33" t="n"/>
      <c r="C463" s="33" t="n"/>
      <c r="D463" s="33" t="n"/>
      <c r="E463" s="33" t="inlineStr">
        <is>
          <t>-</t>
        </is>
      </c>
      <c r="F463" s="54">
        <f>IFERROR((VLOOKUP(E463,$AE$11:$AG$14,3,0)),"-")</f>
        <v/>
      </c>
      <c r="G463" s="33" t="n"/>
      <c r="H463" s="33" t="n"/>
      <c r="I463" s="46" t="n"/>
      <c r="J463" s="35" t="n"/>
      <c r="K463" s="35" t="n"/>
      <c r="L463" s="36">
        <f>IF($H$4="-",0,IF($H$4="VAREJO",AW463,IF($H$4="ATACADO",AX463,0)))</f>
        <v/>
      </c>
      <c r="M463" s="33" t="n"/>
      <c r="AN463" s="47" t="n">
        <v>453</v>
      </c>
      <c r="AO463" s="117">
        <f>I463+(I463*J463)+(I463*K463)</f>
        <v/>
      </c>
      <c r="AP463" s="43">
        <f>IFERROR(VLOOKUP(E463,$AE$11:$AK$14,4,0),0)</f>
        <v/>
      </c>
      <c r="AQ463" s="117">
        <f>(I463+(I463*J463)+(I463*K463))*AP463</f>
        <v/>
      </c>
      <c r="AR463" s="118">
        <f>AO463+AQ463</f>
        <v/>
      </c>
      <c r="AT463" s="39">
        <f>IFERROR((VLOOKUP(E463,$AE$11:$AJ$14,5,0)),0)</f>
        <v/>
      </c>
      <c r="AU463" s="39">
        <f>IFERROR((VLOOKUP(E463,$AE$11:$AJ$14,6,0)),0)</f>
        <v/>
      </c>
      <c r="AW463" s="119">
        <f>AR463*AT463</f>
        <v/>
      </c>
      <c r="AX463" s="119">
        <f>AR463*AU463</f>
        <v/>
      </c>
    </row>
    <row r="464">
      <c r="A464" s="32" t="n">
        <v>454</v>
      </c>
      <c r="B464" s="33" t="n"/>
      <c r="C464" s="33" t="n"/>
      <c r="D464" s="33" t="n"/>
      <c r="E464" s="33" t="inlineStr">
        <is>
          <t>-</t>
        </is>
      </c>
      <c r="F464" s="54">
        <f>IFERROR((VLOOKUP(E464,$AE$11:$AG$14,3,0)),"-")</f>
        <v/>
      </c>
      <c r="G464" s="33" t="n"/>
      <c r="H464" s="33" t="n"/>
      <c r="I464" s="46" t="n"/>
      <c r="J464" s="35" t="n"/>
      <c r="K464" s="35" t="n"/>
      <c r="L464" s="36">
        <f>IF($H$4="-",0,IF($H$4="VAREJO",AW464,IF($H$4="ATACADO",AX464,0)))</f>
        <v/>
      </c>
      <c r="M464" s="33" t="n"/>
      <c r="AN464" s="47" t="n">
        <v>454</v>
      </c>
      <c r="AO464" s="117">
        <f>I464+(I464*J464)+(I464*K464)</f>
        <v/>
      </c>
      <c r="AP464" s="43">
        <f>IFERROR(VLOOKUP(E464,$AE$11:$AK$14,4,0),0)</f>
        <v/>
      </c>
      <c r="AQ464" s="117">
        <f>(I464+(I464*J464)+(I464*K464))*AP464</f>
        <v/>
      </c>
      <c r="AR464" s="118">
        <f>AO464+AQ464</f>
        <v/>
      </c>
      <c r="AT464" s="39">
        <f>IFERROR((VLOOKUP(E464,$AE$11:$AJ$14,5,0)),0)</f>
        <v/>
      </c>
      <c r="AU464" s="39">
        <f>IFERROR((VLOOKUP(E464,$AE$11:$AJ$14,6,0)),0)</f>
        <v/>
      </c>
      <c r="AW464" s="119">
        <f>AR464*AT464</f>
        <v/>
      </c>
      <c r="AX464" s="119">
        <f>AR464*AU464</f>
        <v/>
      </c>
    </row>
    <row r="465">
      <c r="A465" s="32" t="n">
        <v>455</v>
      </c>
      <c r="B465" s="33" t="n"/>
      <c r="C465" s="33" t="n"/>
      <c r="D465" s="33" t="n"/>
      <c r="E465" s="33" t="inlineStr">
        <is>
          <t>-</t>
        </is>
      </c>
      <c r="F465" s="54">
        <f>IFERROR((VLOOKUP(E465,$AE$11:$AG$14,3,0)),"-")</f>
        <v/>
      </c>
      <c r="G465" s="33" t="n"/>
      <c r="H465" s="33" t="n"/>
      <c r="I465" s="46" t="n"/>
      <c r="J465" s="35" t="n"/>
      <c r="K465" s="35" t="n"/>
      <c r="L465" s="36">
        <f>IF($H$4="-",0,IF($H$4="VAREJO",AW465,IF($H$4="ATACADO",AX465,0)))</f>
        <v/>
      </c>
      <c r="M465" s="33" t="n"/>
      <c r="AN465" s="47" t="n">
        <v>455</v>
      </c>
      <c r="AO465" s="117">
        <f>I465+(I465*J465)+(I465*K465)</f>
        <v/>
      </c>
      <c r="AP465" s="43">
        <f>IFERROR(VLOOKUP(E465,$AE$11:$AK$14,4,0),0)</f>
        <v/>
      </c>
      <c r="AQ465" s="117">
        <f>(I465+(I465*J465)+(I465*K465))*AP465</f>
        <v/>
      </c>
      <c r="AR465" s="118">
        <f>AO465+AQ465</f>
        <v/>
      </c>
      <c r="AT465" s="39">
        <f>IFERROR((VLOOKUP(E465,$AE$11:$AJ$14,5,0)),0)</f>
        <v/>
      </c>
      <c r="AU465" s="39">
        <f>IFERROR((VLOOKUP(E465,$AE$11:$AJ$14,6,0)),0)</f>
        <v/>
      </c>
      <c r="AW465" s="119">
        <f>AR465*AT465</f>
        <v/>
      </c>
      <c r="AX465" s="119">
        <f>AR465*AU465</f>
        <v/>
      </c>
    </row>
    <row r="466">
      <c r="A466" s="32" t="n">
        <v>456</v>
      </c>
      <c r="B466" s="33" t="n"/>
      <c r="C466" s="33" t="n"/>
      <c r="D466" s="33" t="n"/>
      <c r="E466" s="33" t="inlineStr">
        <is>
          <t>-</t>
        </is>
      </c>
      <c r="F466" s="54">
        <f>IFERROR((VLOOKUP(E466,$AE$11:$AG$14,3,0)),"-")</f>
        <v/>
      </c>
      <c r="G466" s="33" t="n"/>
      <c r="H466" s="33" t="n"/>
      <c r="I466" s="46" t="n"/>
      <c r="J466" s="35" t="n"/>
      <c r="K466" s="35" t="n"/>
      <c r="L466" s="36">
        <f>IF($H$4="-",0,IF($H$4="VAREJO",AW466,IF($H$4="ATACADO",AX466,0)))</f>
        <v/>
      </c>
      <c r="M466" s="33" t="n"/>
      <c r="AN466" s="47" t="n">
        <v>456</v>
      </c>
      <c r="AO466" s="117">
        <f>I466+(I466*J466)+(I466*K466)</f>
        <v/>
      </c>
      <c r="AP466" s="43">
        <f>IFERROR(VLOOKUP(E466,$AE$11:$AK$14,4,0),0)</f>
        <v/>
      </c>
      <c r="AQ466" s="117">
        <f>(I466+(I466*J466)+(I466*K466))*AP466</f>
        <v/>
      </c>
      <c r="AR466" s="118">
        <f>AO466+AQ466</f>
        <v/>
      </c>
      <c r="AT466" s="39">
        <f>IFERROR((VLOOKUP(E466,$AE$11:$AJ$14,5,0)),0)</f>
        <v/>
      </c>
      <c r="AU466" s="39">
        <f>IFERROR((VLOOKUP(E466,$AE$11:$AJ$14,6,0)),0)</f>
        <v/>
      </c>
      <c r="AW466" s="119">
        <f>AR466*AT466</f>
        <v/>
      </c>
      <c r="AX466" s="119">
        <f>AR466*AU466</f>
        <v/>
      </c>
    </row>
    <row r="467">
      <c r="A467" s="32" t="n">
        <v>457</v>
      </c>
      <c r="B467" s="33" t="n"/>
      <c r="C467" s="33" t="n"/>
      <c r="D467" s="33" t="n"/>
      <c r="E467" s="33" t="inlineStr">
        <is>
          <t>-</t>
        </is>
      </c>
      <c r="F467" s="54">
        <f>IFERROR((VLOOKUP(E467,$AE$11:$AG$14,3,0)),"-")</f>
        <v/>
      </c>
      <c r="G467" s="33" t="n"/>
      <c r="H467" s="33" t="n"/>
      <c r="I467" s="46" t="n"/>
      <c r="J467" s="35" t="n"/>
      <c r="K467" s="35" t="n"/>
      <c r="L467" s="36">
        <f>IF($H$4="-",0,IF($H$4="VAREJO",AW467,IF($H$4="ATACADO",AX467,0)))</f>
        <v/>
      </c>
      <c r="M467" s="33" t="n"/>
      <c r="AN467" s="47" t="n">
        <v>457</v>
      </c>
      <c r="AO467" s="117">
        <f>I467+(I467*J467)+(I467*K467)</f>
        <v/>
      </c>
      <c r="AP467" s="43">
        <f>IFERROR(VLOOKUP(E467,$AE$11:$AK$14,4,0),0)</f>
        <v/>
      </c>
      <c r="AQ467" s="117">
        <f>(I467+(I467*J467)+(I467*K467))*AP467</f>
        <v/>
      </c>
      <c r="AR467" s="118">
        <f>AO467+AQ467</f>
        <v/>
      </c>
      <c r="AT467" s="39">
        <f>IFERROR((VLOOKUP(E467,$AE$11:$AJ$14,5,0)),0)</f>
        <v/>
      </c>
      <c r="AU467" s="39">
        <f>IFERROR((VLOOKUP(E467,$AE$11:$AJ$14,6,0)),0)</f>
        <v/>
      </c>
      <c r="AW467" s="119">
        <f>AR467*AT467</f>
        <v/>
      </c>
      <c r="AX467" s="119">
        <f>AR467*AU467</f>
        <v/>
      </c>
    </row>
    <row r="468">
      <c r="A468" s="32" t="n">
        <v>458</v>
      </c>
      <c r="B468" s="33" t="n"/>
      <c r="C468" s="33" t="n"/>
      <c r="D468" s="33" t="n"/>
      <c r="E468" s="33" t="inlineStr">
        <is>
          <t>-</t>
        </is>
      </c>
      <c r="F468" s="54">
        <f>IFERROR((VLOOKUP(E468,$AE$11:$AG$14,3,0)),"-")</f>
        <v/>
      </c>
      <c r="G468" s="33" t="n"/>
      <c r="H468" s="33" t="n"/>
      <c r="I468" s="46" t="n"/>
      <c r="J468" s="35" t="n"/>
      <c r="K468" s="35" t="n"/>
      <c r="L468" s="36">
        <f>IF($H$4="-",0,IF($H$4="VAREJO",AW468,IF($H$4="ATACADO",AX468,0)))</f>
        <v/>
      </c>
      <c r="M468" s="33" t="n"/>
      <c r="AN468" s="47" t="n">
        <v>458</v>
      </c>
      <c r="AO468" s="117">
        <f>I468+(I468*J468)+(I468*K468)</f>
        <v/>
      </c>
      <c r="AP468" s="43">
        <f>IFERROR(VLOOKUP(E468,$AE$11:$AK$14,4,0),0)</f>
        <v/>
      </c>
      <c r="AQ468" s="117">
        <f>(I468+(I468*J468)+(I468*K468))*AP468</f>
        <v/>
      </c>
      <c r="AR468" s="118">
        <f>AO468+AQ468</f>
        <v/>
      </c>
      <c r="AT468" s="39">
        <f>IFERROR((VLOOKUP(E468,$AE$11:$AJ$14,5,0)),0)</f>
        <v/>
      </c>
      <c r="AU468" s="39">
        <f>IFERROR((VLOOKUP(E468,$AE$11:$AJ$14,6,0)),0)</f>
        <v/>
      </c>
      <c r="AW468" s="119">
        <f>AR468*AT468</f>
        <v/>
      </c>
      <c r="AX468" s="119">
        <f>AR468*AU468</f>
        <v/>
      </c>
    </row>
    <row r="469">
      <c r="A469" s="32" t="n">
        <v>459</v>
      </c>
      <c r="B469" s="33" t="n"/>
      <c r="C469" s="33" t="n"/>
      <c r="D469" s="33" t="n"/>
      <c r="E469" s="33" t="inlineStr">
        <is>
          <t>-</t>
        </is>
      </c>
      <c r="F469" s="54">
        <f>IFERROR((VLOOKUP(E469,$AE$11:$AG$14,3,0)),"-")</f>
        <v/>
      </c>
      <c r="G469" s="33" t="n"/>
      <c r="H469" s="33" t="n"/>
      <c r="I469" s="46" t="n"/>
      <c r="J469" s="35" t="n"/>
      <c r="K469" s="35" t="n"/>
      <c r="L469" s="36">
        <f>IF($H$4="-",0,IF($H$4="VAREJO",AW469,IF($H$4="ATACADO",AX469,0)))</f>
        <v/>
      </c>
      <c r="M469" s="33" t="n"/>
      <c r="AN469" s="47" t="n">
        <v>459</v>
      </c>
      <c r="AO469" s="117">
        <f>I469+(I469*J469)+(I469*K469)</f>
        <v/>
      </c>
      <c r="AP469" s="43">
        <f>IFERROR(VLOOKUP(E469,$AE$11:$AK$14,4,0),0)</f>
        <v/>
      </c>
      <c r="AQ469" s="117">
        <f>(I469+(I469*J469)+(I469*K469))*AP469</f>
        <v/>
      </c>
      <c r="AR469" s="118">
        <f>AO469+AQ469</f>
        <v/>
      </c>
      <c r="AT469" s="39">
        <f>IFERROR((VLOOKUP(E469,$AE$11:$AJ$14,5,0)),0)</f>
        <v/>
      </c>
      <c r="AU469" s="39">
        <f>IFERROR((VLOOKUP(E469,$AE$11:$AJ$14,6,0)),0)</f>
        <v/>
      </c>
      <c r="AW469" s="119">
        <f>AR469*AT469</f>
        <v/>
      </c>
      <c r="AX469" s="119">
        <f>AR469*AU469</f>
        <v/>
      </c>
    </row>
    <row r="470">
      <c r="A470" s="32" t="n">
        <v>460</v>
      </c>
      <c r="B470" s="33" t="n"/>
      <c r="C470" s="33" t="n"/>
      <c r="D470" s="33" t="n"/>
      <c r="E470" s="33" t="inlineStr">
        <is>
          <t>-</t>
        </is>
      </c>
      <c r="F470" s="54">
        <f>IFERROR((VLOOKUP(E470,$AE$11:$AG$14,3,0)),"-")</f>
        <v/>
      </c>
      <c r="G470" s="33" t="n"/>
      <c r="H470" s="33" t="n"/>
      <c r="I470" s="46" t="n"/>
      <c r="J470" s="35" t="n"/>
      <c r="K470" s="35" t="n"/>
      <c r="L470" s="36">
        <f>IF($H$4="-",0,IF($H$4="VAREJO",AW470,IF($H$4="ATACADO",AX470,0)))</f>
        <v/>
      </c>
      <c r="M470" s="33" t="n"/>
      <c r="AN470" s="47" t="n">
        <v>460</v>
      </c>
      <c r="AO470" s="117">
        <f>I470+(I470*J470)+(I470*K470)</f>
        <v/>
      </c>
      <c r="AP470" s="43">
        <f>IFERROR(VLOOKUP(E470,$AE$11:$AK$14,4,0),0)</f>
        <v/>
      </c>
      <c r="AQ470" s="117">
        <f>(I470+(I470*J470)+(I470*K470))*AP470</f>
        <v/>
      </c>
      <c r="AR470" s="118">
        <f>AO470+AQ470</f>
        <v/>
      </c>
      <c r="AT470" s="39">
        <f>IFERROR((VLOOKUP(E470,$AE$11:$AJ$14,5,0)),0)</f>
        <v/>
      </c>
      <c r="AU470" s="39">
        <f>IFERROR((VLOOKUP(E470,$AE$11:$AJ$14,6,0)),0)</f>
        <v/>
      </c>
      <c r="AW470" s="119">
        <f>AR470*AT470</f>
        <v/>
      </c>
      <c r="AX470" s="119">
        <f>AR470*AU470</f>
        <v/>
      </c>
    </row>
    <row r="471">
      <c r="A471" s="32" t="n">
        <v>461</v>
      </c>
      <c r="B471" s="33" t="n"/>
      <c r="C471" s="33" t="n"/>
      <c r="D471" s="33" t="n"/>
      <c r="E471" s="33" t="inlineStr">
        <is>
          <t>-</t>
        </is>
      </c>
      <c r="F471" s="54">
        <f>IFERROR((VLOOKUP(E471,$AE$11:$AG$14,3,0)),"-")</f>
        <v/>
      </c>
      <c r="G471" s="33" t="n"/>
      <c r="H471" s="33" t="n"/>
      <c r="I471" s="46" t="n"/>
      <c r="J471" s="35" t="n"/>
      <c r="K471" s="35" t="n"/>
      <c r="L471" s="36">
        <f>IF($H$4="-",0,IF($H$4="VAREJO",AW471,IF($H$4="ATACADO",AX471,0)))</f>
        <v/>
      </c>
      <c r="M471" s="33" t="n"/>
      <c r="AN471" s="47" t="n">
        <v>461</v>
      </c>
      <c r="AO471" s="117">
        <f>I471+(I471*J471)+(I471*K471)</f>
        <v/>
      </c>
      <c r="AP471" s="43">
        <f>IFERROR(VLOOKUP(E471,$AE$11:$AK$14,4,0),0)</f>
        <v/>
      </c>
      <c r="AQ471" s="117">
        <f>(I471+(I471*J471)+(I471*K471))*AP471</f>
        <v/>
      </c>
      <c r="AR471" s="118">
        <f>AO471+AQ471</f>
        <v/>
      </c>
      <c r="AT471" s="39">
        <f>IFERROR((VLOOKUP(E471,$AE$11:$AJ$14,5,0)),0)</f>
        <v/>
      </c>
      <c r="AU471" s="39">
        <f>IFERROR((VLOOKUP(E471,$AE$11:$AJ$14,6,0)),0)</f>
        <v/>
      </c>
      <c r="AW471" s="119">
        <f>AR471*AT471</f>
        <v/>
      </c>
      <c r="AX471" s="119">
        <f>AR471*AU471</f>
        <v/>
      </c>
    </row>
    <row r="472">
      <c r="A472" s="32" t="n">
        <v>462</v>
      </c>
      <c r="B472" s="33" t="n"/>
      <c r="C472" s="33" t="n"/>
      <c r="D472" s="33" t="n"/>
      <c r="E472" s="33" t="inlineStr">
        <is>
          <t>-</t>
        </is>
      </c>
      <c r="F472" s="54">
        <f>IFERROR((VLOOKUP(E472,$AE$11:$AG$14,3,0)),"-")</f>
        <v/>
      </c>
      <c r="G472" s="33" t="n"/>
      <c r="H472" s="33" t="n"/>
      <c r="I472" s="46" t="n"/>
      <c r="J472" s="35" t="n"/>
      <c r="K472" s="35" t="n"/>
      <c r="L472" s="36">
        <f>IF($H$4="-",0,IF($H$4="VAREJO",AW472,IF($H$4="ATACADO",AX472,0)))</f>
        <v/>
      </c>
      <c r="M472" s="33" t="n"/>
      <c r="AN472" s="47" t="n">
        <v>462</v>
      </c>
      <c r="AO472" s="117">
        <f>I472+(I472*J472)+(I472*K472)</f>
        <v/>
      </c>
      <c r="AP472" s="43">
        <f>IFERROR(VLOOKUP(E472,$AE$11:$AK$14,4,0),0)</f>
        <v/>
      </c>
      <c r="AQ472" s="117">
        <f>(I472+(I472*J472)+(I472*K472))*AP472</f>
        <v/>
      </c>
      <c r="AR472" s="118">
        <f>AO472+AQ472</f>
        <v/>
      </c>
      <c r="AT472" s="39">
        <f>IFERROR((VLOOKUP(E472,$AE$11:$AJ$14,5,0)),0)</f>
        <v/>
      </c>
      <c r="AU472" s="39">
        <f>IFERROR((VLOOKUP(E472,$AE$11:$AJ$14,6,0)),0)</f>
        <v/>
      </c>
      <c r="AW472" s="119">
        <f>AR472*AT472</f>
        <v/>
      </c>
      <c r="AX472" s="119">
        <f>AR472*AU472</f>
        <v/>
      </c>
    </row>
    <row r="473">
      <c r="A473" s="32" t="n">
        <v>463</v>
      </c>
      <c r="B473" s="33" t="n"/>
      <c r="C473" s="33" t="n"/>
      <c r="D473" s="33" t="n"/>
      <c r="E473" s="33" t="inlineStr">
        <is>
          <t>-</t>
        </is>
      </c>
      <c r="F473" s="54">
        <f>IFERROR((VLOOKUP(E473,$AE$11:$AG$14,3,0)),"-")</f>
        <v/>
      </c>
      <c r="G473" s="33" t="n"/>
      <c r="H473" s="33" t="n"/>
      <c r="I473" s="46" t="n"/>
      <c r="J473" s="35" t="n"/>
      <c r="K473" s="35" t="n"/>
      <c r="L473" s="36">
        <f>IF($H$4="-",0,IF($H$4="VAREJO",AW473,IF($H$4="ATACADO",AX473,0)))</f>
        <v/>
      </c>
      <c r="M473" s="33" t="n"/>
      <c r="AN473" s="47" t="n">
        <v>463</v>
      </c>
      <c r="AO473" s="117">
        <f>I473+(I473*J473)+(I473*K473)</f>
        <v/>
      </c>
      <c r="AP473" s="43">
        <f>IFERROR(VLOOKUP(E473,$AE$11:$AK$14,4,0),0)</f>
        <v/>
      </c>
      <c r="AQ473" s="117">
        <f>(I473+(I473*J473)+(I473*K473))*AP473</f>
        <v/>
      </c>
      <c r="AR473" s="118">
        <f>AO473+AQ473</f>
        <v/>
      </c>
      <c r="AT473" s="39">
        <f>IFERROR((VLOOKUP(E473,$AE$11:$AJ$14,5,0)),0)</f>
        <v/>
      </c>
      <c r="AU473" s="39">
        <f>IFERROR((VLOOKUP(E473,$AE$11:$AJ$14,6,0)),0)</f>
        <v/>
      </c>
      <c r="AW473" s="119">
        <f>AR473*AT473</f>
        <v/>
      </c>
      <c r="AX473" s="119">
        <f>AR473*AU473</f>
        <v/>
      </c>
    </row>
    <row r="474">
      <c r="A474" s="32" t="n">
        <v>464</v>
      </c>
      <c r="B474" s="33" t="n"/>
      <c r="C474" s="33" t="n"/>
      <c r="D474" s="33" t="n"/>
      <c r="E474" s="33" t="inlineStr">
        <is>
          <t>-</t>
        </is>
      </c>
      <c r="F474" s="54">
        <f>IFERROR((VLOOKUP(E474,$AE$11:$AG$14,3,0)),"-")</f>
        <v/>
      </c>
      <c r="G474" s="33" t="n"/>
      <c r="H474" s="33" t="n"/>
      <c r="I474" s="46" t="n"/>
      <c r="J474" s="35" t="n"/>
      <c r="K474" s="35" t="n"/>
      <c r="L474" s="36">
        <f>IF($H$4="-",0,IF($H$4="VAREJO",AW474,IF($H$4="ATACADO",AX474,0)))</f>
        <v/>
      </c>
      <c r="M474" s="33" t="n"/>
      <c r="AN474" s="47" t="n">
        <v>464</v>
      </c>
      <c r="AO474" s="117">
        <f>I474+(I474*J474)+(I474*K474)</f>
        <v/>
      </c>
      <c r="AP474" s="43">
        <f>IFERROR(VLOOKUP(E474,$AE$11:$AK$14,4,0),0)</f>
        <v/>
      </c>
      <c r="AQ474" s="117">
        <f>(I474+(I474*J474)+(I474*K474))*AP474</f>
        <v/>
      </c>
      <c r="AR474" s="118">
        <f>AO474+AQ474</f>
        <v/>
      </c>
      <c r="AT474" s="39">
        <f>IFERROR((VLOOKUP(E474,$AE$11:$AJ$14,5,0)),0)</f>
        <v/>
      </c>
      <c r="AU474" s="39">
        <f>IFERROR((VLOOKUP(E474,$AE$11:$AJ$14,6,0)),0)</f>
        <v/>
      </c>
      <c r="AW474" s="119">
        <f>AR474*AT474</f>
        <v/>
      </c>
      <c r="AX474" s="119">
        <f>AR474*AU474</f>
        <v/>
      </c>
    </row>
    <row r="475">
      <c r="A475" s="32" t="n">
        <v>465</v>
      </c>
      <c r="B475" s="33" t="n"/>
      <c r="C475" s="33" t="n"/>
      <c r="D475" s="33" t="n"/>
      <c r="E475" s="33" t="inlineStr">
        <is>
          <t>-</t>
        </is>
      </c>
      <c r="F475" s="54">
        <f>IFERROR((VLOOKUP(E475,$AE$11:$AG$14,3,0)),"-")</f>
        <v/>
      </c>
      <c r="G475" s="33" t="n"/>
      <c r="H475" s="33" t="n"/>
      <c r="I475" s="46" t="n"/>
      <c r="J475" s="35" t="n"/>
      <c r="K475" s="35" t="n"/>
      <c r="L475" s="36">
        <f>IF($H$4="-",0,IF($H$4="VAREJO",AW475,IF($H$4="ATACADO",AX475,0)))</f>
        <v/>
      </c>
      <c r="M475" s="33" t="n"/>
      <c r="AN475" s="47" t="n">
        <v>465</v>
      </c>
      <c r="AO475" s="117">
        <f>I475+(I475*J475)+(I475*K475)</f>
        <v/>
      </c>
      <c r="AP475" s="43">
        <f>IFERROR(VLOOKUP(E475,$AE$11:$AK$14,4,0),0)</f>
        <v/>
      </c>
      <c r="AQ475" s="117">
        <f>(I475+(I475*J475)+(I475*K475))*AP475</f>
        <v/>
      </c>
      <c r="AR475" s="118">
        <f>AO475+AQ475</f>
        <v/>
      </c>
      <c r="AT475" s="39">
        <f>IFERROR((VLOOKUP(E475,$AE$11:$AJ$14,5,0)),0)</f>
        <v/>
      </c>
      <c r="AU475" s="39">
        <f>IFERROR((VLOOKUP(E475,$AE$11:$AJ$14,6,0)),0)</f>
        <v/>
      </c>
      <c r="AW475" s="119">
        <f>AR475*AT475</f>
        <v/>
      </c>
      <c r="AX475" s="119">
        <f>AR475*AU475</f>
        <v/>
      </c>
    </row>
    <row r="476">
      <c r="A476" s="32" t="n">
        <v>466</v>
      </c>
      <c r="B476" s="33" t="n"/>
      <c r="C476" s="33" t="n"/>
      <c r="D476" s="33" t="n"/>
      <c r="E476" s="33" t="inlineStr">
        <is>
          <t>-</t>
        </is>
      </c>
      <c r="F476" s="54">
        <f>IFERROR((VLOOKUP(E476,$AE$11:$AG$14,3,0)),"-")</f>
        <v/>
      </c>
      <c r="G476" s="33" t="n"/>
      <c r="H476" s="33" t="n"/>
      <c r="I476" s="46" t="n"/>
      <c r="J476" s="35" t="n"/>
      <c r="K476" s="35" t="n"/>
      <c r="L476" s="36">
        <f>IF($H$4="-",0,IF($H$4="VAREJO",AW476,IF($H$4="ATACADO",AX476,0)))</f>
        <v/>
      </c>
      <c r="M476" s="33" t="n"/>
      <c r="AN476" s="47" t="n">
        <v>466</v>
      </c>
      <c r="AO476" s="117">
        <f>I476+(I476*J476)+(I476*K476)</f>
        <v/>
      </c>
      <c r="AP476" s="43">
        <f>IFERROR(VLOOKUP(E476,$AE$11:$AK$14,4,0),0)</f>
        <v/>
      </c>
      <c r="AQ476" s="117">
        <f>(I476+(I476*J476)+(I476*K476))*AP476</f>
        <v/>
      </c>
      <c r="AR476" s="118">
        <f>AO476+AQ476</f>
        <v/>
      </c>
      <c r="AT476" s="39">
        <f>IFERROR((VLOOKUP(E476,$AE$11:$AJ$14,5,0)),0)</f>
        <v/>
      </c>
      <c r="AU476" s="39">
        <f>IFERROR((VLOOKUP(E476,$AE$11:$AJ$14,6,0)),0)</f>
        <v/>
      </c>
      <c r="AW476" s="119">
        <f>AR476*AT476</f>
        <v/>
      </c>
      <c r="AX476" s="119">
        <f>AR476*AU476</f>
        <v/>
      </c>
    </row>
    <row r="477">
      <c r="A477" s="32" t="n">
        <v>467</v>
      </c>
      <c r="B477" s="33" t="n"/>
      <c r="C477" s="33" t="n"/>
      <c r="D477" s="33" t="n"/>
      <c r="E477" s="33" t="inlineStr">
        <is>
          <t>-</t>
        </is>
      </c>
      <c r="F477" s="54">
        <f>IFERROR((VLOOKUP(E477,$AE$11:$AG$14,3,0)),"-")</f>
        <v/>
      </c>
      <c r="G477" s="33" t="n"/>
      <c r="H477" s="33" t="n"/>
      <c r="I477" s="46" t="n"/>
      <c r="J477" s="35" t="n"/>
      <c r="K477" s="35" t="n"/>
      <c r="L477" s="36">
        <f>IF($H$4="-",0,IF($H$4="VAREJO",AW477,IF($H$4="ATACADO",AX477,0)))</f>
        <v/>
      </c>
      <c r="M477" s="33" t="n"/>
      <c r="AN477" s="47" t="n">
        <v>467</v>
      </c>
      <c r="AO477" s="117">
        <f>I477+(I477*J477)+(I477*K477)</f>
        <v/>
      </c>
      <c r="AP477" s="43">
        <f>IFERROR(VLOOKUP(E477,$AE$11:$AK$14,4,0),0)</f>
        <v/>
      </c>
      <c r="AQ477" s="117">
        <f>(I477+(I477*J477)+(I477*K477))*AP477</f>
        <v/>
      </c>
      <c r="AR477" s="118">
        <f>AO477+AQ477</f>
        <v/>
      </c>
      <c r="AT477" s="39">
        <f>IFERROR((VLOOKUP(E477,$AE$11:$AJ$14,5,0)),0)</f>
        <v/>
      </c>
      <c r="AU477" s="39">
        <f>IFERROR((VLOOKUP(E477,$AE$11:$AJ$14,6,0)),0)</f>
        <v/>
      </c>
      <c r="AW477" s="119">
        <f>AR477*AT477</f>
        <v/>
      </c>
      <c r="AX477" s="119">
        <f>AR477*AU477</f>
        <v/>
      </c>
    </row>
    <row r="478">
      <c r="A478" s="32" t="n">
        <v>468</v>
      </c>
      <c r="B478" s="33" t="n"/>
      <c r="C478" s="33" t="n"/>
      <c r="D478" s="33" t="n"/>
      <c r="E478" s="33" t="inlineStr">
        <is>
          <t>-</t>
        </is>
      </c>
      <c r="F478" s="54">
        <f>IFERROR((VLOOKUP(E478,$AE$11:$AG$14,3,0)),"-")</f>
        <v/>
      </c>
      <c r="G478" s="33" t="n"/>
      <c r="H478" s="33" t="n"/>
      <c r="I478" s="46" t="n"/>
      <c r="J478" s="35" t="n"/>
      <c r="K478" s="35" t="n"/>
      <c r="L478" s="36">
        <f>IF($H$4="-",0,IF($H$4="VAREJO",AW478,IF($H$4="ATACADO",AX478,0)))</f>
        <v/>
      </c>
      <c r="M478" s="33" t="n"/>
      <c r="AN478" s="47" t="n">
        <v>468</v>
      </c>
      <c r="AO478" s="117">
        <f>I478+(I478*J478)+(I478*K478)</f>
        <v/>
      </c>
      <c r="AP478" s="43">
        <f>IFERROR(VLOOKUP(E478,$AE$11:$AK$14,4,0),0)</f>
        <v/>
      </c>
      <c r="AQ478" s="117">
        <f>(I478+(I478*J478)+(I478*K478))*AP478</f>
        <v/>
      </c>
      <c r="AR478" s="118">
        <f>AO478+AQ478</f>
        <v/>
      </c>
      <c r="AT478" s="39">
        <f>IFERROR((VLOOKUP(E478,$AE$11:$AJ$14,5,0)),0)</f>
        <v/>
      </c>
      <c r="AU478" s="39">
        <f>IFERROR((VLOOKUP(E478,$AE$11:$AJ$14,6,0)),0)</f>
        <v/>
      </c>
      <c r="AW478" s="119">
        <f>AR478*AT478</f>
        <v/>
      </c>
      <c r="AX478" s="119">
        <f>AR478*AU478</f>
        <v/>
      </c>
    </row>
    <row r="479">
      <c r="A479" s="32" t="n">
        <v>469</v>
      </c>
      <c r="B479" s="33" t="n"/>
      <c r="C479" s="33" t="n"/>
      <c r="D479" s="33" t="n"/>
      <c r="E479" s="33" t="inlineStr">
        <is>
          <t>-</t>
        </is>
      </c>
      <c r="F479" s="54">
        <f>IFERROR((VLOOKUP(E479,$AE$11:$AG$14,3,0)),"-")</f>
        <v/>
      </c>
      <c r="G479" s="33" t="n"/>
      <c r="H479" s="33" t="n"/>
      <c r="I479" s="46" t="n"/>
      <c r="J479" s="35" t="n"/>
      <c r="K479" s="35" t="n"/>
      <c r="L479" s="36">
        <f>IF($H$4="-",0,IF($H$4="VAREJO",AW479,IF($H$4="ATACADO",AX479,0)))</f>
        <v/>
      </c>
      <c r="M479" s="33" t="n"/>
      <c r="AN479" s="47" t="n">
        <v>469</v>
      </c>
      <c r="AO479" s="117">
        <f>I479+(I479*J479)+(I479*K479)</f>
        <v/>
      </c>
      <c r="AP479" s="43">
        <f>IFERROR(VLOOKUP(E479,$AE$11:$AK$14,4,0),0)</f>
        <v/>
      </c>
      <c r="AQ479" s="117">
        <f>(I479+(I479*J479)+(I479*K479))*AP479</f>
        <v/>
      </c>
      <c r="AR479" s="118">
        <f>AO479+AQ479</f>
        <v/>
      </c>
      <c r="AT479" s="39">
        <f>IFERROR((VLOOKUP(E479,$AE$11:$AJ$14,5,0)),0)</f>
        <v/>
      </c>
      <c r="AU479" s="39">
        <f>IFERROR((VLOOKUP(E479,$AE$11:$AJ$14,6,0)),0)</f>
        <v/>
      </c>
      <c r="AW479" s="119">
        <f>AR479*AT479</f>
        <v/>
      </c>
      <c r="AX479" s="119">
        <f>AR479*AU479</f>
        <v/>
      </c>
    </row>
    <row r="480">
      <c r="A480" s="32" t="n">
        <v>470</v>
      </c>
      <c r="B480" s="33" t="n"/>
      <c r="C480" s="33" t="n"/>
      <c r="D480" s="33" t="n"/>
      <c r="E480" s="33" t="inlineStr">
        <is>
          <t>-</t>
        </is>
      </c>
      <c r="F480" s="54">
        <f>IFERROR((VLOOKUP(E480,$AE$11:$AG$14,3,0)),"-")</f>
        <v/>
      </c>
      <c r="G480" s="33" t="n"/>
      <c r="H480" s="33" t="n"/>
      <c r="I480" s="46" t="n"/>
      <c r="J480" s="35" t="n"/>
      <c r="K480" s="35" t="n"/>
      <c r="L480" s="36">
        <f>IF($H$4="-",0,IF($H$4="VAREJO",AW480,IF($H$4="ATACADO",AX480,0)))</f>
        <v/>
      </c>
      <c r="M480" s="33" t="n"/>
      <c r="AN480" s="47" t="n">
        <v>470</v>
      </c>
      <c r="AO480" s="117">
        <f>I480+(I480*J480)+(I480*K480)</f>
        <v/>
      </c>
      <c r="AP480" s="43">
        <f>IFERROR(VLOOKUP(E480,$AE$11:$AK$14,4,0),0)</f>
        <v/>
      </c>
      <c r="AQ480" s="117">
        <f>(I480+(I480*J480)+(I480*K480))*AP480</f>
        <v/>
      </c>
      <c r="AR480" s="118">
        <f>AO480+AQ480</f>
        <v/>
      </c>
      <c r="AT480" s="39">
        <f>IFERROR((VLOOKUP(E480,$AE$11:$AJ$14,5,0)),0)</f>
        <v/>
      </c>
      <c r="AU480" s="39">
        <f>IFERROR((VLOOKUP(E480,$AE$11:$AJ$14,6,0)),0)</f>
        <v/>
      </c>
      <c r="AW480" s="119">
        <f>AR480*AT480</f>
        <v/>
      </c>
      <c r="AX480" s="119">
        <f>AR480*AU480</f>
        <v/>
      </c>
    </row>
    <row r="481">
      <c r="A481" s="32" t="n">
        <v>471</v>
      </c>
      <c r="B481" s="33" t="n"/>
      <c r="C481" s="33" t="n"/>
      <c r="D481" s="33" t="n"/>
      <c r="E481" s="33" t="inlineStr">
        <is>
          <t>-</t>
        </is>
      </c>
      <c r="F481" s="54">
        <f>IFERROR((VLOOKUP(E481,$AE$11:$AG$14,3,0)),"-")</f>
        <v/>
      </c>
      <c r="G481" s="33" t="n"/>
      <c r="H481" s="33" t="n"/>
      <c r="I481" s="46" t="n"/>
      <c r="J481" s="35" t="n"/>
      <c r="K481" s="35" t="n"/>
      <c r="L481" s="36">
        <f>IF($H$4="-",0,IF($H$4="VAREJO",AW481,IF($H$4="ATACADO",AX481,0)))</f>
        <v/>
      </c>
      <c r="M481" s="33" t="n"/>
      <c r="AN481" s="47" t="n">
        <v>471</v>
      </c>
      <c r="AO481" s="117">
        <f>I481+(I481*J481)+(I481*K481)</f>
        <v/>
      </c>
      <c r="AP481" s="43">
        <f>IFERROR(VLOOKUP(E481,$AE$11:$AK$14,4,0),0)</f>
        <v/>
      </c>
      <c r="AQ481" s="117">
        <f>(I481+(I481*J481)+(I481*K481))*AP481</f>
        <v/>
      </c>
      <c r="AR481" s="118">
        <f>AO481+AQ481</f>
        <v/>
      </c>
      <c r="AT481" s="39">
        <f>IFERROR((VLOOKUP(E481,$AE$11:$AJ$14,5,0)),0)</f>
        <v/>
      </c>
      <c r="AU481" s="39">
        <f>IFERROR((VLOOKUP(E481,$AE$11:$AJ$14,6,0)),0)</f>
        <v/>
      </c>
      <c r="AW481" s="119">
        <f>AR481*AT481</f>
        <v/>
      </c>
      <c r="AX481" s="119">
        <f>AR481*AU481</f>
        <v/>
      </c>
    </row>
    <row r="482">
      <c r="A482" s="32" t="n">
        <v>472</v>
      </c>
      <c r="B482" s="33" t="n"/>
      <c r="C482" s="33" t="n"/>
      <c r="D482" s="33" t="n"/>
      <c r="E482" s="33" t="inlineStr">
        <is>
          <t>-</t>
        </is>
      </c>
      <c r="F482" s="54">
        <f>IFERROR((VLOOKUP(E482,$AE$11:$AG$14,3,0)),"-")</f>
        <v/>
      </c>
      <c r="G482" s="33" t="n"/>
      <c r="H482" s="33" t="n"/>
      <c r="I482" s="46" t="n"/>
      <c r="J482" s="35" t="n"/>
      <c r="K482" s="35" t="n"/>
      <c r="L482" s="36">
        <f>IF($H$4="-",0,IF($H$4="VAREJO",AW482,IF($H$4="ATACADO",AX482,0)))</f>
        <v/>
      </c>
      <c r="M482" s="33" t="n"/>
      <c r="AN482" s="47" t="n">
        <v>472</v>
      </c>
      <c r="AO482" s="117">
        <f>I482+(I482*J482)+(I482*K482)</f>
        <v/>
      </c>
      <c r="AP482" s="43">
        <f>IFERROR(VLOOKUP(E482,$AE$11:$AK$14,4,0),0)</f>
        <v/>
      </c>
      <c r="AQ482" s="117">
        <f>(I482+(I482*J482)+(I482*K482))*AP482</f>
        <v/>
      </c>
      <c r="AR482" s="118">
        <f>AO482+AQ482</f>
        <v/>
      </c>
      <c r="AT482" s="39">
        <f>IFERROR((VLOOKUP(E482,$AE$11:$AJ$14,5,0)),0)</f>
        <v/>
      </c>
      <c r="AU482" s="39">
        <f>IFERROR((VLOOKUP(E482,$AE$11:$AJ$14,6,0)),0)</f>
        <v/>
      </c>
      <c r="AW482" s="119">
        <f>AR482*AT482</f>
        <v/>
      </c>
      <c r="AX482" s="119">
        <f>AR482*AU482</f>
        <v/>
      </c>
    </row>
    <row r="483">
      <c r="A483" s="32" t="n">
        <v>473</v>
      </c>
      <c r="B483" s="33" t="n"/>
      <c r="C483" s="33" t="n"/>
      <c r="D483" s="33" t="n"/>
      <c r="E483" s="33" t="inlineStr">
        <is>
          <t>-</t>
        </is>
      </c>
      <c r="F483" s="54">
        <f>IFERROR((VLOOKUP(E483,$AE$11:$AG$14,3,0)),"-")</f>
        <v/>
      </c>
      <c r="G483" s="33" t="n"/>
      <c r="H483" s="33" t="n"/>
      <c r="I483" s="46" t="n"/>
      <c r="J483" s="35" t="n"/>
      <c r="K483" s="35" t="n"/>
      <c r="L483" s="36">
        <f>IF($H$4="-",0,IF($H$4="VAREJO",AW483,IF($H$4="ATACADO",AX483,0)))</f>
        <v/>
      </c>
      <c r="M483" s="33" t="n"/>
      <c r="AN483" s="47" t="n">
        <v>473</v>
      </c>
      <c r="AO483" s="117">
        <f>I483+(I483*J483)+(I483*K483)</f>
        <v/>
      </c>
      <c r="AP483" s="43">
        <f>IFERROR(VLOOKUP(E483,$AE$11:$AK$14,4,0),0)</f>
        <v/>
      </c>
      <c r="AQ483" s="117">
        <f>(I483+(I483*J483)+(I483*K483))*AP483</f>
        <v/>
      </c>
      <c r="AR483" s="118">
        <f>AO483+AQ483</f>
        <v/>
      </c>
      <c r="AT483" s="39">
        <f>IFERROR((VLOOKUP(E483,$AE$11:$AJ$14,5,0)),0)</f>
        <v/>
      </c>
      <c r="AU483" s="39">
        <f>IFERROR((VLOOKUP(E483,$AE$11:$AJ$14,6,0)),0)</f>
        <v/>
      </c>
      <c r="AW483" s="119">
        <f>AR483*AT483</f>
        <v/>
      </c>
      <c r="AX483" s="119">
        <f>AR483*AU483</f>
        <v/>
      </c>
    </row>
    <row r="484">
      <c r="A484" s="32" t="n">
        <v>474</v>
      </c>
      <c r="B484" s="33" t="n"/>
      <c r="C484" s="33" t="n"/>
      <c r="D484" s="33" t="n"/>
      <c r="E484" s="33" t="inlineStr">
        <is>
          <t>-</t>
        </is>
      </c>
      <c r="F484" s="54">
        <f>IFERROR((VLOOKUP(E484,$AE$11:$AG$14,3,0)),"-")</f>
        <v/>
      </c>
      <c r="G484" s="33" t="n"/>
      <c r="H484" s="33" t="n"/>
      <c r="I484" s="46" t="n"/>
      <c r="J484" s="35" t="n"/>
      <c r="K484" s="35" t="n"/>
      <c r="L484" s="36">
        <f>IF($H$4="-",0,IF($H$4="VAREJO",AW484,IF($H$4="ATACADO",AX484,0)))</f>
        <v/>
      </c>
      <c r="M484" s="33" t="n"/>
      <c r="AN484" s="47" t="n">
        <v>474</v>
      </c>
      <c r="AO484" s="117">
        <f>I484+(I484*J484)+(I484*K484)</f>
        <v/>
      </c>
      <c r="AP484" s="43">
        <f>IFERROR(VLOOKUP(E484,$AE$11:$AK$14,4,0),0)</f>
        <v/>
      </c>
      <c r="AQ484" s="117">
        <f>(I484+(I484*J484)+(I484*K484))*AP484</f>
        <v/>
      </c>
      <c r="AR484" s="118">
        <f>AO484+AQ484</f>
        <v/>
      </c>
      <c r="AT484" s="39">
        <f>IFERROR((VLOOKUP(E484,$AE$11:$AJ$14,5,0)),0)</f>
        <v/>
      </c>
      <c r="AU484" s="39">
        <f>IFERROR((VLOOKUP(E484,$AE$11:$AJ$14,6,0)),0)</f>
        <v/>
      </c>
      <c r="AW484" s="119">
        <f>AR484*AT484</f>
        <v/>
      </c>
      <c r="AX484" s="119">
        <f>AR484*AU484</f>
        <v/>
      </c>
    </row>
    <row r="485">
      <c r="A485" s="32" t="n">
        <v>475</v>
      </c>
      <c r="B485" s="33" t="n"/>
      <c r="C485" s="33" t="n"/>
      <c r="D485" s="33" t="n"/>
      <c r="E485" s="33" t="inlineStr">
        <is>
          <t>-</t>
        </is>
      </c>
      <c r="F485" s="54">
        <f>IFERROR((VLOOKUP(E485,$AE$11:$AG$14,3,0)),"-")</f>
        <v/>
      </c>
      <c r="G485" s="33" t="n"/>
      <c r="H485" s="33" t="n"/>
      <c r="I485" s="46" t="n"/>
      <c r="J485" s="35" t="n"/>
      <c r="K485" s="35" t="n"/>
      <c r="L485" s="36">
        <f>IF($H$4="-",0,IF($H$4="VAREJO",AW485,IF($H$4="ATACADO",AX485,0)))</f>
        <v/>
      </c>
      <c r="M485" s="33" t="n"/>
      <c r="AN485" s="47" t="n">
        <v>475</v>
      </c>
      <c r="AO485" s="117">
        <f>I485+(I485*J485)+(I485*K485)</f>
        <v/>
      </c>
      <c r="AP485" s="43">
        <f>IFERROR(VLOOKUP(E485,$AE$11:$AK$14,4,0),0)</f>
        <v/>
      </c>
      <c r="AQ485" s="117">
        <f>(I485+(I485*J485)+(I485*K485))*AP485</f>
        <v/>
      </c>
      <c r="AR485" s="118">
        <f>AO485+AQ485</f>
        <v/>
      </c>
      <c r="AT485" s="39">
        <f>IFERROR((VLOOKUP(E485,$AE$11:$AJ$14,5,0)),0)</f>
        <v/>
      </c>
      <c r="AU485" s="39">
        <f>IFERROR((VLOOKUP(E485,$AE$11:$AJ$14,6,0)),0)</f>
        <v/>
      </c>
      <c r="AW485" s="119">
        <f>AR485*AT485</f>
        <v/>
      </c>
      <c r="AX485" s="119">
        <f>AR485*AU485</f>
        <v/>
      </c>
    </row>
    <row r="486">
      <c r="A486" s="32" t="n">
        <v>476</v>
      </c>
      <c r="B486" s="33" t="n"/>
      <c r="C486" s="33" t="n"/>
      <c r="D486" s="33" t="n"/>
      <c r="E486" s="33" t="inlineStr">
        <is>
          <t>-</t>
        </is>
      </c>
      <c r="F486" s="54">
        <f>IFERROR((VLOOKUP(E486,$AE$11:$AG$14,3,0)),"-")</f>
        <v/>
      </c>
      <c r="G486" s="33" t="n"/>
      <c r="H486" s="33" t="n"/>
      <c r="I486" s="46" t="n"/>
      <c r="J486" s="35" t="n"/>
      <c r="K486" s="35" t="n"/>
      <c r="L486" s="36">
        <f>IF($H$4="-",0,IF($H$4="VAREJO",AW486,IF($H$4="ATACADO",AX486,0)))</f>
        <v/>
      </c>
      <c r="M486" s="33" t="n"/>
      <c r="AN486" s="47" t="n">
        <v>476</v>
      </c>
      <c r="AO486" s="117">
        <f>I486+(I486*J486)+(I486*K486)</f>
        <v/>
      </c>
      <c r="AP486" s="43">
        <f>IFERROR(VLOOKUP(E486,$AE$11:$AK$14,4,0),0)</f>
        <v/>
      </c>
      <c r="AQ486" s="117">
        <f>(I486+(I486*J486)+(I486*K486))*AP486</f>
        <v/>
      </c>
      <c r="AR486" s="118">
        <f>AO486+AQ486</f>
        <v/>
      </c>
      <c r="AT486" s="39">
        <f>IFERROR((VLOOKUP(E486,$AE$11:$AJ$14,5,0)),0)</f>
        <v/>
      </c>
      <c r="AU486" s="39">
        <f>IFERROR((VLOOKUP(E486,$AE$11:$AJ$14,6,0)),0)</f>
        <v/>
      </c>
      <c r="AW486" s="119">
        <f>AR486*AT486</f>
        <v/>
      </c>
      <c r="AX486" s="119">
        <f>AR486*AU486</f>
        <v/>
      </c>
    </row>
    <row r="487">
      <c r="A487" s="32" t="n">
        <v>477</v>
      </c>
      <c r="B487" s="33" t="n"/>
      <c r="C487" s="33" t="n"/>
      <c r="D487" s="33" t="n"/>
      <c r="E487" s="33" t="inlineStr">
        <is>
          <t>-</t>
        </is>
      </c>
      <c r="F487" s="54">
        <f>IFERROR((VLOOKUP(E487,$AE$11:$AG$14,3,0)),"-")</f>
        <v/>
      </c>
      <c r="G487" s="33" t="n"/>
      <c r="H487" s="33" t="n"/>
      <c r="I487" s="46" t="n"/>
      <c r="J487" s="35" t="n"/>
      <c r="K487" s="35" t="n"/>
      <c r="L487" s="36">
        <f>IF($H$4="-",0,IF($H$4="VAREJO",AW487,IF($H$4="ATACADO",AX487,0)))</f>
        <v/>
      </c>
      <c r="M487" s="33" t="n"/>
      <c r="AN487" s="47" t="n">
        <v>477</v>
      </c>
      <c r="AO487" s="117">
        <f>I487+(I487*J487)+(I487*K487)</f>
        <v/>
      </c>
      <c r="AP487" s="43">
        <f>IFERROR(VLOOKUP(E487,$AE$11:$AK$14,4,0),0)</f>
        <v/>
      </c>
      <c r="AQ487" s="117">
        <f>(I487+(I487*J487)+(I487*K487))*AP487</f>
        <v/>
      </c>
      <c r="AR487" s="118">
        <f>AO487+AQ487</f>
        <v/>
      </c>
      <c r="AT487" s="39">
        <f>IFERROR((VLOOKUP(E487,$AE$11:$AJ$14,5,0)),0)</f>
        <v/>
      </c>
      <c r="AU487" s="39">
        <f>IFERROR((VLOOKUP(E487,$AE$11:$AJ$14,6,0)),0)</f>
        <v/>
      </c>
      <c r="AW487" s="119">
        <f>AR487*AT487</f>
        <v/>
      </c>
      <c r="AX487" s="119">
        <f>AR487*AU487</f>
        <v/>
      </c>
    </row>
    <row r="488">
      <c r="A488" s="32" t="n">
        <v>478</v>
      </c>
      <c r="B488" s="33" t="n"/>
      <c r="C488" s="33" t="n"/>
      <c r="D488" s="33" t="n"/>
      <c r="E488" s="33" t="inlineStr">
        <is>
          <t>-</t>
        </is>
      </c>
      <c r="F488" s="54">
        <f>IFERROR((VLOOKUP(E488,$AE$11:$AG$14,3,0)),"-")</f>
        <v/>
      </c>
      <c r="G488" s="33" t="n"/>
      <c r="H488" s="33" t="n"/>
      <c r="I488" s="46" t="n"/>
      <c r="J488" s="35" t="n"/>
      <c r="K488" s="35" t="n"/>
      <c r="L488" s="36">
        <f>IF($H$4="-",0,IF($H$4="VAREJO",AW488,IF($H$4="ATACADO",AX488,0)))</f>
        <v/>
      </c>
      <c r="M488" s="33" t="n"/>
      <c r="AN488" s="47" t="n">
        <v>478</v>
      </c>
      <c r="AO488" s="117">
        <f>I488+(I488*J488)+(I488*K488)</f>
        <v/>
      </c>
      <c r="AP488" s="43">
        <f>IFERROR(VLOOKUP(E488,$AE$11:$AK$14,4,0),0)</f>
        <v/>
      </c>
      <c r="AQ488" s="117">
        <f>(I488+(I488*J488)+(I488*K488))*AP488</f>
        <v/>
      </c>
      <c r="AR488" s="118">
        <f>AO488+AQ488</f>
        <v/>
      </c>
      <c r="AT488" s="39">
        <f>IFERROR((VLOOKUP(E488,$AE$11:$AJ$14,5,0)),0)</f>
        <v/>
      </c>
      <c r="AU488" s="39">
        <f>IFERROR((VLOOKUP(E488,$AE$11:$AJ$14,6,0)),0)</f>
        <v/>
      </c>
      <c r="AW488" s="119">
        <f>AR488*AT488</f>
        <v/>
      </c>
      <c r="AX488" s="119">
        <f>AR488*AU488</f>
        <v/>
      </c>
    </row>
    <row r="489">
      <c r="A489" s="32" t="n">
        <v>479</v>
      </c>
      <c r="B489" s="33" t="n"/>
      <c r="C489" s="33" t="n"/>
      <c r="D489" s="33" t="n"/>
      <c r="E489" s="33" t="inlineStr">
        <is>
          <t>-</t>
        </is>
      </c>
      <c r="F489" s="54">
        <f>IFERROR((VLOOKUP(E489,$AE$11:$AG$14,3,0)),"-")</f>
        <v/>
      </c>
      <c r="G489" s="33" t="n"/>
      <c r="H489" s="33" t="n"/>
      <c r="I489" s="46" t="n"/>
      <c r="J489" s="35" t="n"/>
      <c r="K489" s="35" t="n"/>
      <c r="L489" s="36">
        <f>IF($H$4="-",0,IF($H$4="VAREJO",AW489,IF($H$4="ATACADO",AX489,0)))</f>
        <v/>
      </c>
      <c r="M489" s="33" t="n"/>
      <c r="AN489" s="47" t="n">
        <v>479</v>
      </c>
      <c r="AO489" s="117">
        <f>I489+(I489*J489)+(I489*K489)</f>
        <v/>
      </c>
      <c r="AP489" s="43">
        <f>IFERROR(VLOOKUP(E489,$AE$11:$AK$14,4,0),0)</f>
        <v/>
      </c>
      <c r="AQ489" s="117">
        <f>(I489+(I489*J489)+(I489*K489))*AP489</f>
        <v/>
      </c>
      <c r="AR489" s="118">
        <f>AO489+AQ489</f>
        <v/>
      </c>
      <c r="AT489" s="39">
        <f>IFERROR((VLOOKUP(E489,$AE$11:$AJ$14,5,0)),0)</f>
        <v/>
      </c>
      <c r="AU489" s="39">
        <f>IFERROR((VLOOKUP(E489,$AE$11:$AJ$14,6,0)),0)</f>
        <v/>
      </c>
      <c r="AW489" s="119">
        <f>AR489*AT489</f>
        <v/>
      </c>
      <c r="AX489" s="119">
        <f>AR489*AU489</f>
        <v/>
      </c>
    </row>
    <row r="490">
      <c r="A490" s="32" t="n">
        <v>480</v>
      </c>
      <c r="B490" s="33" t="n"/>
      <c r="C490" s="33" t="n"/>
      <c r="D490" s="33" t="n"/>
      <c r="E490" s="33" t="inlineStr">
        <is>
          <t>-</t>
        </is>
      </c>
      <c r="F490" s="54">
        <f>IFERROR((VLOOKUP(E490,$AE$11:$AG$14,3,0)),"-")</f>
        <v/>
      </c>
      <c r="G490" s="33" t="n"/>
      <c r="H490" s="33" t="n"/>
      <c r="I490" s="46" t="n"/>
      <c r="J490" s="35" t="n"/>
      <c r="K490" s="35" t="n"/>
      <c r="L490" s="36">
        <f>IF($H$4="-",0,IF($H$4="VAREJO",AW490,IF($H$4="ATACADO",AX490,0)))</f>
        <v/>
      </c>
      <c r="M490" s="33" t="n"/>
      <c r="AN490" s="47" t="n">
        <v>480</v>
      </c>
      <c r="AO490" s="117">
        <f>I490+(I490*J490)+(I490*K490)</f>
        <v/>
      </c>
      <c r="AP490" s="43">
        <f>IFERROR(VLOOKUP(E490,$AE$11:$AK$14,4,0),0)</f>
        <v/>
      </c>
      <c r="AQ490" s="117">
        <f>(I490+(I490*J490)+(I490*K490))*AP490</f>
        <v/>
      </c>
      <c r="AR490" s="118">
        <f>AO490+AQ490</f>
        <v/>
      </c>
      <c r="AT490" s="39">
        <f>IFERROR((VLOOKUP(E490,$AE$11:$AJ$14,5,0)),0)</f>
        <v/>
      </c>
      <c r="AU490" s="39">
        <f>IFERROR((VLOOKUP(E490,$AE$11:$AJ$14,6,0)),0)</f>
        <v/>
      </c>
      <c r="AW490" s="119">
        <f>AR490*AT490</f>
        <v/>
      </c>
      <c r="AX490" s="119">
        <f>AR490*AU490</f>
        <v/>
      </c>
    </row>
    <row r="491">
      <c r="A491" s="32" t="n">
        <v>481</v>
      </c>
      <c r="B491" s="33" t="n"/>
      <c r="C491" s="33" t="n"/>
      <c r="D491" s="33" t="n"/>
      <c r="E491" s="33" t="inlineStr">
        <is>
          <t>-</t>
        </is>
      </c>
      <c r="F491" s="54">
        <f>IFERROR((VLOOKUP(E491,$AE$11:$AG$14,3,0)),"-")</f>
        <v/>
      </c>
      <c r="G491" s="33" t="n"/>
      <c r="H491" s="33" t="n"/>
      <c r="I491" s="46" t="n"/>
      <c r="J491" s="35" t="n"/>
      <c r="K491" s="35" t="n"/>
      <c r="L491" s="36">
        <f>IF($H$4="-",0,IF($H$4="VAREJO",AW491,IF($H$4="ATACADO",AX491,0)))</f>
        <v/>
      </c>
      <c r="M491" s="33" t="n"/>
      <c r="AN491" s="47" t="n">
        <v>481</v>
      </c>
      <c r="AO491" s="117">
        <f>I491+(I491*J491)+(I491*K491)</f>
        <v/>
      </c>
      <c r="AP491" s="43">
        <f>IFERROR(VLOOKUP(E491,$AE$11:$AK$14,4,0),0)</f>
        <v/>
      </c>
      <c r="AQ491" s="117">
        <f>(I491+(I491*J491)+(I491*K491))*AP491</f>
        <v/>
      </c>
      <c r="AR491" s="118">
        <f>AO491+AQ491</f>
        <v/>
      </c>
      <c r="AT491" s="39">
        <f>IFERROR((VLOOKUP(E491,$AE$11:$AJ$14,5,0)),0)</f>
        <v/>
      </c>
      <c r="AU491" s="39">
        <f>IFERROR((VLOOKUP(E491,$AE$11:$AJ$14,6,0)),0)</f>
        <v/>
      </c>
      <c r="AW491" s="119">
        <f>AR491*AT491</f>
        <v/>
      </c>
      <c r="AX491" s="119">
        <f>AR491*AU491</f>
        <v/>
      </c>
    </row>
    <row r="492">
      <c r="A492" s="32" t="n">
        <v>482</v>
      </c>
      <c r="B492" s="33" t="n"/>
      <c r="C492" s="33" t="n"/>
      <c r="D492" s="33" t="n"/>
      <c r="E492" s="33" t="inlineStr">
        <is>
          <t>-</t>
        </is>
      </c>
      <c r="F492" s="54">
        <f>IFERROR((VLOOKUP(E492,$AE$11:$AG$14,3,0)),"-")</f>
        <v/>
      </c>
      <c r="G492" s="33" t="n"/>
      <c r="H492" s="33" t="n"/>
      <c r="I492" s="46" t="n"/>
      <c r="J492" s="35" t="n"/>
      <c r="K492" s="35" t="n"/>
      <c r="L492" s="36">
        <f>IF($H$4="-",0,IF($H$4="VAREJO",AW492,IF($H$4="ATACADO",AX492,0)))</f>
        <v/>
      </c>
      <c r="M492" s="33" t="n"/>
      <c r="AN492" s="47" t="n">
        <v>482</v>
      </c>
      <c r="AO492" s="117">
        <f>I492+(I492*J492)+(I492*K492)</f>
        <v/>
      </c>
      <c r="AP492" s="43">
        <f>IFERROR(VLOOKUP(E492,$AE$11:$AK$14,4,0),0)</f>
        <v/>
      </c>
      <c r="AQ492" s="117">
        <f>(I492+(I492*J492)+(I492*K492))*AP492</f>
        <v/>
      </c>
      <c r="AR492" s="118">
        <f>AO492+AQ492</f>
        <v/>
      </c>
      <c r="AT492" s="39">
        <f>IFERROR((VLOOKUP(E492,$AE$11:$AJ$14,5,0)),0)</f>
        <v/>
      </c>
      <c r="AU492" s="39">
        <f>IFERROR((VLOOKUP(E492,$AE$11:$AJ$14,6,0)),0)</f>
        <v/>
      </c>
      <c r="AW492" s="119">
        <f>AR492*AT492</f>
        <v/>
      </c>
      <c r="AX492" s="119">
        <f>AR492*AU492</f>
        <v/>
      </c>
    </row>
    <row r="493">
      <c r="A493" s="32" t="n">
        <v>483</v>
      </c>
      <c r="B493" s="33" t="n"/>
      <c r="C493" s="33" t="n"/>
      <c r="D493" s="33" t="n"/>
      <c r="E493" s="33" t="inlineStr">
        <is>
          <t>-</t>
        </is>
      </c>
      <c r="F493" s="54">
        <f>IFERROR((VLOOKUP(E493,$AE$11:$AG$14,3,0)),"-")</f>
        <v/>
      </c>
      <c r="G493" s="33" t="n"/>
      <c r="H493" s="33" t="n"/>
      <c r="I493" s="46" t="n"/>
      <c r="J493" s="35" t="n"/>
      <c r="K493" s="35" t="n"/>
      <c r="L493" s="36">
        <f>IF($H$4="-",0,IF($H$4="VAREJO",AW493,IF($H$4="ATACADO",AX493,0)))</f>
        <v/>
      </c>
      <c r="M493" s="33" t="n"/>
      <c r="AN493" s="47" t="n">
        <v>483</v>
      </c>
      <c r="AO493" s="117">
        <f>I493+(I493*J493)+(I493*K493)</f>
        <v/>
      </c>
      <c r="AP493" s="43">
        <f>IFERROR(VLOOKUP(E493,$AE$11:$AK$14,4,0),0)</f>
        <v/>
      </c>
      <c r="AQ493" s="117">
        <f>(I493+(I493*J493)+(I493*K493))*AP493</f>
        <v/>
      </c>
      <c r="AR493" s="118">
        <f>AO493+AQ493</f>
        <v/>
      </c>
      <c r="AT493" s="39">
        <f>IFERROR((VLOOKUP(E493,$AE$11:$AJ$14,5,0)),0)</f>
        <v/>
      </c>
      <c r="AU493" s="39">
        <f>IFERROR((VLOOKUP(E493,$AE$11:$AJ$14,6,0)),0)</f>
        <v/>
      </c>
      <c r="AW493" s="119">
        <f>AR493*AT493</f>
        <v/>
      </c>
      <c r="AX493" s="119">
        <f>AR493*AU493</f>
        <v/>
      </c>
    </row>
    <row r="494">
      <c r="A494" s="32" t="n">
        <v>484</v>
      </c>
      <c r="B494" s="33" t="n"/>
      <c r="C494" s="33" t="n"/>
      <c r="D494" s="33" t="n"/>
      <c r="E494" s="33" t="inlineStr">
        <is>
          <t>-</t>
        </is>
      </c>
      <c r="F494" s="54">
        <f>IFERROR((VLOOKUP(E494,$AE$11:$AG$14,3,0)),"-")</f>
        <v/>
      </c>
      <c r="G494" s="33" t="n"/>
      <c r="H494" s="33" t="n"/>
      <c r="I494" s="46" t="n"/>
      <c r="J494" s="35" t="n"/>
      <c r="K494" s="35" t="n"/>
      <c r="L494" s="36">
        <f>IF($H$4="-",0,IF($H$4="VAREJO",AW494,IF($H$4="ATACADO",AX494,0)))</f>
        <v/>
      </c>
      <c r="M494" s="33" t="n"/>
      <c r="AN494" s="47" t="n">
        <v>484</v>
      </c>
      <c r="AO494" s="117">
        <f>I494+(I494*J494)+(I494*K494)</f>
        <v/>
      </c>
      <c r="AP494" s="43">
        <f>IFERROR(VLOOKUP(E494,$AE$11:$AK$14,4,0),0)</f>
        <v/>
      </c>
      <c r="AQ494" s="117">
        <f>(I494+(I494*J494)+(I494*K494))*AP494</f>
        <v/>
      </c>
      <c r="AR494" s="118">
        <f>AO494+AQ494</f>
        <v/>
      </c>
      <c r="AT494" s="39">
        <f>IFERROR((VLOOKUP(E494,$AE$11:$AJ$14,5,0)),0)</f>
        <v/>
      </c>
      <c r="AU494" s="39">
        <f>IFERROR((VLOOKUP(E494,$AE$11:$AJ$14,6,0)),0)</f>
        <v/>
      </c>
      <c r="AW494" s="119">
        <f>AR494*AT494</f>
        <v/>
      </c>
      <c r="AX494" s="119">
        <f>AR494*AU494</f>
        <v/>
      </c>
    </row>
    <row r="495">
      <c r="A495" s="32" t="n">
        <v>485</v>
      </c>
      <c r="B495" s="33" t="n"/>
      <c r="C495" s="33" t="n"/>
      <c r="D495" s="33" t="n"/>
      <c r="E495" s="33" t="inlineStr">
        <is>
          <t>-</t>
        </is>
      </c>
      <c r="F495" s="54">
        <f>IFERROR((VLOOKUP(E495,$AE$11:$AG$14,3,0)),"-")</f>
        <v/>
      </c>
      <c r="G495" s="33" t="n"/>
      <c r="H495" s="33" t="n"/>
      <c r="I495" s="46" t="n"/>
      <c r="J495" s="35" t="n"/>
      <c r="K495" s="35" t="n"/>
      <c r="L495" s="36">
        <f>IF($H$4="-",0,IF($H$4="VAREJO",AW495,IF($H$4="ATACADO",AX495,0)))</f>
        <v/>
      </c>
      <c r="M495" s="33" t="n"/>
      <c r="AN495" s="47" t="n">
        <v>485</v>
      </c>
      <c r="AO495" s="117">
        <f>I495+(I495*J495)+(I495*K495)</f>
        <v/>
      </c>
      <c r="AP495" s="43">
        <f>IFERROR(VLOOKUP(E495,$AE$11:$AK$14,4,0),0)</f>
        <v/>
      </c>
      <c r="AQ495" s="117">
        <f>(I495+(I495*J495)+(I495*K495))*AP495</f>
        <v/>
      </c>
      <c r="AR495" s="118">
        <f>AO495+AQ495</f>
        <v/>
      </c>
      <c r="AT495" s="39">
        <f>IFERROR((VLOOKUP(E495,$AE$11:$AJ$14,5,0)),0)</f>
        <v/>
      </c>
      <c r="AU495" s="39">
        <f>IFERROR((VLOOKUP(E495,$AE$11:$AJ$14,6,0)),0)</f>
        <v/>
      </c>
      <c r="AW495" s="119">
        <f>AR495*AT495</f>
        <v/>
      </c>
      <c r="AX495" s="119">
        <f>AR495*AU495</f>
        <v/>
      </c>
    </row>
    <row r="496">
      <c r="A496" s="32" t="n">
        <v>486</v>
      </c>
      <c r="B496" s="33" t="n"/>
      <c r="C496" s="33" t="n"/>
      <c r="D496" s="33" t="n"/>
      <c r="E496" s="33" t="inlineStr">
        <is>
          <t>-</t>
        </is>
      </c>
      <c r="F496" s="54">
        <f>IFERROR((VLOOKUP(E496,$AE$11:$AG$14,3,0)),"-")</f>
        <v/>
      </c>
      <c r="G496" s="33" t="n"/>
      <c r="H496" s="33" t="n"/>
      <c r="I496" s="46" t="n"/>
      <c r="J496" s="35" t="n"/>
      <c r="K496" s="35" t="n"/>
      <c r="L496" s="36">
        <f>IF($H$4="-",0,IF($H$4="VAREJO",AW496,IF($H$4="ATACADO",AX496,0)))</f>
        <v/>
      </c>
      <c r="M496" s="33" t="n"/>
      <c r="AN496" s="47" t="n">
        <v>486</v>
      </c>
      <c r="AO496" s="117">
        <f>I496+(I496*J496)+(I496*K496)</f>
        <v/>
      </c>
      <c r="AP496" s="43">
        <f>IFERROR(VLOOKUP(E496,$AE$11:$AK$14,4,0),0)</f>
        <v/>
      </c>
      <c r="AQ496" s="117">
        <f>(I496+(I496*J496)+(I496*K496))*AP496</f>
        <v/>
      </c>
      <c r="AR496" s="118">
        <f>AO496+AQ496</f>
        <v/>
      </c>
      <c r="AT496" s="39">
        <f>IFERROR((VLOOKUP(E496,$AE$11:$AJ$14,5,0)),0)</f>
        <v/>
      </c>
      <c r="AU496" s="39">
        <f>IFERROR((VLOOKUP(E496,$AE$11:$AJ$14,6,0)),0)</f>
        <v/>
      </c>
      <c r="AW496" s="119">
        <f>AR496*AT496</f>
        <v/>
      </c>
      <c r="AX496" s="119">
        <f>AR496*AU496</f>
        <v/>
      </c>
    </row>
    <row r="497">
      <c r="A497" s="32" t="n">
        <v>487</v>
      </c>
      <c r="B497" s="33" t="n"/>
      <c r="C497" s="33" t="n"/>
      <c r="D497" s="33" t="n"/>
      <c r="E497" s="33" t="inlineStr">
        <is>
          <t>-</t>
        </is>
      </c>
      <c r="F497" s="54">
        <f>IFERROR((VLOOKUP(E497,$AE$11:$AG$14,3,0)),"-")</f>
        <v/>
      </c>
      <c r="G497" s="33" t="n"/>
      <c r="H497" s="33" t="n"/>
      <c r="I497" s="46" t="n"/>
      <c r="J497" s="35" t="n"/>
      <c r="K497" s="35" t="n"/>
      <c r="L497" s="36">
        <f>IF($H$4="-",0,IF($H$4="VAREJO",AW497,IF($H$4="ATACADO",AX497,0)))</f>
        <v/>
      </c>
      <c r="M497" s="33" t="n"/>
      <c r="AN497" s="47" t="n">
        <v>487</v>
      </c>
      <c r="AO497" s="117">
        <f>I497+(I497*J497)+(I497*K497)</f>
        <v/>
      </c>
      <c r="AP497" s="43">
        <f>IFERROR(VLOOKUP(E497,$AE$11:$AK$14,4,0),0)</f>
        <v/>
      </c>
      <c r="AQ497" s="117">
        <f>(I497+(I497*J497)+(I497*K497))*AP497</f>
        <v/>
      </c>
      <c r="AR497" s="118">
        <f>AO497+AQ497</f>
        <v/>
      </c>
      <c r="AT497" s="39">
        <f>IFERROR((VLOOKUP(E497,$AE$11:$AJ$14,5,0)),0)</f>
        <v/>
      </c>
      <c r="AU497" s="39">
        <f>IFERROR((VLOOKUP(E497,$AE$11:$AJ$14,6,0)),0)</f>
        <v/>
      </c>
      <c r="AW497" s="119">
        <f>AR497*AT497</f>
        <v/>
      </c>
      <c r="AX497" s="119">
        <f>AR497*AU497</f>
        <v/>
      </c>
    </row>
    <row r="498">
      <c r="A498" s="32" t="n">
        <v>488</v>
      </c>
      <c r="B498" s="33" t="n"/>
      <c r="C498" s="33" t="n"/>
      <c r="D498" s="33" t="n"/>
      <c r="E498" s="33" t="inlineStr">
        <is>
          <t>-</t>
        </is>
      </c>
      <c r="F498" s="54">
        <f>IFERROR((VLOOKUP(E498,$AE$11:$AG$14,3,0)),"-")</f>
        <v/>
      </c>
      <c r="G498" s="33" t="n"/>
      <c r="H498" s="33" t="n"/>
      <c r="I498" s="46" t="n"/>
      <c r="J498" s="35" t="n"/>
      <c r="K498" s="35" t="n"/>
      <c r="L498" s="36">
        <f>IF($H$4="-",0,IF($H$4="VAREJO",AW498,IF($H$4="ATACADO",AX498,0)))</f>
        <v/>
      </c>
      <c r="M498" s="33" t="n"/>
      <c r="AN498" s="47" t="n">
        <v>488</v>
      </c>
      <c r="AO498" s="117">
        <f>I498+(I498*J498)+(I498*K498)</f>
        <v/>
      </c>
      <c r="AP498" s="43">
        <f>IFERROR(VLOOKUP(E498,$AE$11:$AK$14,4,0),0)</f>
        <v/>
      </c>
      <c r="AQ498" s="117">
        <f>(I498+(I498*J498)+(I498*K498))*AP498</f>
        <v/>
      </c>
      <c r="AR498" s="118">
        <f>AO498+AQ498</f>
        <v/>
      </c>
      <c r="AT498" s="39">
        <f>IFERROR((VLOOKUP(E498,$AE$11:$AJ$14,5,0)),0)</f>
        <v/>
      </c>
      <c r="AU498" s="39">
        <f>IFERROR((VLOOKUP(E498,$AE$11:$AJ$14,6,0)),0)</f>
        <v/>
      </c>
      <c r="AW498" s="119">
        <f>AR498*AT498</f>
        <v/>
      </c>
      <c r="AX498" s="119">
        <f>AR498*AU498</f>
        <v/>
      </c>
    </row>
    <row r="499">
      <c r="A499" s="32" t="n">
        <v>489</v>
      </c>
      <c r="B499" s="33" t="n"/>
      <c r="C499" s="33" t="n"/>
      <c r="D499" s="33" t="n"/>
      <c r="E499" s="33" t="inlineStr">
        <is>
          <t>-</t>
        </is>
      </c>
      <c r="F499" s="54">
        <f>IFERROR((VLOOKUP(E499,$AE$11:$AG$14,3,0)),"-")</f>
        <v/>
      </c>
      <c r="G499" s="33" t="n"/>
      <c r="H499" s="33" t="n"/>
      <c r="I499" s="46" t="n"/>
      <c r="J499" s="35" t="n"/>
      <c r="K499" s="35" t="n"/>
      <c r="L499" s="36">
        <f>IF($H$4="-",0,IF($H$4="VAREJO",AW499,IF($H$4="ATACADO",AX499,0)))</f>
        <v/>
      </c>
      <c r="M499" s="33" t="n"/>
      <c r="AN499" s="47" t="n">
        <v>489</v>
      </c>
      <c r="AO499" s="117">
        <f>I499+(I499*J499)+(I499*K499)</f>
        <v/>
      </c>
      <c r="AP499" s="43">
        <f>IFERROR(VLOOKUP(E499,$AE$11:$AK$14,4,0),0)</f>
        <v/>
      </c>
      <c r="AQ499" s="117">
        <f>(I499+(I499*J499)+(I499*K499))*AP499</f>
        <v/>
      </c>
      <c r="AR499" s="118">
        <f>AO499+AQ499</f>
        <v/>
      </c>
      <c r="AT499" s="39">
        <f>IFERROR((VLOOKUP(E499,$AE$11:$AJ$14,5,0)),0)</f>
        <v/>
      </c>
      <c r="AU499" s="39">
        <f>IFERROR((VLOOKUP(E499,$AE$11:$AJ$14,6,0)),0)</f>
        <v/>
      </c>
      <c r="AW499" s="119">
        <f>AR499*AT499</f>
        <v/>
      </c>
      <c r="AX499" s="119">
        <f>AR499*AU499</f>
        <v/>
      </c>
    </row>
    <row r="500">
      <c r="A500" s="32" t="n">
        <v>490</v>
      </c>
      <c r="B500" s="33" t="n"/>
      <c r="C500" s="33" t="n"/>
      <c r="D500" s="33" t="n"/>
      <c r="E500" s="33" t="inlineStr">
        <is>
          <t>-</t>
        </is>
      </c>
      <c r="F500" s="54">
        <f>IFERROR((VLOOKUP(E500,$AE$11:$AG$14,3,0)),"-")</f>
        <v/>
      </c>
      <c r="G500" s="33" t="n"/>
      <c r="H500" s="33" t="n"/>
      <c r="I500" s="46" t="n"/>
      <c r="J500" s="35" t="n"/>
      <c r="K500" s="35" t="n"/>
      <c r="L500" s="36">
        <f>IF($H$4="-",0,IF($H$4="VAREJO",AW500,IF($H$4="ATACADO",AX500,0)))</f>
        <v/>
      </c>
      <c r="M500" s="33" t="n"/>
      <c r="AN500" s="47" t="n">
        <v>490</v>
      </c>
      <c r="AO500" s="117">
        <f>I500+(I500*J500)+(I500*K500)</f>
        <v/>
      </c>
      <c r="AP500" s="43">
        <f>IFERROR(VLOOKUP(E500,$AE$11:$AK$14,4,0),0)</f>
        <v/>
      </c>
      <c r="AQ500" s="117">
        <f>(I500+(I500*J500)+(I500*K500))*AP500</f>
        <v/>
      </c>
      <c r="AR500" s="118">
        <f>AO500+AQ500</f>
        <v/>
      </c>
      <c r="AT500" s="39">
        <f>IFERROR((VLOOKUP(E500,$AE$11:$AJ$14,5,0)),0)</f>
        <v/>
      </c>
      <c r="AU500" s="39">
        <f>IFERROR((VLOOKUP(E500,$AE$11:$AJ$14,6,0)),0)</f>
        <v/>
      </c>
      <c r="AW500" s="119">
        <f>AR500*AT500</f>
        <v/>
      </c>
      <c r="AX500" s="119">
        <f>AR500*AU500</f>
        <v/>
      </c>
    </row>
    <row r="501">
      <c r="A501" s="32" t="n">
        <v>491</v>
      </c>
      <c r="B501" s="33" t="n"/>
      <c r="C501" s="33" t="n"/>
      <c r="D501" s="33" t="n"/>
      <c r="E501" s="33" t="inlineStr">
        <is>
          <t>-</t>
        </is>
      </c>
      <c r="F501" s="54">
        <f>IFERROR((VLOOKUP(E501,$AE$11:$AG$14,3,0)),"-")</f>
        <v/>
      </c>
      <c r="G501" s="33" t="n"/>
      <c r="H501" s="33" t="n"/>
      <c r="I501" s="46" t="n"/>
      <c r="J501" s="35" t="n"/>
      <c r="K501" s="35" t="n"/>
      <c r="L501" s="36">
        <f>IF($H$4="-",0,IF($H$4="VAREJO",AW501,IF($H$4="ATACADO",AX501,0)))</f>
        <v/>
      </c>
      <c r="M501" s="33" t="n"/>
      <c r="AN501" s="47" t="n">
        <v>491</v>
      </c>
      <c r="AO501" s="117">
        <f>I501+(I501*J501)+(I501*K501)</f>
        <v/>
      </c>
      <c r="AP501" s="43">
        <f>IFERROR(VLOOKUP(E501,$AE$11:$AK$14,4,0),0)</f>
        <v/>
      </c>
      <c r="AQ501" s="117">
        <f>(I501+(I501*J501)+(I501*K501))*AP501</f>
        <v/>
      </c>
      <c r="AR501" s="118">
        <f>AO501+AQ501</f>
        <v/>
      </c>
      <c r="AT501" s="39">
        <f>IFERROR((VLOOKUP(E501,$AE$11:$AJ$14,5,0)),0)</f>
        <v/>
      </c>
      <c r="AU501" s="39">
        <f>IFERROR((VLOOKUP(E501,$AE$11:$AJ$14,6,0)),0)</f>
        <v/>
      </c>
      <c r="AW501" s="119">
        <f>AR501*AT501</f>
        <v/>
      </c>
      <c r="AX501" s="119">
        <f>AR501*AU501</f>
        <v/>
      </c>
    </row>
    <row r="502">
      <c r="A502" s="32" t="n">
        <v>492</v>
      </c>
      <c r="B502" s="33" t="n"/>
      <c r="C502" s="33" t="n"/>
      <c r="D502" s="33" t="n"/>
      <c r="E502" s="33" t="inlineStr">
        <is>
          <t>-</t>
        </is>
      </c>
      <c r="F502" s="54">
        <f>IFERROR((VLOOKUP(E502,$AE$11:$AG$14,3,0)),"-")</f>
        <v/>
      </c>
      <c r="G502" s="33" t="n"/>
      <c r="H502" s="33" t="n"/>
      <c r="I502" s="46" t="n"/>
      <c r="J502" s="35" t="n"/>
      <c r="K502" s="35" t="n"/>
      <c r="L502" s="36">
        <f>IF($H$4="-",0,IF($H$4="VAREJO",AW502,IF($H$4="ATACADO",AX502,0)))</f>
        <v/>
      </c>
      <c r="M502" s="33" t="n"/>
      <c r="AN502" s="47" t="n">
        <v>492</v>
      </c>
      <c r="AO502" s="117">
        <f>I502+(I502*J502)+(I502*K502)</f>
        <v/>
      </c>
      <c r="AP502" s="43">
        <f>IFERROR(VLOOKUP(E502,$AE$11:$AK$14,4,0),0)</f>
        <v/>
      </c>
      <c r="AQ502" s="117">
        <f>(I502+(I502*J502)+(I502*K502))*AP502</f>
        <v/>
      </c>
      <c r="AR502" s="118">
        <f>AO502+AQ502</f>
        <v/>
      </c>
      <c r="AT502" s="39">
        <f>IFERROR((VLOOKUP(E502,$AE$11:$AJ$14,5,0)),0)</f>
        <v/>
      </c>
      <c r="AU502" s="39">
        <f>IFERROR((VLOOKUP(E502,$AE$11:$AJ$14,6,0)),0)</f>
        <v/>
      </c>
      <c r="AW502" s="119">
        <f>AR502*AT502</f>
        <v/>
      </c>
      <c r="AX502" s="119">
        <f>AR502*AU502</f>
        <v/>
      </c>
    </row>
    <row r="503">
      <c r="A503" s="32" t="n">
        <v>493</v>
      </c>
      <c r="B503" s="33" t="n"/>
      <c r="C503" s="33" t="n"/>
      <c r="D503" s="33" t="n"/>
      <c r="E503" s="33" t="inlineStr">
        <is>
          <t>-</t>
        </is>
      </c>
      <c r="F503" s="54">
        <f>IFERROR((VLOOKUP(E503,$AE$11:$AG$14,3,0)),"-")</f>
        <v/>
      </c>
      <c r="G503" s="33" t="n"/>
      <c r="H503" s="33" t="n"/>
      <c r="I503" s="46" t="n"/>
      <c r="J503" s="35" t="n"/>
      <c r="K503" s="35" t="n"/>
      <c r="L503" s="36">
        <f>IF($H$4="-",0,IF($H$4="VAREJO",AW503,IF($H$4="ATACADO",AX503,0)))</f>
        <v/>
      </c>
      <c r="M503" s="33" t="n"/>
      <c r="AN503" s="47" t="n">
        <v>493</v>
      </c>
      <c r="AO503" s="117">
        <f>I503+(I503*J503)+(I503*K503)</f>
        <v/>
      </c>
      <c r="AP503" s="43">
        <f>IFERROR(VLOOKUP(E503,$AE$11:$AK$14,4,0),0)</f>
        <v/>
      </c>
      <c r="AQ503" s="117">
        <f>(I503+(I503*J503)+(I503*K503))*AP503</f>
        <v/>
      </c>
      <c r="AR503" s="118">
        <f>AO503+AQ503</f>
        <v/>
      </c>
      <c r="AT503" s="39">
        <f>IFERROR((VLOOKUP(E503,$AE$11:$AJ$14,5,0)),0)</f>
        <v/>
      </c>
      <c r="AU503" s="39">
        <f>IFERROR((VLOOKUP(E503,$AE$11:$AJ$14,6,0)),0)</f>
        <v/>
      </c>
      <c r="AW503" s="119">
        <f>AR503*AT503</f>
        <v/>
      </c>
      <c r="AX503" s="119">
        <f>AR503*AU503</f>
        <v/>
      </c>
    </row>
    <row r="504">
      <c r="A504" s="32" t="n">
        <v>494</v>
      </c>
      <c r="B504" s="33" t="n"/>
      <c r="C504" s="33" t="n"/>
      <c r="D504" s="33" t="n"/>
      <c r="E504" s="33" t="inlineStr">
        <is>
          <t>-</t>
        </is>
      </c>
      <c r="F504" s="54">
        <f>IFERROR((VLOOKUP(E504,$AE$11:$AG$14,3,0)),"-")</f>
        <v/>
      </c>
      <c r="G504" s="33" t="n"/>
      <c r="H504" s="33" t="n"/>
      <c r="I504" s="46" t="n"/>
      <c r="J504" s="35" t="n"/>
      <c r="K504" s="35" t="n"/>
      <c r="L504" s="36">
        <f>IF($H$4="-",0,IF($H$4="VAREJO",AW504,IF($H$4="ATACADO",AX504,0)))</f>
        <v/>
      </c>
      <c r="M504" s="33" t="n"/>
      <c r="AN504" s="47" t="n">
        <v>494</v>
      </c>
      <c r="AO504" s="117">
        <f>I504+(I504*J504)+(I504*K504)</f>
        <v/>
      </c>
      <c r="AP504" s="43">
        <f>IFERROR(VLOOKUP(E504,$AE$11:$AK$14,4,0),0)</f>
        <v/>
      </c>
      <c r="AQ504" s="117">
        <f>(I504+(I504*J504)+(I504*K504))*AP504</f>
        <v/>
      </c>
      <c r="AR504" s="118">
        <f>AO504+AQ504</f>
        <v/>
      </c>
      <c r="AT504" s="39">
        <f>IFERROR((VLOOKUP(E504,$AE$11:$AJ$14,5,0)),0)</f>
        <v/>
      </c>
      <c r="AU504" s="39">
        <f>IFERROR((VLOOKUP(E504,$AE$11:$AJ$14,6,0)),0)</f>
        <v/>
      </c>
      <c r="AW504" s="119">
        <f>AR504*AT504</f>
        <v/>
      </c>
      <c r="AX504" s="119">
        <f>AR504*AU504</f>
        <v/>
      </c>
    </row>
    <row r="505">
      <c r="A505" s="32" t="n">
        <v>495</v>
      </c>
      <c r="B505" s="33" t="n"/>
      <c r="C505" s="33" t="n"/>
      <c r="D505" s="33" t="n"/>
      <c r="E505" s="33" t="inlineStr">
        <is>
          <t>-</t>
        </is>
      </c>
      <c r="F505" s="54">
        <f>IFERROR((VLOOKUP(E505,$AE$11:$AG$14,3,0)),"-")</f>
        <v/>
      </c>
      <c r="G505" s="33" t="n"/>
      <c r="H505" s="33" t="n"/>
      <c r="I505" s="46" t="n"/>
      <c r="J505" s="35" t="n"/>
      <c r="K505" s="35" t="n"/>
      <c r="L505" s="36">
        <f>IF($H$4="-",0,IF($H$4="VAREJO",AW505,IF($H$4="ATACADO",AX505,0)))</f>
        <v/>
      </c>
      <c r="M505" s="33" t="n"/>
      <c r="AN505" s="47" t="n">
        <v>495</v>
      </c>
      <c r="AO505" s="117">
        <f>I505+(I505*J505)+(I505*K505)</f>
        <v/>
      </c>
      <c r="AP505" s="43">
        <f>IFERROR(VLOOKUP(E505,$AE$11:$AK$14,4,0),0)</f>
        <v/>
      </c>
      <c r="AQ505" s="117">
        <f>(I505+(I505*J505)+(I505*K505))*AP505</f>
        <v/>
      </c>
      <c r="AR505" s="118">
        <f>AO505+AQ505</f>
        <v/>
      </c>
      <c r="AT505" s="39">
        <f>IFERROR((VLOOKUP(E505,$AE$11:$AJ$14,5,0)),0)</f>
        <v/>
      </c>
      <c r="AU505" s="39">
        <f>IFERROR((VLOOKUP(E505,$AE$11:$AJ$14,6,0)),0)</f>
        <v/>
      </c>
      <c r="AW505" s="119">
        <f>AR505*AT505</f>
        <v/>
      </c>
      <c r="AX505" s="119">
        <f>AR505*AU505</f>
        <v/>
      </c>
    </row>
    <row r="506">
      <c r="A506" s="32" t="n">
        <v>496</v>
      </c>
      <c r="B506" s="33" t="n"/>
      <c r="C506" s="33" t="n"/>
      <c r="D506" s="33" t="n"/>
      <c r="E506" s="33" t="inlineStr">
        <is>
          <t>-</t>
        </is>
      </c>
      <c r="F506" s="54">
        <f>IFERROR((VLOOKUP(E506,$AE$11:$AG$14,3,0)),"-")</f>
        <v/>
      </c>
      <c r="G506" s="33" t="n"/>
      <c r="H506" s="33" t="n"/>
      <c r="I506" s="46" t="n"/>
      <c r="J506" s="35" t="n"/>
      <c r="K506" s="35" t="n"/>
      <c r="L506" s="36">
        <f>IF($H$4="-",0,IF($H$4="VAREJO",AW506,IF($H$4="ATACADO",AX506,0)))</f>
        <v/>
      </c>
      <c r="M506" s="33" t="n"/>
      <c r="AN506" s="47" t="n">
        <v>496</v>
      </c>
      <c r="AO506" s="117">
        <f>I506+(I506*J506)+(I506*K506)</f>
        <v/>
      </c>
      <c r="AP506" s="43">
        <f>IFERROR(VLOOKUP(E506,$AE$11:$AK$14,4,0),0)</f>
        <v/>
      </c>
      <c r="AQ506" s="117">
        <f>(I506+(I506*J506)+(I506*K506))*AP506</f>
        <v/>
      </c>
      <c r="AR506" s="118">
        <f>AO506+AQ506</f>
        <v/>
      </c>
      <c r="AT506" s="39">
        <f>IFERROR((VLOOKUP(E506,$AE$11:$AJ$14,5,0)),0)</f>
        <v/>
      </c>
      <c r="AU506" s="39">
        <f>IFERROR((VLOOKUP(E506,$AE$11:$AJ$14,6,0)),0)</f>
        <v/>
      </c>
      <c r="AW506" s="119">
        <f>AR506*AT506</f>
        <v/>
      </c>
      <c r="AX506" s="119">
        <f>AR506*AU506</f>
        <v/>
      </c>
    </row>
    <row r="507">
      <c r="A507" s="32" t="n">
        <v>497</v>
      </c>
      <c r="B507" s="33" t="n"/>
      <c r="C507" s="33" t="n"/>
      <c r="D507" s="33" t="n"/>
      <c r="E507" s="33" t="inlineStr">
        <is>
          <t>-</t>
        </is>
      </c>
      <c r="F507" s="54">
        <f>IFERROR((VLOOKUP(E507,$AE$11:$AG$14,3,0)),"-")</f>
        <v/>
      </c>
      <c r="G507" s="33" t="n"/>
      <c r="H507" s="33" t="n"/>
      <c r="I507" s="46" t="n"/>
      <c r="J507" s="35" t="n"/>
      <c r="K507" s="35" t="n"/>
      <c r="L507" s="36">
        <f>IF($H$4="-",0,IF($H$4="VAREJO",AW507,IF($H$4="ATACADO",AX507,0)))</f>
        <v/>
      </c>
      <c r="M507" s="33" t="n"/>
      <c r="AN507" s="47" t="n">
        <v>497</v>
      </c>
      <c r="AO507" s="117">
        <f>I507+(I507*J507)+(I507*K507)</f>
        <v/>
      </c>
      <c r="AP507" s="43">
        <f>IFERROR(VLOOKUP(E507,$AE$11:$AK$14,4,0),0)</f>
        <v/>
      </c>
      <c r="AQ507" s="117">
        <f>(I507+(I507*J507)+(I507*K507))*AP507</f>
        <v/>
      </c>
      <c r="AR507" s="118">
        <f>AO507+AQ507</f>
        <v/>
      </c>
      <c r="AT507" s="39">
        <f>IFERROR((VLOOKUP(E507,$AE$11:$AJ$14,5,0)),0)</f>
        <v/>
      </c>
      <c r="AU507" s="39">
        <f>IFERROR((VLOOKUP(E507,$AE$11:$AJ$14,6,0)),0)</f>
        <v/>
      </c>
      <c r="AW507" s="119">
        <f>AR507*AT507</f>
        <v/>
      </c>
      <c r="AX507" s="119">
        <f>AR507*AU507</f>
        <v/>
      </c>
    </row>
    <row r="508">
      <c r="A508" s="32" t="n">
        <v>498</v>
      </c>
      <c r="B508" s="33" t="n"/>
      <c r="C508" s="33" t="n"/>
      <c r="D508" s="33" t="n"/>
      <c r="E508" s="33" t="inlineStr">
        <is>
          <t>-</t>
        </is>
      </c>
      <c r="F508" s="54">
        <f>IFERROR((VLOOKUP(E508,$AE$11:$AG$14,3,0)),"-")</f>
        <v/>
      </c>
      <c r="G508" s="33" t="n"/>
      <c r="H508" s="33" t="n"/>
      <c r="I508" s="46" t="n"/>
      <c r="J508" s="35" t="n"/>
      <c r="K508" s="35" t="n"/>
      <c r="L508" s="36">
        <f>IF($H$4="-",0,IF($H$4="VAREJO",AW508,IF($H$4="ATACADO",AX508,0)))</f>
        <v/>
      </c>
      <c r="M508" s="33" t="n"/>
      <c r="AN508" s="47" t="n">
        <v>498</v>
      </c>
      <c r="AO508" s="117">
        <f>I508+(I508*J508)+(I508*K508)</f>
        <v/>
      </c>
      <c r="AP508" s="43">
        <f>IFERROR(VLOOKUP(E508,$AE$11:$AK$14,4,0),0)</f>
        <v/>
      </c>
      <c r="AQ508" s="117">
        <f>(I508+(I508*J508)+(I508*K508))*AP508</f>
        <v/>
      </c>
      <c r="AR508" s="118">
        <f>AO508+AQ508</f>
        <v/>
      </c>
      <c r="AT508" s="39">
        <f>IFERROR((VLOOKUP(E508,$AE$11:$AJ$14,5,0)),0)</f>
        <v/>
      </c>
      <c r="AU508" s="39">
        <f>IFERROR((VLOOKUP(E508,$AE$11:$AJ$14,6,0)),0)</f>
        <v/>
      </c>
      <c r="AW508" s="119">
        <f>AR508*AT508</f>
        <v/>
      </c>
      <c r="AX508" s="119">
        <f>AR508*AU508</f>
        <v/>
      </c>
    </row>
    <row r="509">
      <c r="A509" s="32" t="n">
        <v>499</v>
      </c>
      <c r="B509" s="33" t="n"/>
      <c r="C509" s="33" t="n"/>
      <c r="D509" s="33" t="n"/>
      <c r="E509" s="33" t="inlineStr">
        <is>
          <t>-</t>
        </is>
      </c>
      <c r="F509" s="54">
        <f>IFERROR((VLOOKUP(E509,$AE$11:$AG$14,3,0)),"-")</f>
        <v/>
      </c>
      <c r="G509" s="33" t="n"/>
      <c r="H509" s="33" t="n"/>
      <c r="I509" s="46" t="n"/>
      <c r="J509" s="35" t="n"/>
      <c r="K509" s="35" t="n"/>
      <c r="L509" s="36">
        <f>IF($H$4="-",0,IF($H$4="VAREJO",AW509,IF($H$4="ATACADO",AX509,0)))</f>
        <v/>
      </c>
      <c r="M509" s="33" t="n"/>
      <c r="AN509" s="47" t="n">
        <v>499</v>
      </c>
      <c r="AO509" s="117">
        <f>I509+(I509*J509)+(I509*K509)</f>
        <v/>
      </c>
      <c r="AP509" s="43">
        <f>IFERROR(VLOOKUP(E509,$AE$11:$AK$14,4,0),0)</f>
        <v/>
      </c>
      <c r="AQ509" s="117">
        <f>(I509+(I509*J509)+(I509*K509))*AP509</f>
        <v/>
      </c>
      <c r="AR509" s="118">
        <f>AO509+AQ509</f>
        <v/>
      </c>
      <c r="AT509" s="39">
        <f>IFERROR((VLOOKUP(E509,$AE$11:$AJ$14,5,0)),0)</f>
        <v/>
      </c>
      <c r="AU509" s="39">
        <f>IFERROR((VLOOKUP(E509,$AE$11:$AJ$14,6,0)),0)</f>
        <v/>
      </c>
      <c r="AW509" s="119">
        <f>AR509*AT509</f>
        <v/>
      </c>
      <c r="AX509" s="119">
        <f>AR509*AU509</f>
        <v/>
      </c>
    </row>
    <row r="510">
      <c r="A510" s="32" t="n">
        <v>500</v>
      </c>
      <c r="B510" s="33" t="n"/>
      <c r="C510" s="33" t="n"/>
      <c r="D510" s="33" t="n"/>
      <c r="E510" s="33" t="inlineStr">
        <is>
          <t>-</t>
        </is>
      </c>
      <c r="F510" s="54">
        <f>IFERROR((VLOOKUP(E510,$AE$11:$AG$14,3,0)),"-")</f>
        <v/>
      </c>
      <c r="G510" s="33" t="n"/>
      <c r="H510" s="33" t="n"/>
      <c r="I510" s="46" t="n"/>
      <c r="J510" s="35" t="n"/>
      <c r="K510" s="35" t="n"/>
      <c r="L510" s="36">
        <f>IF($H$4="-",0,IF($H$4="VAREJO",AW510,IF($H$4="ATACADO",AX510,0)))</f>
        <v/>
      </c>
      <c r="M510" s="33" t="n"/>
      <c r="AN510" s="47" t="n">
        <v>500</v>
      </c>
      <c r="AO510" s="117">
        <f>I510+(I510*J510)+(I510*K510)</f>
        <v/>
      </c>
      <c r="AP510" s="43">
        <f>IFERROR(VLOOKUP(E510,$AE$11:$AK$14,4,0),0)</f>
        <v/>
      </c>
      <c r="AQ510" s="117">
        <f>(I510+(I510*J510)+(I510*K510))*AP510</f>
        <v/>
      </c>
      <c r="AR510" s="118">
        <f>AO510+AQ510</f>
        <v/>
      </c>
      <c r="AT510" s="39">
        <f>IFERROR((VLOOKUP(E510,$AE$11:$AJ$14,5,0)),0)</f>
        <v/>
      </c>
      <c r="AU510" s="39">
        <f>IFERROR((VLOOKUP(E510,$AE$11:$AJ$14,6,0)),0)</f>
        <v/>
      </c>
      <c r="AW510" s="119">
        <f>AR510*AT510</f>
        <v/>
      </c>
      <c r="AX510" s="119">
        <f>AR510*AU510</f>
        <v/>
      </c>
    </row>
  </sheetData>
  <sheetProtection selectLockedCells="0" selectUnlockedCells="0" algorithmName="SHA-512" sheet="1" objects="0" insertRows="1" insertHyperlinks="1" autoFilter="0" scenarios="0" formatColumns="1" deleteColumns="1" insertColumns="1" pivotTables="1" deleteRows="1" formatCells="1" saltValue="cK0/JhpCIVBJ0Bks2hhqVw==" formatRows="0" sort="0" spinCount="100000" hashValue="hT9KzTlZQhJLy0dHGYAuRsfaHFgAxzkJDzDyLfX7v9uqjmBwILJgGpaDoarLvfbHpVo4D/JT1lQyXsZoYF6Yjw=="/>
  <autoFilter ref="A10:L110"/>
  <mergeCells count="14">
    <mergeCell ref="A4:B4"/>
    <mergeCell ref="K3:L4"/>
    <mergeCell ref="H3:I3"/>
    <mergeCell ref="A7:B7"/>
    <mergeCell ref="A5:B5"/>
    <mergeCell ref="K5:L5"/>
    <mergeCell ref="D1:M1"/>
    <mergeCell ref="H4:I4"/>
    <mergeCell ref="A8:B8"/>
    <mergeCell ref="C3:D3"/>
    <mergeCell ref="A3:B3"/>
    <mergeCell ref="A6:B6"/>
    <mergeCell ref="C8:D8"/>
    <mergeCell ref="C4:D4"/>
  </mergeCells>
  <pageMargins left="0.7480314960629921" right="0.5118110236220472" top="0.7874015748031497" bottom="0.7874015748031497" header="0.3149606299212598" footer="0.3149606299212598"/>
  <pageSetup orientation="landscape" paperSize="9" scale="34" fitToHeight="0" blackAndWhite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codeName="Planilha3" filterMode="1">
    <tabColor rgb="FF00B050"/>
    <outlinePr summaryBelow="1" summaryRight="1"/>
    <pageSetUpPr fitToPage="1"/>
  </sheetPr>
  <dimension ref="A1:X510"/>
  <sheetViews>
    <sheetView showGridLines="0" view="pageBreakPreview" zoomScale="85" zoomScaleNormal="85" zoomScaleSheetLayoutView="85" workbookViewId="0">
      <selection activeCell="C4" sqref="C4:D4"/>
    </sheetView>
  </sheetViews>
  <sheetFormatPr baseColWidth="8" defaultColWidth="9.109375" defaultRowHeight="14.4"/>
  <cols>
    <col width="9.6640625" customWidth="1" style="63" min="1" max="1"/>
    <col width="15.109375" customWidth="1" style="63" min="2" max="2"/>
    <col width="16.6640625" customWidth="1" style="63" min="3" max="3"/>
    <col width="56" customWidth="1" style="62" min="4" max="4"/>
    <col width="34.33203125" customWidth="1" style="62" min="5" max="5"/>
    <col width="17.6640625" customWidth="1" style="62" min="6" max="6"/>
    <col width="24.5546875" customWidth="1" style="62" min="7" max="8"/>
    <col width="45.5546875" customWidth="1" style="62" min="9" max="9"/>
    <col width="1.5546875" customWidth="1" style="62" min="10" max="10"/>
    <col width="19.33203125" customWidth="1" style="62" min="11" max="11"/>
    <col width="9.109375" customWidth="1" style="62" min="12" max="16384"/>
  </cols>
  <sheetData>
    <row r="1" ht="62.25" customHeight="1">
      <c r="A1" s="98" t="n"/>
      <c r="B1" s="107" t="n"/>
      <c r="C1" s="104">
        <f>CONCATENATE("CTD ",C5," - Rev. ",C6," - ",C8," - ",C4)</f>
        <v/>
      </c>
      <c r="D1" s="107" t="n"/>
      <c r="E1" s="107" t="n"/>
      <c r="F1" s="107" t="n"/>
      <c r="G1" s="107" t="n"/>
      <c r="H1" s="107" t="n"/>
      <c r="I1" s="108" t="n"/>
    </row>
    <row r="2" ht="6" customHeight="1">
      <c r="C2" s="64" t="n"/>
    </row>
    <row r="3" ht="18" customHeight="1">
      <c r="A3" s="106" t="inlineStr">
        <is>
          <t>Orçamentista:</t>
        </is>
      </c>
      <c r="B3" s="120" t="n"/>
      <c r="C3" s="102">
        <f>'COMPOSIÇÃO DE VALORES'!C3</f>
        <v/>
      </c>
      <c r="D3" s="108" t="n"/>
      <c r="E3" s="66" t="n"/>
      <c r="F3" s="100" t="inlineStr">
        <is>
          <t>Categoria</t>
        </is>
      </c>
      <c r="G3" s="108" t="n"/>
      <c r="H3" s="68" t="n"/>
      <c r="I3" s="100" t="inlineStr">
        <is>
          <t>Soma Total</t>
        </is>
      </c>
      <c r="J3" s="69" t="n"/>
    </row>
    <row r="4" ht="18" customHeight="1">
      <c r="A4" s="106" t="inlineStr">
        <is>
          <t>Vendedor(a):</t>
        </is>
      </c>
      <c r="B4" s="120" t="n"/>
      <c r="C4" s="102">
        <f>'COMPOSIÇÃO DE VALORES'!C4</f>
        <v/>
      </c>
      <c r="D4" s="108" t="n"/>
      <c r="E4" s="66" t="n"/>
      <c r="F4" s="101">
        <f>W4</f>
        <v/>
      </c>
      <c r="G4" s="108" t="n"/>
      <c r="H4" s="70" t="n"/>
      <c r="I4" s="71">
        <f>SUM(H11:H5000)</f>
        <v/>
      </c>
      <c r="J4" s="72" t="n"/>
      <c r="W4" s="73">
        <f t="array" ref="W4:X4">'COMPOSIÇÃO DE VALORES'!H4:I4</f>
        <v/>
      </c>
      <c r="X4" s="73" t="n">
        <v>0</v>
      </c>
    </row>
    <row r="5" ht="18" customHeight="1">
      <c r="A5" s="106" t="inlineStr">
        <is>
          <t>Nº CTD:</t>
        </is>
      </c>
      <c r="B5" s="120" t="n"/>
      <c r="C5" s="74">
        <f>'COMPOSIÇÃO DE VALORES'!C5</f>
        <v/>
      </c>
      <c r="E5" s="66" t="n"/>
      <c r="F5" s="75" t="n"/>
      <c r="G5" s="70" t="n"/>
      <c r="H5" s="70" t="n"/>
      <c r="I5" s="70" t="n"/>
      <c r="W5" s="73" t="n"/>
      <c r="X5" s="73" t="n"/>
    </row>
    <row r="6" ht="18" customHeight="1">
      <c r="A6" s="106" t="inlineStr">
        <is>
          <t>Revisão:</t>
        </is>
      </c>
      <c r="B6" s="120" t="n"/>
      <c r="C6" s="74">
        <f>'COMPOSIÇÃO DE VALORES'!C6</f>
        <v/>
      </c>
      <c r="E6" s="66" t="n"/>
      <c r="F6" s="75" t="n"/>
      <c r="G6" s="70" t="n"/>
      <c r="H6" s="70" t="n"/>
      <c r="I6" s="70" t="n"/>
      <c r="W6" s="73" t="n"/>
      <c r="X6" s="73" t="n"/>
    </row>
    <row r="7" ht="4.5" customHeight="1">
      <c r="A7" s="105" t="n"/>
      <c r="B7" s="105" t="n"/>
      <c r="D7" s="76" t="n"/>
      <c r="E7" s="66" t="n"/>
      <c r="F7" s="75" t="n"/>
      <c r="G7" s="70" t="n"/>
      <c r="H7" s="70" t="n"/>
      <c r="I7" s="70" t="n"/>
    </row>
    <row r="8" ht="18" customHeight="1">
      <c r="A8" s="106" t="inlineStr">
        <is>
          <t>Fabricante:</t>
        </is>
      </c>
      <c r="B8" s="120" t="n"/>
      <c r="C8" s="102">
        <f>'COMPOSIÇÃO DE VALORES'!C8</f>
        <v/>
      </c>
      <c r="D8" s="108" t="n"/>
      <c r="E8" s="66" t="n"/>
      <c r="F8" s="75" t="n"/>
      <c r="G8" s="70" t="n"/>
      <c r="H8" s="70" t="n"/>
      <c r="I8" s="70" t="n"/>
    </row>
    <row r="9" ht="10.95" customHeight="1">
      <c r="D9" s="77" t="n"/>
    </row>
    <row r="10" ht="34.5" customFormat="1" customHeight="1" s="75">
      <c r="A10" s="78" t="inlineStr">
        <is>
          <t>Item</t>
        </is>
      </c>
      <c r="B10" s="78" t="inlineStr">
        <is>
          <t>Qtde</t>
        </is>
      </c>
      <c r="C10" s="78" t="inlineStr">
        <is>
          <t>Unidade</t>
        </is>
      </c>
      <c r="D10" s="79" t="inlineStr">
        <is>
          <t>Descrição</t>
        </is>
      </c>
      <c r="E10" s="80" t="inlineStr">
        <is>
          <t>Código (SKU)</t>
        </is>
      </c>
      <c r="F10" s="80" t="inlineStr">
        <is>
          <t>NCM</t>
        </is>
      </c>
      <c r="G10" s="80">
        <f>_xlfn.CONCAT("Preço de Venda (Unitário): ",F4)</f>
        <v/>
      </c>
      <c r="H10" s="80">
        <f>_xlfn.CONCAT("Preço de Venda (Soma): ",F4)</f>
        <v/>
      </c>
      <c r="I10" s="80" t="inlineStr">
        <is>
          <t>Observações</t>
        </is>
      </c>
    </row>
    <row r="11" hidden="1">
      <c r="A11" s="81" t="n">
        <v>1</v>
      </c>
      <c r="B11" s="82">
        <f>'COMPOSIÇÃO DE VALORES'!B11</f>
        <v/>
      </c>
      <c r="C11" s="82">
        <f>'COMPOSIÇÃO DE VALORES'!C11</f>
        <v/>
      </c>
      <c r="D11" s="82">
        <f>'COMPOSIÇÃO DE VALORES'!D11</f>
        <v/>
      </c>
      <c r="E11" s="82">
        <f>'COMPOSIÇÃO DE VALORES'!G11</f>
        <v/>
      </c>
      <c r="F11" s="82">
        <f>'COMPOSIÇÃO DE VALORES'!H11</f>
        <v/>
      </c>
      <c r="G11" s="83">
        <f>'COMPOSIÇÃO DE VALORES'!L11</f>
        <v/>
      </c>
      <c r="H11" s="83">
        <f>G11*B11</f>
        <v/>
      </c>
      <c r="I11" s="82">
        <f>IF(('COMPOSIÇÃO DE VALORES'!M11)=0,"-",('COMPOSIÇÃO DE VALORES'!M11))</f>
        <v/>
      </c>
    </row>
    <row r="12" hidden="1">
      <c r="A12" s="81" t="n">
        <v>2</v>
      </c>
      <c r="B12" s="82">
        <f>'COMPOSIÇÃO DE VALORES'!B12</f>
        <v/>
      </c>
      <c r="C12" s="82">
        <f>'COMPOSIÇÃO DE VALORES'!C12</f>
        <v/>
      </c>
      <c r="D12" s="82">
        <f>'COMPOSIÇÃO DE VALORES'!D12</f>
        <v/>
      </c>
      <c r="E12" s="82">
        <f>'COMPOSIÇÃO DE VALORES'!G12</f>
        <v/>
      </c>
      <c r="F12" s="82">
        <f>'COMPOSIÇÃO DE VALORES'!H12</f>
        <v/>
      </c>
      <c r="G12" s="83">
        <f>'COMPOSIÇÃO DE VALORES'!L12</f>
        <v/>
      </c>
      <c r="H12" s="83">
        <f>G12*B12</f>
        <v/>
      </c>
      <c r="I12" s="82">
        <f>IF(('COMPOSIÇÃO DE VALORES'!M12)=0,"-",('COMPOSIÇÃO DE VALORES'!M12))</f>
        <v/>
      </c>
    </row>
    <row r="13" hidden="1">
      <c r="A13" s="81" t="n">
        <v>3</v>
      </c>
      <c r="B13" s="82">
        <f>'COMPOSIÇÃO DE VALORES'!B13</f>
        <v/>
      </c>
      <c r="C13" s="82">
        <f>'COMPOSIÇÃO DE VALORES'!C13</f>
        <v/>
      </c>
      <c r="D13" s="82">
        <f>'COMPOSIÇÃO DE VALORES'!D13</f>
        <v/>
      </c>
      <c r="E13" s="82">
        <f>'COMPOSIÇÃO DE VALORES'!G13</f>
        <v/>
      </c>
      <c r="F13" s="82">
        <f>'COMPOSIÇÃO DE VALORES'!H13</f>
        <v/>
      </c>
      <c r="G13" s="83">
        <f>'COMPOSIÇÃO DE VALORES'!L13</f>
        <v/>
      </c>
      <c r="H13" s="83">
        <f>G13*B13</f>
        <v/>
      </c>
      <c r="I13" s="82">
        <f>IF(('COMPOSIÇÃO DE VALORES'!M13)=0,"-",('COMPOSIÇÃO DE VALORES'!M13))</f>
        <v/>
      </c>
    </row>
    <row r="14" hidden="1">
      <c r="A14" s="81" t="n">
        <v>4</v>
      </c>
      <c r="B14" s="82">
        <f>'COMPOSIÇÃO DE VALORES'!B14</f>
        <v/>
      </c>
      <c r="C14" s="82">
        <f>'COMPOSIÇÃO DE VALORES'!C14</f>
        <v/>
      </c>
      <c r="D14" s="82">
        <f>'COMPOSIÇÃO DE VALORES'!D14</f>
        <v/>
      </c>
      <c r="E14" s="82">
        <f>'COMPOSIÇÃO DE VALORES'!G14</f>
        <v/>
      </c>
      <c r="F14" s="82">
        <f>'COMPOSIÇÃO DE VALORES'!H14</f>
        <v/>
      </c>
      <c r="G14" s="83">
        <f>'COMPOSIÇÃO DE VALORES'!L14</f>
        <v/>
      </c>
      <c r="H14" s="83">
        <f>G14*B14</f>
        <v/>
      </c>
      <c r="I14" s="82">
        <f>IF(('COMPOSIÇÃO DE VALORES'!M14)=0,"-",('COMPOSIÇÃO DE VALORES'!M14))</f>
        <v/>
      </c>
    </row>
    <row r="15" hidden="1">
      <c r="A15" s="81" t="n">
        <v>5</v>
      </c>
      <c r="B15" s="82">
        <f>'COMPOSIÇÃO DE VALORES'!B15</f>
        <v/>
      </c>
      <c r="C15" s="82">
        <f>'COMPOSIÇÃO DE VALORES'!C15</f>
        <v/>
      </c>
      <c r="D15" s="82">
        <f>'COMPOSIÇÃO DE VALORES'!D15</f>
        <v/>
      </c>
      <c r="E15" s="82">
        <f>'COMPOSIÇÃO DE VALORES'!G15</f>
        <v/>
      </c>
      <c r="F15" s="82">
        <f>'COMPOSIÇÃO DE VALORES'!H15</f>
        <v/>
      </c>
      <c r="G15" s="83">
        <f>'COMPOSIÇÃO DE VALORES'!L15</f>
        <v/>
      </c>
      <c r="H15" s="83">
        <f>G15*B15</f>
        <v/>
      </c>
      <c r="I15" s="82">
        <f>IF(('COMPOSIÇÃO DE VALORES'!M15)=0,"-",('COMPOSIÇÃO DE VALORES'!M15))</f>
        <v/>
      </c>
    </row>
    <row r="16" hidden="1">
      <c r="A16" s="81" t="n">
        <v>6</v>
      </c>
      <c r="B16" s="82">
        <f>'COMPOSIÇÃO DE VALORES'!B16</f>
        <v/>
      </c>
      <c r="C16" s="82">
        <f>'COMPOSIÇÃO DE VALORES'!C16</f>
        <v/>
      </c>
      <c r="D16" s="82">
        <f>'COMPOSIÇÃO DE VALORES'!D16</f>
        <v/>
      </c>
      <c r="E16" s="82">
        <f>'COMPOSIÇÃO DE VALORES'!G16</f>
        <v/>
      </c>
      <c r="F16" s="82">
        <f>'COMPOSIÇÃO DE VALORES'!H16</f>
        <v/>
      </c>
      <c r="G16" s="83">
        <f>'COMPOSIÇÃO DE VALORES'!L16</f>
        <v/>
      </c>
      <c r="H16" s="83">
        <f>G16*B16</f>
        <v/>
      </c>
      <c r="I16" s="82">
        <f>IF(('COMPOSIÇÃO DE VALORES'!M16)=0,"-",('COMPOSIÇÃO DE VALORES'!M16))</f>
        <v/>
      </c>
    </row>
    <row r="17" hidden="1">
      <c r="A17" s="81" t="n">
        <v>7</v>
      </c>
      <c r="B17" s="82">
        <f>'COMPOSIÇÃO DE VALORES'!B17</f>
        <v/>
      </c>
      <c r="C17" s="82">
        <f>'COMPOSIÇÃO DE VALORES'!C17</f>
        <v/>
      </c>
      <c r="D17" s="82">
        <f>'COMPOSIÇÃO DE VALORES'!D17</f>
        <v/>
      </c>
      <c r="E17" s="82">
        <f>'COMPOSIÇÃO DE VALORES'!G17</f>
        <v/>
      </c>
      <c r="F17" s="82">
        <f>'COMPOSIÇÃO DE VALORES'!H17</f>
        <v/>
      </c>
      <c r="G17" s="83">
        <f>'COMPOSIÇÃO DE VALORES'!L17</f>
        <v/>
      </c>
      <c r="H17" s="83">
        <f>G17*B17</f>
        <v/>
      </c>
      <c r="I17" s="82">
        <f>IF(('COMPOSIÇÃO DE VALORES'!M17)=0,"-",('COMPOSIÇÃO DE VALORES'!M17))</f>
        <v/>
      </c>
    </row>
    <row r="18" hidden="1">
      <c r="A18" s="81" t="n">
        <v>8</v>
      </c>
      <c r="B18" s="82">
        <f>'COMPOSIÇÃO DE VALORES'!B18</f>
        <v/>
      </c>
      <c r="C18" s="82">
        <f>'COMPOSIÇÃO DE VALORES'!C18</f>
        <v/>
      </c>
      <c r="D18" s="82">
        <f>'COMPOSIÇÃO DE VALORES'!D18</f>
        <v/>
      </c>
      <c r="E18" s="82">
        <f>'COMPOSIÇÃO DE VALORES'!G18</f>
        <v/>
      </c>
      <c r="F18" s="82">
        <f>'COMPOSIÇÃO DE VALORES'!H18</f>
        <v/>
      </c>
      <c r="G18" s="83">
        <f>'COMPOSIÇÃO DE VALORES'!L18</f>
        <v/>
      </c>
      <c r="H18" s="83">
        <f>G18*B18</f>
        <v/>
      </c>
      <c r="I18" s="82">
        <f>IF(('COMPOSIÇÃO DE VALORES'!M18)=0,"-",('COMPOSIÇÃO DE VALORES'!M18))</f>
        <v/>
      </c>
    </row>
    <row r="19" hidden="1">
      <c r="A19" s="81" t="n">
        <v>9</v>
      </c>
      <c r="B19" s="82">
        <f>'COMPOSIÇÃO DE VALORES'!B19</f>
        <v/>
      </c>
      <c r="C19" s="82">
        <f>'COMPOSIÇÃO DE VALORES'!C19</f>
        <v/>
      </c>
      <c r="D19" s="82">
        <f>'COMPOSIÇÃO DE VALORES'!D19</f>
        <v/>
      </c>
      <c r="E19" s="82">
        <f>'COMPOSIÇÃO DE VALORES'!G19</f>
        <v/>
      </c>
      <c r="F19" s="82">
        <f>'COMPOSIÇÃO DE VALORES'!H19</f>
        <v/>
      </c>
      <c r="G19" s="83">
        <f>'COMPOSIÇÃO DE VALORES'!L19</f>
        <v/>
      </c>
      <c r="H19" s="83">
        <f>G19*B19</f>
        <v/>
      </c>
      <c r="I19" s="82">
        <f>IF(('COMPOSIÇÃO DE VALORES'!M19)=0,"-",('COMPOSIÇÃO DE VALORES'!M19))</f>
        <v/>
      </c>
    </row>
    <row r="20" hidden="1">
      <c r="A20" s="81" t="n">
        <v>10</v>
      </c>
      <c r="B20" s="82">
        <f>'COMPOSIÇÃO DE VALORES'!B20</f>
        <v/>
      </c>
      <c r="C20" s="82">
        <f>'COMPOSIÇÃO DE VALORES'!C20</f>
        <v/>
      </c>
      <c r="D20" s="82">
        <f>'COMPOSIÇÃO DE VALORES'!D20</f>
        <v/>
      </c>
      <c r="E20" s="82">
        <f>'COMPOSIÇÃO DE VALORES'!G20</f>
        <v/>
      </c>
      <c r="F20" s="82">
        <f>'COMPOSIÇÃO DE VALORES'!H20</f>
        <v/>
      </c>
      <c r="G20" s="83">
        <f>'COMPOSIÇÃO DE VALORES'!L20</f>
        <v/>
      </c>
      <c r="H20" s="83">
        <f>G20*B20</f>
        <v/>
      </c>
      <c r="I20" s="82">
        <f>IF(('COMPOSIÇÃO DE VALORES'!M20)=0,"-",('COMPOSIÇÃO DE VALORES'!M20))</f>
        <v/>
      </c>
    </row>
    <row r="21" hidden="1">
      <c r="A21" s="81" t="n">
        <v>11</v>
      </c>
      <c r="B21" s="82">
        <f>'COMPOSIÇÃO DE VALORES'!B21</f>
        <v/>
      </c>
      <c r="C21" s="82">
        <f>'COMPOSIÇÃO DE VALORES'!C21</f>
        <v/>
      </c>
      <c r="D21" s="82">
        <f>'COMPOSIÇÃO DE VALORES'!D21</f>
        <v/>
      </c>
      <c r="E21" s="82">
        <f>'COMPOSIÇÃO DE VALORES'!G21</f>
        <v/>
      </c>
      <c r="F21" s="82">
        <f>'COMPOSIÇÃO DE VALORES'!H21</f>
        <v/>
      </c>
      <c r="G21" s="83">
        <f>'COMPOSIÇÃO DE VALORES'!L21</f>
        <v/>
      </c>
      <c r="H21" s="83">
        <f>G21*B21</f>
        <v/>
      </c>
      <c r="I21" s="82">
        <f>IF(('COMPOSIÇÃO DE VALORES'!M21)=0,"-",('COMPOSIÇÃO DE VALORES'!M21))</f>
        <v/>
      </c>
    </row>
    <row r="22" hidden="1">
      <c r="A22" s="81" t="n">
        <v>12</v>
      </c>
      <c r="B22" s="82">
        <f>'COMPOSIÇÃO DE VALORES'!B22</f>
        <v/>
      </c>
      <c r="C22" s="82">
        <f>'COMPOSIÇÃO DE VALORES'!C22</f>
        <v/>
      </c>
      <c r="D22" s="82">
        <f>'COMPOSIÇÃO DE VALORES'!D22</f>
        <v/>
      </c>
      <c r="E22" s="82">
        <f>'COMPOSIÇÃO DE VALORES'!G22</f>
        <v/>
      </c>
      <c r="F22" s="82">
        <f>'COMPOSIÇÃO DE VALORES'!H22</f>
        <v/>
      </c>
      <c r="G22" s="83">
        <f>'COMPOSIÇÃO DE VALORES'!L22</f>
        <v/>
      </c>
      <c r="H22" s="83">
        <f>G22*B22</f>
        <v/>
      </c>
      <c r="I22" s="82">
        <f>IF(('COMPOSIÇÃO DE VALORES'!M22)=0,"-",('COMPOSIÇÃO DE VALORES'!M22))</f>
        <v/>
      </c>
    </row>
    <row r="23" hidden="1">
      <c r="A23" s="81" t="n">
        <v>13</v>
      </c>
      <c r="B23" s="82">
        <f>'COMPOSIÇÃO DE VALORES'!B23</f>
        <v/>
      </c>
      <c r="C23" s="82">
        <f>'COMPOSIÇÃO DE VALORES'!C23</f>
        <v/>
      </c>
      <c r="D23" s="82">
        <f>'COMPOSIÇÃO DE VALORES'!D23</f>
        <v/>
      </c>
      <c r="E23" s="82">
        <f>'COMPOSIÇÃO DE VALORES'!G23</f>
        <v/>
      </c>
      <c r="F23" s="82">
        <f>'COMPOSIÇÃO DE VALORES'!H23</f>
        <v/>
      </c>
      <c r="G23" s="83">
        <f>'COMPOSIÇÃO DE VALORES'!L23</f>
        <v/>
      </c>
      <c r="H23" s="83">
        <f>G23*B23</f>
        <v/>
      </c>
      <c r="I23" s="82">
        <f>IF(('COMPOSIÇÃO DE VALORES'!M23)=0,"-",('COMPOSIÇÃO DE VALORES'!M23))</f>
        <v/>
      </c>
    </row>
    <row r="24" hidden="1">
      <c r="A24" s="81" t="n">
        <v>14</v>
      </c>
      <c r="B24" s="82">
        <f>'COMPOSIÇÃO DE VALORES'!B24</f>
        <v/>
      </c>
      <c r="C24" s="82">
        <f>'COMPOSIÇÃO DE VALORES'!C24</f>
        <v/>
      </c>
      <c r="D24" s="82">
        <f>'COMPOSIÇÃO DE VALORES'!D24</f>
        <v/>
      </c>
      <c r="E24" s="82">
        <f>'COMPOSIÇÃO DE VALORES'!G24</f>
        <v/>
      </c>
      <c r="F24" s="82">
        <f>'COMPOSIÇÃO DE VALORES'!H24</f>
        <v/>
      </c>
      <c r="G24" s="83">
        <f>'COMPOSIÇÃO DE VALORES'!L24</f>
        <v/>
      </c>
      <c r="H24" s="83">
        <f>G24*B24</f>
        <v/>
      </c>
      <c r="I24" s="82">
        <f>IF(('COMPOSIÇÃO DE VALORES'!M24)=0,"-",('COMPOSIÇÃO DE VALORES'!M24))</f>
        <v/>
      </c>
    </row>
    <row r="25" hidden="1">
      <c r="A25" s="81" t="n">
        <v>15</v>
      </c>
      <c r="B25" s="82">
        <f>'COMPOSIÇÃO DE VALORES'!B25</f>
        <v/>
      </c>
      <c r="C25" s="82">
        <f>'COMPOSIÇÃO DE VALORES'!C25</f>
        <v/>
      </c>
      <c r="D25" s="82">
        <f>'COMPOSIÇÃO DE VALORES'!D25</f>
        <v/>
      </c>
      <c r="E25" s="82">
        <f>'COMPOSIÇÃO DE VALORES'!G25</f>
        <v/>
      </c>
      <c r="F25" s="82">
        <f>'COMPOSIÇÃO DE VALORES'!H25</f>
        <v/>
      </c>
      <c r="G25" s="83">
        <f>'COMPOSIÇÃO DE VALORES'!L25</f>
        <v/>
      </c>
      <c r="H25" s="83">
        <f>G25*B25</f>
        <v/>
      </c>
      <c r="I25" s="82">
        <f>IF(('COMPOSIÇÃO DE VALORES'!M25)=0,"-",('COMPOSIÇÃO DE VALORES'!M25))</f>
        <v/>
      </c>
    </row>
    <row r="26" hidden="1">
      <c r="A26" s="81" t="n">
        <v>16</v>
      </c>
      <c r="B26" s="82">
        <f>'COMPOSIÇÃO DE VALORES'!B26</f>
        <v/>
      </c>
      <c r="C26" s="82">
        <f>'COMPOSIÇÃO DE VALORES'!C26</f>
        <v/>
      </c>
      <c r="D26" s="82">
        <f>'COMPOSIÇÃO DE VALORES'!D26</f>
        <v/>
      </c>
      <c r="E26" s="82">
        <f>'COMPOSIÇÃO DE VALORES'!G26</f>
        <v/>
      </c>
      <c r="F26" s="82">
        <f>'COMPOSIÇÃO DE VALORES'!H26</f>
        <v/>
      </c>
      <c r="G26" s="83">
        <f>'COMPOSIÇÃO DE VALORES'!L26</f>
        <v/>
      </c>
      <c r="H26" s="83">
        <f>G26*B26</f>
        <v/>
      </c>
      <c r="I26" s="82">
        <f>IF(('COMPOSIÇÃO DE VALORES'!M26)=0,"-",('COMPOSIÇÃO DE VALORES'!M26))</f>
        <v/>
      </c>
    </row>
    <row r="27" hidden="1">
      <c r="A27" s="81" t="n">
        <v>17</v>
      </c>
      <c r="B27" s="82">
        <f>'COMPOSIÇÃO DE VALORES'!B27</f>
        <v/>
      </c>
      <c r="C27" s="82">
        <f>'COMPOSIÇÃO DE VALORES'!C27</f>
        <v/>
      </c>
      <c r="D27" s="82">
        <f>'COMPOSIÇÃO DE VALORES'!D27</f>
        <v/>
      </c>
      <c r="E27" s="82">
        <f>'COMPOSIÇÃO DE VALORES'!G27</f>
        <v/>
      </c>
      <c r="F27" s="82">
        <f>'COMPOSIÇÃO DE VALORES'!H27</f>
        <v/>
      </c>
      <c r="G27" s="83">
        <f>'COMPOSIÇÃO DE VALORES'!L27</f>
        <v/>
      </c>
      <c r="H27" s="83">
        <f>G27*B27</f>
        <v/>
      </c>
      <c r="I27" s="82">
        <f>IF(('COMPOSIÇÃO DE VALORES'!M27)=0,"-",('COMPOSIÇÃO DE VALORES'!M27))</f>
        <v/>
      </c>
    </row>
    <row r="28" hidden="1">
      <c r="A28" s="81" t="n">
        <v>18</v>
      </c>
      <c r="B28" s="82">
        <f>'COMPOSIÇÃO DE VALORES'!B28</f>
        <v/>
      </c>
      <c r="C28" s="82">
        <f>'COMPOSIÇÃO DE VALORES'!C28</f>
        <v/>
      </c>
      <c r="D28" s="82">
        <f>'COMPOSIÇÃO DE VALORES'!D28</f>
        <v/>
      </c>
      <c r="E28" s="82">
        <f>'COMPOSIÇÃO DE VALORES'!G28</f>
        <v/>
      </c>
      <c r="F28" s="82">
        <f>'COMPOSIÇÃO DE VALORES'!H28</f>
        <v/>
      </c>
      <c r="G28" s="83">
        <f>'COMPOSIÇÃO DE VALORES'!L28</f>
        <v/>
      </c>
      <c r="H28" s="83">
        <f>G28*B28</f>
        <v/>
      </c>
      <c r="I28" s="82">
        <f>IF(('COMPOSIÇÃO DE VALORES'!M28)=0,"-",('COMPOSIÇÃO DE VALORES'!M28))</f>
        <v/>
      </c>
    </row>
    <row r="29" hidden="1">
      <c r="A29" s="81" t="n">
        <v>19</v>
      </c>
      <c r="B29" s="82">
        <f>'COMPOSIÇÃO DE VALORES'!B29</f>
        <v/>
      </c>
      <c r="C29" s="82">
        <f>'COMPOSIÇÃO DE VALORES'!C29</f>
        <v/>
      </c>
      <c r="D29" s="82">
        <f>'COMPOSIÇÃO DE VALORES'!D29</f>
        <v/>
      </c>
      <c r="E29" s="82">
        <f>'COMPOSIÇÃO DE VALORES'!G29</f>
        <v/>
      </c>
      <c r="F29" s="82">
        <f>'COMPOSIÇÃO DE VALORES'!H29</f>
        <v/>
      </c>
      <c r="G29" s="83">
        <f>'COMPOSIÇÃO DE VALORES'!L29</f>
        <v/>
      </c>
      <c r="H29" s="83">
        <f>G29*B29</f>
        <v/>
      </c>
      <c r="I29" s="82">
        <f>IF(('COMPOSIÇÃO DE VALORES'!M29)=0,"-",('COMPOSIÇÃO DE VALORES'!M29))</f>
        <v/>
      </c>
    </row>
    <row r="30" hidden="1">
      <c r="A30" s="81" t="n">
        <v>20</v>
      </c>
      <c r="B30" s="82">
        <f>'COMPOSIÇÃO DE VALORES'!B30</f>
        <v/>
      </c>
      <c r="C30" s="82">
        <f>'COMPOSIÇÃO DE VALORES'!C30</f>
        <v/>
      </c>
      <c r="D30" s="82">
        <f>'COMPOSIÇÃO DE VALORES'!D30</f>
        <v/>
      </c>
      <c r="E30" s="82">
        <f>'COMPOSIÇÃO DE VALORES'!G30</f>
        <v/>
      </c>
      <c r="F30" s="82">
        <f>'COMPOSIÇÃO DE VALORES'!H30</f>
        <v/>
      </c>
      <c r="G30" s="83">
        <f>'COMPOSIÇÃO DE VALORES'!L30</f>
        <v/>
      </c>
      <c r="H30" s="83">
        <f>G30*B30</f>
        <v/>
      </c>
      <c r="I30" s="82">
        <f>IF(('COMPOSIÇÃO DE VALORES'!M30)=0,"-",('COMPOSIÇÃO DE VALORES'!M30))</f>
        <v/>
      </c>
    </row>
    <row r="31" hidden="1">
      <c r="A31" s="81" t="n">
        <v>21</v>
      </c>
      <c r="B31" s="82">
        <f>'COMPOSIÇÃO DE VALORES'!B31</f>
        <v/>
      </c>
      <c r="C31" s="82">
        <f>'COMPOSIÇÃO DE VALORES'!C31</f>
        <v/>
      </c>
      <c r="D31" s="82">
        <f>'COMPOSIÇÃO DE VALORES'!D31</f>
        <v/>
      </c>
      <c r="E31" s="82">
        <f>'COMPOSIÇÃO DE VALORES'!G31</f>
        <v/>
      </c>
      <c r="F31" s="82">
        <f>'COMPOSIÇÃO DE VALORES'!H31</f>
        <v/>
      </c>
      <c r="G31" s="83">
        <f>'COMPOSIÇÃO DE VALORES'!L31</f>
        <v/>
      </c>
      <c r="H31" s="83">
        <f>G31*B31</f>
        <v/>
      </c>
      <c r="I31" s="82">
        <f>IF(('COMPOSIÇÃO DE VALORES'!M31)=0,"-",('COMPOSIÇÃO DE VALORES'!M31))</f>
        <v/>
      </c>
    </row>
    <row r="32" hidden="1">
      <c r="A32" s="81" t="n">
        <v>22</v>
      </c>
      <c r="B32" s="82">
        <f>'COMPOSIÇÃO DE VALORES'!B32</f>
        <v/>
      </c>
      <c r="C32" s="82">
        <f>'COMPOSIÇÃO DE VALORES'!C32</f>
        <v/>
      </c>
      <c r="D32" s="82">
        <f>'COMPOSIÇÃO DE VALORES'!D32</f>
        <v/>
      </c>
      <c r="E32" s="82">
        <f>'COMPOSIÇÃO DE VALORES'!G32</f>
        <v/>
      </c>
      <c r="F32" s="82">
        <f>'COMPOSIÇÃO DE VALORES'!H32</f>
        <v/>
      </c>
      <c r="G32" s="83">
        <f>'COMPOSIÇÃO DE VALORES'!L32</f>
        <v/>
      </c>
      <c r="H32" s="83">
        <f>G32*B32</f>
        <v/>
      </c>
      <c r="I32" s="82">
        <f>IF(('COMPOSIÇÃO DE VALORES'!M32)=0,"-",('COMPOSIÇÃO DE VALORES'!M32))</f>
        <v/>
      </c>
    </row>
    <row r="33" hidden="1">
      <c r="A33" s="81" t="n">
        <v>23</v>
      </c>
      <c r="B33" s="82">
        <f>'COMPOSIÇÃO DE VALORES'!B33</f>
        <v/>
      </c>
      <c r="C33" s="82">
        <f>'COMPOSIÇÃO DE VALORES'!C33</f>
        <v/>
      </c>
      <c r="D33" s="82">
        <f>'COMPOSIÇÃO DE VALORES'!D33</f>
        <v/>
      </c>
      <c r="E33" s="82">
        <f>'COMPOSIÇÃO DE VALORES'!G33</f>
        <v/>
      </c>
      <c r="F33" s="82">
        <f>'COMPOSIÇÃO DE VALORES'!H33</f>
        <v/>
      </c>
      <c r="G33" s="83">
        <f>'COMPOSIÇÃO DE VALORES'!L33</f>
        <v/>
      </c>
      <c r="H33" s="83">
        <f>G33*B33</f>
        <v/>
      </c>
      <c r="I33" s="82">
        <f>IF(('COMPOSIÇÃO DE VALORES'!M33)=0,"-",('COMPOSIÇÃO DE VALORES'!M33))</f>
        <v/>
      </c>
    </row>
    <row r="34" hidden="1">
      <c r="A34" s="81" t="n">
        <v>24</v>
      </c>
      <c r="B34" s="82">
        <f>'COMPOSIÇÃO DE VALORES'!B34</f>
        <v/>
      </c>
      <c r="C34" s="82">
        <f>'COMPOSIÇÃO DE VALORES'!C34</f>
        <v/>
      </c>
      <c r="D34" s="82">
        <f>'COMPOSIÇÃO DE VALORES'!D34</f>
        <v/>
      </c>
      <c r="E34" s="82">
        <f>'COMPOSIÇÃO DE VALORES'!G34</f>
        <v/>
      </c>
      <c r="F34" s="82">
        <f>'COMPOSIÇÃO DE VALORES'!H34</f>
        <v/>
      </c>
      <c r="G34" s="83">
        <f>'COMPOSIÇÃO DE VALORES'!L34</f>
        <v/>
      </c>
      <c r="H34" s="83">
        <f>G34*B34</f>
        <v/>
      </c>
      <c r="I34" s="82">
        <f>IF(('COMPOSIÇÃO DE VALORES'!M34)=0,"-",('COMPOSIÇÃO DE VALORES'!M34))</f>
        <v/>
      </c>
    </row>
    <row r="35" hidden="1">
      <c r="A35" s="81" t="n">
        <v>25</v>
      </c>
      <c r="B35" s="82">
        <f>'COMPOSIÇÃO DE VALORES'!B35</f>
        <v/>
      </c>
      <c r="C35" s="82">
        <f>'COMPOSIÇÃO DE VALORES'!C35</f>
        <v/>
      </c>
      <c r="D35" s="82">
        <f>'COMPOSIÇÃO DE VALORES'!D35</f>
        <v/>
      </c>
      <c r="E35" s="82">
        <f>'COMPOSIÇÃO DE VALORES'!G35</f>
        <v/>
      </c>
      <c r="F35" s="82">
        <f>'COMPOSIÇÃO DE VALORES'!H35</f>
        <v/>
      </c>
      <c r="G35" s="83">
        <f>'COMPOSIÇÃO DE VALORES'!L35</f>
        <v/>
      </c>
      <c r="H35" s="83">
        <f>G35*B35</f>
        <v/>
      </c>
      <c r="I35" s="82">
        <f>IF(('COMPOSIÇÃO DE VALORES'!M35)=0,"-",('COMPOSIÇÃO DE VALORES'!M35))</f>
        <v/>
      </c>
    </row>
    <row r="36" hidden="1">
      <c r="A36" s="81" t="n">
        <v>26</v>
      </c>
      <c r="B36" s="82">
        <f>'COMPOSIÇÃO DE VALORES'!B36</f>
        <v/>
      </c>
      <c r="C36" s="82">
        <f>'COMPOSIÇÃO DE VALORES'!C36</f>
        <v/>
      </c>
      <c r="D36" s="82">
        <f>'COMPOSIÇÃO DE VALORES'!D36</f>
        <v/>
      </c>
      <c r="E36" s="82">
        <f>'COMPOSIÇÃO DE VALORES'!G36</f>
        <v/>
      </c>
      <c r="F36" s="82">
        <f>'COMPOSIÇÃO DE VALORES'!H36</f>
        <v/>
      </c>
      <c r="G36" s="83">
        <f>'COMPOSIÇÃO DE VALORES'!L36</f>
        <v/>
      </c>
      <c r="H36" s="83">
        <f>G36*B36</f>
        <v/>
      </c>
      <c r="I36" s="82">
        <f>IF(('COMPOSIÇÃO DE VALORES'!M36)=0,"-",('COMPOSIÇÃO DE VALORES'!M36))</f>
        <v/>
      </c>
    </row>
    <row r="37" hidden="1">
      <c r="A37" s="81" t="n">
        <v>27</v>
      </c>
      <c r="B37" s="82">
        <f>'COMPOSIÇÃO DE VALORES'!B37</f>
        <v/>
      </c>
      <c r="C37" s="82">
        <f>'COMPOSIÇÃO DE VALORES'!C37</f>
        <v/>
      </c>
      <c r="D37" s="82">
        <f>'COMPOSIÇÃO DE VALORES'!D37</f>
        <v/>
      </c>
      <c r="E37" s="82">
        <f>'COMPOSIÇÃO DE VALORES'!G37</f>
        <v/>
      </c>
      <c r="F37" s="82">
        <f>'COMPOSIÇÃO DE VALORES'!H37</f>
        <v/>
      </c>
      <c r="G37" s="83">
        <f>'COMPOSIÇÃO DE VALORES'!L37</f>
        <v/>
      </c>
      <c r="H37" s="83">
        <f>G37*B37</f>
        <v/>
      </c>
      <c r="I37" s="82">
        <f>IF(('COMPOSIÇÃO DE VALORES'!M37)=0,"-",('COMPOSIÇÃO DE VALORES'!M37))</f>
        <v/>
      </c>
    </row>
    <row r="38" hidden="1">
      <c r="A38" s="81" t="n">
        <v>28</v>
      </c>
      <c r="B38" s="82">
        <f>'COMPOSIÇÃO DE VALORES'!B38</f>
        <v/>
      </c>
      <c r="C38" s="82">
        <f>'COMPOSIÇÃO DE VALORES'!C38</f>
        <v/>
      </c>
      <c r="D38" s="82">
        <f>'COMPOSIÇÃO DE VALORES'!D38</f>
        <v/>
      </c>
      <c r="E38" s="82">
        <f>'COMPOSIÇÃO DE VALORES'!G38</f>
        <v/>
      </c>
      <c r="F38" s="82">
        <f>'COMPOSIÇÃO DE VALORES'!H38</f>
        <v/>
      </c>
      <c r="G38" s="83">
        <f>'COMPOSIÇÃO DE VALORES'!L38</f>
        <v/>
      </c>
      <c r="H38" s="83">
        <f>G38*B38</f>
        <v/>
      </c>
      <c r="I38" s="82">
        <f>IF(('COMPOSIÇÃO DE VALORES'!M38)=0,"-",('COMPOSIÇÃO DE VALORES'!M38))</f>
        <v/>
      </c>
    </row>
    <row r="39" hidden="1">
      <c r="A39" s="81" t="n">
        <v>29</v>
      </c>
      <c r="B39" s="82">
        <f>'COMPOSIÇÃO DE VALORES'!B39</f>
        <v/>
      </c>
      <c r="C39" s="82">
        <f>'COMPOSIÇÃO DE VALORES'!C39</f>
        <v/>
      </c>
      <c r="D39" s="82">
        <f>'COMPOSIÇÃO DE VALORES'!D39</f>
        <v/>
      </c>
      <c r="E39" s="82">
        <f>'COMPOSIÇÃO DE VALORES'!G39</f>
        <v/>
      </c>
      <c r="F39" s="82">
        <f>'COMPOSIÇÃO DE VALORES'!H39</f>
        <v/>
      </c>
      <c r="G39" s="83">
        <f>'COMPOSIÇÃO DE VALORES'!L39</f>
        <v/>
      </c>
      <c r="H39" s="83">
        <f>G39*B39</f>
        <v/>
      </c>
      <c r="I39" s="82">
        <f>IF(('COMPOSIÇÃO DE VALORES'!M39)=0,"-",('COMPOSIÇÃO DE VALORES'!M39))</f>
        <v/>
      </c>
    </row>
    <row r="40" hidden="1">
      <c r="A40" s="81" t="n">
        <v>30</v>
      </c>
      <c r="B40" s="82">
        <f>'COMPOSIÇÃO DE VALORES'!B40</f>
        <v/>
      </c>
      <c r="C40" s="82">
        <f>'COMPOSIÇÃO DE VALORES'!C40</f>
        <v/>
      </c>
      <c r="D40" s="82">
        <f>'COMPOSIÇÃO DE VALORES'!D40</f>
        <v/>
      </c>
      <c r="E40" s="82">
        <f>'COMPOSIÇÃO DE VALORES'!G40</f>
        <v/>
      </c>
      <c r="F40" s="82">
        <f>'COMPOSIÇÃO DE VALORES'!H40</f>
        <v/>
      </c>
      <c r="G40" s="83">
        <f>'COMPOSIÇÃO DE VALORES'!L40</f>
        <v/>
      </c>
      <c r="H40" s="83">
        <f>G40*B40</f>
        <v/>
      </c>
      <c r="I40" s="82">
        <f>IF(('COMPOSIÇÃO DE VALORES'!M40)=0,"-",('COMPOSIÇÃO DE VALORES'!M40))</f>
        <v/>
      </c>
    </row>
    <row r="41" hidden="1">
      <c r="A41" s="81" t="n">
        <v>31</v>
      </c>
      <c r="B41" s="82">
        <f>'COMPOSIÇÃO DE VALORES'!B41</f>
        <v/>
      </c>
      <c r="C41" s="82">
        <f>'COMPOSIÇÃO DE VALORES'!C41</f>
        <v/>
      </c>
      <c r="D41" s="82">
        <f>'COMPOSIÇÃO DE VALORES'!D41</f>
        <v/>
      </c>
      <c r="E41" s="82">
        <f>'COMPOSIÇÃO DE VALORES'!G41</f>
        <v/>
      </c>
      <c r="F41" s="82">
        <f>'COMPOSIÇÃO DE VALORES'!H41</f>
        <v/>
      </c>
      <c r="G41" s="83">
        <f>'COMPOSIÇÃO DE VALORES'!L41</f>
        <v/>
      </c>
      <c r="H41" s="83">
        <f>G41*B41</f>
        <v/>
      </c>
      <c r="I41" s="82">
        <f>IF(('COMPOSIÇÃO DE VALORES'!M41)=0,"-",('COMPOSIÇÃO DE VALORES'!M41))</f>
        <v/>
      </c>
    </row>
    <row r="42" hidden="1">
      <c r="A42" s="81" t="n">
        <v>32</v>
      </c>
      <c r="B42" s="82">
        <f>'COMPOSIÇÃO DE VALORES'!B42</f>
        <v/>
      </c>
      <c r="C42" s="82">
        <f>'COMPOSIÇÃO DE VALORES'!C42</f>
        <v/>
      </c>
      <c r="D42" s="82">
        <f>'COMPOSIÇÃO DE VALORES'!D42</f>
        <v/>
      </c>
      <c r="E42" s="82">
        <f>'COMPOSIÇÃO DE VALORES'!G42</f>
        <v/>
      </c>
      <c r="F42" s="82">
        <f>'COMPOSIÇÃO DE VALORES'!H42</f>
        <v/>
      </c>
      <c r="G42" s="83">
        <f>'COMPOSIÇÃO DE VALORES'!L42</f>
        <v/>
      </c>
      <c r="H42" s="83">
        <f>G42*B42</f>
        <v/>
      </c>
      <c r="I42" s="82">
        <f>IF(('COMPOSIÇÃO DE VALORES'!M42)=0,"-",('COMPOSIÇÃO DE VALORES'!M42))</f>
        <v/>
      </c>
    </row>
    <row r="43" hidden="1">
      <c r="A43" s="81" t="n">
        <v>33</v>
      </c>
      <c r="B43" s="82">
        <f>'COMPOSIÇÃO DE VALORES'!B43</f>
        <v/>
      </c>
      <c r="C43" s="82">
        <f>'COMPOSIÇÃO DE VALORES'!C43</f>
        <v/>
      </c>
      <c r="D43" s="82">
        <f>'COMPOSIÇÃO DE VALORES'!D43</f>
        <v/>
      </c>
      <c r="E43" s="82">
        <f>'COMPOSIÇÃO DE VALORES'!G43</f>
        <v/>
      </c>
      <c r="F43" s="82">
        <f>'COMPOSIÇÃO DE VALORES'!H43</f>
        <v/>
      </c>
      <c r="G43" s="83">
        <f>'COMPOSIÇÃO DE VALORES'!L43</f>
        <v/>
      </c>
      <c r="H43" s="83">
        <f>G43*B43</f>
        <v/>
      </c>
      <c r="I43" s="82">
        <f>IF(('COMPOSIÇÃO DE VALORES'!M43)=0,"-",('COMPOSIÇÃO DE VALORES'!M43))</f>
        <v/>
      </c>
    </row>
    <row r="44" hidden="1">
      <c r="A44" s="81" t="n">
        <v>34</v>
      </c>
      <c r="B44" s="82">
        <f>'COMPOSIÇÃO DE VALORES'!B44</f>
        <v/>
      </c>
      <c r="C44" s="82">
        <f>'COMPOSIÇÃO DE VALORES'!C44</f>
        <v/>
      </c>
      <c r="D44" s="82">
        <f>'COMPOSIÇÃO DE VALORES'!D44</f>
        <v/>
      </c>
      <c r="E44" s="82">
        <f>'COMPOSIÇÃO DE VALORES'!G44</f>
        <v/>
      </c>
      <c r="F44" s="82">
        <f>'COMPOSIÇÃO DE VALORES'!H44</f>
        <v/>
      </c>
      <c r="G44" s="83">
        <f>'COMPOSIÇÃO DE VALORES'!L44</f>
        <v/>
      </c>
      <c r="H44" s="83">
        <f>G44*B44</f>
        <v/>
      </c>
      <c r="I44" s="82">
        <f>IF(('COMPOSIÇÃO DE VALORES'!M44)=0,"-",('COMPOSIÇÃO DE VALORES'!M44))</f>
        <v/>
      </c>
    </row>
    <row r="45" hidden="1">
      <c r="A45" s="81" t="n">
        <v>35</v>
      </c>
      <c r="B45" s="82">
        <f>'COMPOSIÇÃO DE VALORES'!B45</f>
        <v/>
      </c>
      <c r="C45" s="82">
        <f>'COMPOSIÇÃO DE VALORES'!C45</f>
        <v/>
      </c>
      <c r="D45" s="82">
        <f>'COMPOSIÇÃO DE VALORES'!D45</f>
        <v/>
      </c>
      <c r="E45" s="82">
        <f>'COMPOSIÇÃO DE VALORES'!G45</f>
        <v/>
      </c>
      <c r="F45" s="82">
        <f>'COMPOSIÇÃO DE VALORES'!H45</f>
        <v/>
      </c>
      <c r="G45" s="83">
        <f>'COMPOSIÇÃO DE VALORES'!L45</f>
        <v/>
      </c>
      <c r="H45" s="83">
        <f>G45*B45</f>
        <v/>
      </c>
      <c r="I45" s="82">
        <f>IF(('COMPOSIÇÃO DE VALORES'!M45)=0,"-",('COMPOSIÇÃO DE VALORES'!M45))</f>
        <v/>
      </c>
    </row>
    <row r="46" hidden="1">
      <c r="A46" s="81" t="n">
        <v>36</v>
      </c>
      <c r="B46" s="82">
        <f>'COMPOSIÇÃO DE VALORES'!B46</f>
        <v/>
      </c>
      <c r="C46" s="82">
        <f>'COMPOSIÇÃO DE VALORES'!C46</f>
        <v/>
      </c>
      <c r="D46" s="82">
        <f>'COMPOSIÇÃO DE VALORES'!D46</f>
        <v/>
      </c>
      <c r="E46" s="82">
        <f>'COMPOSIÇÃO DE VALORES'!G46</f>
        <v/>
      </c>
      <c r="F46" s="82">
        <f>'COMPOSIÇÃO DE VALORES'!H46</f>
        <v/>
      </c>
      <c r="G46" s="83">
        <f>'COMPOSIÇÃO DE VALORES'!L46</f>
        <v/>
      </c>
      <c r="H46" s="83">
        <f>G46*B46</f>
        <v/>
      </c>
      <c r="I46" s="82">
        <f>IF(('COMPOSIÇÃO DE VALORES'!M46)=0,"-",('COMPOSIÇÃO DE VALORES'!M46))</f>
        <v/>
      </c>
    </row>
    <row r="47" hidden="1">
      <c r="A47" s="81" t="n">
        <v>37</v>
      </c>
      <c r="B47" s="82">
        <f>'COMPOSIÇÃO DE VALORES'!B47</f>
        <v/>
      </c>
      <c r="C47" s="82">
        <f>'COMPOSIÇÃO DE VALORES'!C47</f>
        <v/>
      </c>
      <c r="D47" s="82">
        <f>'COMPOSIÇÃO DE VALORES'!D47</f>
        <v/>
      </c>
      <c r="E47" s="82">
        <f>'COMPOSIÇÃO DE VALORES'!G47</f>
        <v/>
      </c>
      <c r="F47" s="82">
        <f>'COMPOSIÇÃO DE VALORES'!H47</f>
        <v/>
      </c>
      <c r="G47" s="83">
        <f>'COMPOSIÇÃO DE VALORES'!L47</f>
        <v/>
      </c>
      <c r="H47" s="83">
        <f>G47*B47</f>
        <v/>
      </c>
      <c r="I47" s="82">
        <f>IF(('COMPOSIÇÃO DE VALORES'!M47)=0,"-",('COMPOSIÇÃO DE VALORES'!M47))</f>
        <v/>
      </c>
    </row>
    <row r="48" hidden="1">
      <c r="A48" s="81" t="n">
        <v>38</v>
      </c>
      <c r="B48" s="82">
        <f>'COMPOSIÇÃO DE VALORES'!B48</f>
        <v/>
      </c>
      <c r="C48" s="82">
        <f>'COMPOSIÇÃO DE VALORES'!C48</f>
        <v/>
      </c>
      <c r="D48" s="82">
        <f>'COMPOSIÇÃO DE VALORES'!D48</f>
        <v/>
      </c>
      <c r="E48" s="82">
        <f>'COMPOSIÇÃO DE VALORES'!G48</f>
        <v/>
      </c>
      <c r="F48" s="82">
        <f>'COMPOSIÇÃO DE VALORES'!H48</f>
        <v/>
      </c>
      <c r="G48" s="83">
        <f>'COMPOSIÇÃO DE VALORES'!L48</f>
        <v/>
      </c>
      <c r="H48" s="83">
        <f>G48*B48</f>
        <v/>
      </c>
      <c r="I48" s="82">
        <f>IF(('COMPOSIÇÃO DE VALORES'!M48)=0,"-",('COMPOSIÇÃO DE VALORES'!M48))</f>
        <v/>
      </c>
    </row>
    <row r="49" hidden="1">
      <c r="A49" s="81" t="n">
        <v>39</v>
      </c>
      <c r="B49" s="82">
        <f>'COMPOSIÇÃO DE VALORES'!B49</f>
        <v/>
      </c>
      <c r="C49" s="82">
        <f>'COMPOSIÇÃO DE VALORES'!C49</f>
        <v/>
      </c>
      <c r="D49" s="82">
        <f>'COMPOSIÇÃO DE VALORES'!D49</f>
        <v/>
      </c>
      <c r="E49" s="82">
        <f>'COMPOSIÇÃO DE VALORES'!G49</f>
        <v/>
      </c>
      <c r="F49" s="82">
        <f>'COMPOSIÇÃO DE VALORES'!H49</f>
        <v/>
      </c>
      <c r="G49" s="83">
        <f>'COMPOSIÇÃO DE VALORES'!L49</f>
        <v/>
      </c>
      <c r="H49" s="83">
        <f>G49*B49</f>
        <v/>
      </c>
      <c r="I49" s="82">
        <f>IF(('COMPOSIÇÃO DE VALORES'!M49)=0,"-",('COMPOSIÇÃO DE VALORES'!M49))</f>
        <v/>
      </c>
    </row>
    <row r="50" hidden="1">
      <c r="A50" s="81" t="n">
        <v>40</v>
      </c>
      <c r="B50" s="82">
        <f>'COMPOSIÇÃO DE VALORES'!B50</f>
        <v/>
      </c>
      <c r="C50" s="82">
        <f>'COMPOSIÇÃO DE VALORES'!C50</f>
        <v/>
      </c>
      <c r="D50" s="82">
        <f>'COMPOSIÇÃO DE VALORES'!D50</f>
        <v/>
      </c>
      <c r="E50" s="82">
        <f>'COMPOSIÇÃO DE VALORES'!G50</f>
        <v/>
      </c>
      <c r="F50" s="82">
        <f>'COMPOSIÇÃO DE VALORES'!H50</f>
        <v/>
      </c>
      <c r="G50" s="83">
        <f>'COMPOSIÇÃO DE VALORES'!L50</f>
        <v/>
      </c>
      <c r="H50" s="83">
        <f>G50*B50</f>
        <v/>
      </c>
      <c r="I50" s="82">
        <f>IF(('COMPOSIÇÃO DE VALORES'!M50)=0,"-",('COMPOSIÇÃO DE VALORES'!M50))</f>
        <v/>
      </c>
    </row>
    <row r="51" hidden="1">
      <c r="A51" s="81" t="n">
        <v>41</v>
      </c>
      <c r="B51" s="82">
        <f>'COMPOSIÇÃO DE VALORES'!B51</f>
        <v/>
      </c>
      <c r="C51" s="82">
        <f>'COMPOSIÇÃO DE VALORES'!C51</f>
        <v/>
      </c>
      <c r="D51" s="82">
        <f>'COMPOSIÇÃO DE VALORES'!D51</f>
        <v/>
      </c>
      <c r="E51" s="82">
        <f>'COMPOSIÇÃO DE VALORES'!G51</f>
        <v/>
      </c>
      <c r="F51" s="82">
        <f>'COMPOSIÇÃO DE VALORES'!H51</f>
        <v/>
      </c>
      <c r="G51" s="83">
        <f>'COMPOSIÇÃO DE VALORES'!L51</f>
        <v/>
      </c>
      <c r="H51" s="83">
        <f>G51*B51</f>
        <v/>
      </c>
      <c r="I51" s="82">
        <f>IF(('COMPOSIÇÃO DE VALORES'!M51)=0,"-",('COMPOSIÇÃO DE VALORES'!M51))</f>
        <v/>
      </c>
    </row>
    <row r="52" hidden="1">
      <c r="A52" s="81" t="n">
        <v>42</v>
      </c>
      <c r="B52" s="82">
        <f>'COMPOSIÇÃO DE VALORES'!B52</f>
        <v/>
      </c>
      <c r="C52" s="82">
        <f>'COMPOSIÇÃO DE VALORES'!C52</f>
        <v/>
      </c>
      <c r="D52" s="82">
        <f>'COMPOSIÇÃO DE VALORES'!D52</f>
        <v/>
      </c>
      <c r="E52" s="82">
        <f>'COMPOSIÇÃO DE VALORES'!G52</f>
        <v/>
      </c>
      <c r="F52" s="82">
        <f>'COMPOSIÇÃO DE VALORES'!H52</f>
        <v/>
      </c>
      <c r="G52" s="83">
        <f>'COMPOSIÇÃO DE VALORES'!L52</f>
        <v/>
      </c>
      <c r="H52" s="83">
        <f>G52*B52</f>
        <v/>
      </c>
      <c r="I52" s="82">
        <f>IF(('COMPOSIÇÃO DE VALORES'!M52)=0,"-",('COMPOSIÇÃO DE VALORES'!M52))</f>
        <v/>
      </c>
    </row>
    <row r="53" hidden="1">
      <c r="A53" s="81" t="n">
        <v>43</v>
      </c>
      <c r="B53" s="82">
        <f>'COMPOSIÇÃO DE VALORES'!B53</f>
        <v/>
      </c>
      <c r="C53" s="82">
        <f>'COMPOSIÇÃO DE VALORES'!C53</f>
        <v/>
      </c>
      <c r="D53" s="82">
        <f>'COMPOSIÇÃO DE VALORES'!D53</f>
        <v/>
      </c>
      <c r="E53" s="82">
        <f>'COMPOSIÇÃO DE VALORES'!G53</f>
        <v/>
      </c>
      <c r="F53" s="82">
        <f>'COMPOSIÇÃO DE VALORES'!H53</f>
        <v/>
      </c>
      <c r="G53" s="83">
        <f>'COMPOSIÇÃO DE VALORES'!L53</f>
        <v/>
      </c>
      <c r="H53" s="83">
        <f>G53*B53</f>
        <v/>
      </c>
      <c r="I53" s="82">
        <f>IF(('COMPOSIÇÃO DE VALORES'!M53)=0,"-",('COMPOSIÇÃO DE VALORES'!M53))</f>
        <v/>
      </c>
    </row>
    <row r="54" hidden="1">
      <c r="A54" s="81" t="n">
        <v>44</v>
      </c>
      <c r="B54" s="82">
        <f>'COMPOSIÇÃO DE VALORES'!B54</f>
        <v/>
      </c>
      <c r="C54" s="82">
        <f>'COMPOSIÇÃO DE VALORES'!C54</f>
        <v/>
      </c>
      <c r="D54" s="82">
        <f>'COMPOSIÇÃO DE VALORES'!D54</f>
        <v/>
      </c>
      <c r="E54" s="82">
        <f>'COMPOSIÇÃO DE VALORES'!G54</f>
        <v/>
      </c>
      <c r="F54" s="82">
        <f>'COMPOSIÇÃO DE VALORES'!H54</f>
        <v/>
      </c>
      <c r="G54" s="83">
        <f>'COMPOSIÇÃO DE VALORES'!L54</f>
        <v/>
      </c>
      <c r="H54" s="83">
        <f>G54*B54</f>
        <v/>
      </c>
      <c r="I54" s="82">
        <f>IF(('COMPOSIÇÃO DE VALORES'!M54)=0,"-",('COMPOSIÇÃO DE VALORES'!M54))</f>
        <v/>
      </c>
    </row>
    <row r="55" hidden="1">
      <c r="A55" s="81" t="n">
        <v>45</v>
      </c>
      <c r="B55" s="82">
        <f>'COMPOSIÇÃO DE VALORES'!B55</f>
        <v/>
      </c>
      <c r="C55" s="82">
        <f>'COMPOSIÇÃO DE VALORES'!C55</f>
        <v/>
      </c>
      <c r="D55" s="82">
        <f>'COMPOSIÇÃO DE VALORES'!D55</f>
        <v/>
      </c>
      <c r="E55" s="82">
        <f>'COMPOSIÇÃO DE VALORES'!G55</f>
        <v/>
      </c>
      <c r="F55" s="82">
        <f>'COMPOSIÇÃO DE VALORES'!H55</f>
        <v/>
      </c>
      <c r="G55" s="83">
        <f>'COMPOSIÇÃO DE VALORES'!L55</f>
        <v/>
      </c>
      <c r="H55" s="83">
        <f>G55*B55</f>
        <v/>
      </c>
      <c r="I55" s="82">
        <f>IF(('COMPOSIÇÃO DE VALORES'!M55)=0,"-",('COMPOSIÇÃO DE VALORES'!M55))</f>
        <v/>
      </c>
    </row>
    <row r="56" hidden="1">
      <c r="A56" s="81" t="n">
        <v>46</v>
      </c>
      <c r="B56" s="82">
        <f>'COMPOSIÇÃO DE VALORES'!B56</f>
        <v/>
      </c>
      <c r="C56" s="82">
        <f>'COMPOSIÇÃO DE VALORES'!C56</f>
        <v/>
      </c>
      <c r="D56" s="82">
        <f>'COMPOSIÇÃO DE VALORES'!D56</f>
        <v/>
      </c>
      <c r="E56" s="82">
        <f>'COMPOSIÇÃO DE VALORES'!G56</f>
        <v/>
      </c>
      <c r="F56" s="82">
        <f>'COMPOSIÇÃO DE VALORES'!H56</f>
        <v/>
      </c>
      <c r="G56" s="83">
        <f>'COMPOSIÇÃO DE VALORES'!L56</f>
        <v/>
      </c>
      <c r="H56" s="83">
        <f>G56*B56</f>
        <v/>
      </c>
      <c r="I56" s="82">
        <f>IF(('COMPOSIÇÃO DE VALORES'!M56)=0,"-",('COMPOSIÇÃO DE VALORES'!M56))</f>
        <v/>
      </c>
    </row>
    <row r="57" hidden="1">
      <c r="A57" s="81" t="n">
        <v>47</v>
      </c>
      <c r="B57" s="82">
        <f>'COMPOSIÇÃO DE VALORES'!B57</f>
        <v/>
      </c>
      <c r="C57" s="82">
        <f>'COMPOSIÇÃO DE VALORES'!C57</f>
        <v/>
      </c>
      <c r="D57" s="82">
        <f>'COMPOSIÇÃO DE VALORES'!D57</f>
        <v/>
      </c>
      <c r="E57" s="82">
        <f>'COMPOSIÇÃO DE VALORES'!G57</f>
        <v/>
      </c>
      <c r="F57" s="82">
        <f>'COMPOSIÇÃO DE VALORES'!H57</f>
        <v/>
      </c>
      <c r="G57" s="83">
        <f>'COMPOSIÇÃO DE VALORES'!L57</f>
        <v/>
      </c>
      <c r="H57" s="83">
        <f>G57*B57</f>
        <v/>
      </c>
      <c r="I57" s="82">
        <f>IF(('COMPOSIÇÃO DE VALORES'!M57)=0,"-",('COMPOSIÇÃO DE VALORES'!M57))</f>
        <v/>
      </c>
    </row>
    <row r="58" hidden="1">
      <c r="A58" s="81" t="n">
        <v>48</v>
      </c>
      <c r="B58" s="82">
        <f>'COMPOSIÇÃO DE VALORES'!B58</f>
        <v/>
      </c>
      <c r="C58" s="82">
        <f>'COMPOSIÇÃO DE VALORES'!C58</f>
        <v/>
      </c>
      <c r="D58" s="82">
        <f>'COMPOSIÇÃO DE VALORES'!D58</f>
        <v/>
      </c>
      <c r="E58" s="82">
        <f>'COMPOSIÇÃO DE VALORES'!G58</f>
        <v/>
      </c>
      <c r="F58" s="82">
        <f>'COMPOSIÇÃO DE VALORES'!H58</f>
        <v/>
      </c>
      <c r="G58" s="83">
        <f>'COMPOSIÇÃO DE VALORES'!L58</f>
        <v/>
      </c>
      <c r="H58" s="83">
        <f>G58*B58</f>
        <v/>
      </c>
      <c r="I58" s="82">
        <f>IF(('COMPOSIÇÃO DE VALORES'!M58)=0,"-",('COMPOSIÇÃO DE VALORES'!M58))</f>
        <v/>
      </c>
    </row>
    <row r="59" hidden="1">
      <c r="A59" s="81" t="n">
        <v>49</v>
      </c>
      <c r="B59" s="82">
        <f>'COMPOSIÇÃO DE VALORES'!B59</f>
        <v/>
      </c>
      <c r="C59" s="82">
        <f>'COMPOSIÇÃO DE VALORES'!C59</f>
        <v/>
      </c>
      <c r="D59" s="82">
        <f>'COMPOSIÇÃO DE VALORES'!D59</f>
        <v/>
      </c>
      <c r="E59" s="82">
        <f>'COMPOSIÇÃO DE VALORES'!G59</f>
        <v/>
      </c>
      <c r="F59" s="82">
        <f>'COMPOSIÇÃO DE VALORES'!H59</f>
        <v/>
      </c>
      <c r="G59" s="83">
        <f>'COMPOSIÇÃO DE VALORES'!L59</f>
        <v/>
      </c>
      <c r="H59" s="83">
        <f>G59*B59</f>
        <v/>
      </c>
      <c r="I59" s="82">
        <f>IF(('COMPOSIÇÃO DE VALORES'!M59)=0,"-",('COMPOSIÇÃO DE VALORES'!M59))</f>
        <v/>
      </c>
    </row>
    <row r="60" hidden="1">
      <c r="A60" s="81" t="n">
        <v>50</v>
      </c>
      <c r="B60" s="82">
        <f>'COMPOSIÇÃO DE VALORES'!B60</f>
        <v/>
      </c>
      <c r="C60" s="82">
        <f>'COMPOSIÇÃO DE VALORES'!C60</f>
        <v/>
      </c>
      <c r="D60" s="82">
        <f>'COMPOSIÇÃO DE VALORES'!D60</f>
        <v/>
      </c>
      <c r="E60" s="82">
        <f>'COMPOSIÇÃO DE VALORES'!G60</f>
        <v/>
      </c>
      <c r="F60" s="82">
        <f>'COMPOSIÇÃO DE VALORES'!H60</f>
        <v/>
      </c>
      <c r="G60" s="83">
        <f>'COMPOSIÇÃO DE VALORES'!L60</f>
        <v/>
      </c>
      <c r="H60" s="83">
        <f>G60*B60</f>
        <v/>
      </c>
      <c r="I60" s="82">
        <f>IF(('COMPOSIÇÃO DE VALORES'!M60)=0,"-",('COMPOSIÇÃO DE VALORES'!M60))</f>
        <v/>
      </c>
    </row>
    <row r="61" hidden="1">
      <c r="A61" s="81" t="n">
        <v>51</v>
      </c>
      <c r="B61" s="82">
        <f>'COMPOSIÇÃO DE VALORES'!B61</f>
        <v/>
      </c>
      <c r="C61" s="82">
        <f>'COMPOSIÇÃO DE VALORES'!C61</f>
        <v/>
      </c>
      <c r="D61" s="82">
        <f>'COMPOSIÇÃO DE VALORES'!D61</f>
        <v/>
      </c>
      <c r="E61" s="82">
        <f>'COMPOSIÇÃO DE VALORES'!G61</f>
        <v/>
      </c>
      <c r="F61" s="82">
        <f>'COMPOSIÇÃO DE VALORES'!H61</f>
        <v/>
      </c>
      <c r="G61" s="83">
        <f>'COMPOSIÇÃO DE VALORES'!L61</f>
        <v/>
      </c>
      <c r="H61" s="83">
        <f>G61*B61</f>
        <v/>
      </c>
      <c r="I61" s="82">
        <f>IF(('COMPOSIÇÃO DE VALORES'!M61)=0,"-",('COMPOSIÇÃO DE VALORES'!M61))</f>
        <v/>
      </c>
    </row>
    <row r="62" hidden="1">
      <c r="A62" s="81" t="n">
        <v>52</v>
      </c>
      <c r="B62" s="82">
        <f>'COMPOSIÇÃO DE VALORES'!B62</f>
        <v/>
      </c>
      <c r="C62" s="82">
        <f>'COMPOSIÇÃO DE VALORES'!C62</f>
        <v/>
      </c>
      <c r="D62" s="82">
        <f>'COMPOSIÇÃO DE VALORES'!D62</f>
        <v/>
      </c>
      <c r="E62" s="82">
        <f>'COMPOSIÇÃO DE VALORES'!G62</f>
        <v/>
      </c>
      <c r="F62" s="82">
        <f>'COMPOSIÇÃO DE VALORES'!H62</f>
        <v/>
      </c>
      <c r="G62" s="83">
        <f>'COMPOSIÇÃO DE VALORES'!L62</f>
        <v/>
      </c>
      <c r="H62" s="83">
        <f>G62*B62</f>
        <v/>
      </c>
      <c r="I62" s="82">
        <f>IF(('COMPOSIÇÃO DE VALORES'!M62)=0,"-",('COMPOSIÇÃO DE VALORES'!M62))</f>
        <v/>
      </c>
    </row>
    <row r="63" hidden="1">
      <c r="A63" s="81" t="n">
        <v>53</v>
      </c>
      <c r="B63" s="82">
        <f>'COMPOSIÇÃO DE VALORES'!B63</f>
        <v/>
      </c>
      <c r="C63" s="82">
        <f>'COMPOSIÇÃO DE VALORES'!C63</f>
        <v/>
      </c>
      <c r="D63" s="82">
        <f>'COMPOSIÇÃO DE VALORES'!D63</f>
        <v/>
      </c>
      <c r="E63" s="82">
        <f>'COMPOSIÇÃO DE VALORES'!G63</f>
        <v/>
      </c>
      <c r="F63" s="82">
        <f>'COMPOSIÇÃO DE VALORES'!H63</f>
        <v/>
      </c>
      <c r="G63" s="83">
        <f>'COMPOSIÇÃO DE VALORES'!L63</f>
        <v/>
      </c>
      <c r="H63" s="83">
        <f>G63*B63</f>
        <v/>
      </c>
      <c r="I63" s="82">
        <f>IF(('COMPOSIÇÃO DE VALORES'!M63)=0,"-",('COMPOSIÇÃO DE VALORES'!M63))</f>
        <v/>
      </c>
    </row>
    <row r="64" hidden="1">
      <c r="A64" s="81" t="n">
        <v>54</v>
      </c>
      <c r="B64" s="82">
        <f>'COMPOSIÇÃO DE VALORES'!B64</f>
        <v/>
      </c>
      <c r="C64" s="82">
        <f>'COMPOSIÇÃO DE VALORES'!C64</f>
        <v/>
      </c>
      <c r="D64" s="82">
        <f>'COMPOSIÇÃO DE VALORES'!D64</f>
        <v/>
      </c>
      <c r="E64" s="82">
        <f>'COMPOSIÇÃO DE VALORES'!G64</f>
        <v/>
      </c>
      <c r="F64" s="82">
        <f>'COMPOSIÇÃO DE VALORES'!H64</f>
        <v/>
      </c>
      <c r="G64" s="83">
        <f>'COMPOSIÇÃO DE VALORES'!L64</f>
        <v/>
      </c>
      <c r="H64" s="83">
        <f>G64*B64</f>
        <v/>
      </c>
      <c r="I64" s="82">
        <f>IF(('COMPOSIÇÃO DE VALORES'!M64)=0,"-",('COMPOSIÇÃO DE VALORES'!M64))</f>
        <v/>
      </c>
    </row>
    <row r="65" hidden="1">
      <c r="A65" s="81" t="n">
        <v>55</v>
      </c>
      <c r="B65" s="82">
        <f>'COMPOSIÇÃO DE VALORES'!B65</f>
        <v/>
      </c>
      <c r="C65" s="82">
        <f>'COMPOSIÇÃO DE VALORES'!C65</f>
        <v/>
      </c>
      <c r="D65" s="82">
        <f>'COMPOSIÇÃO DE VALORES'!D65</f>
        <v/>
      </c>
      <c r="E65" s="82">
        <f>'COMPOSIÇÃO DE VALORES'!G65</f>
        <v/>
      </c>
      <c r="F65" s="82">
        <f>'COMPOSIÇÃO DE VALORES'!H65</f>
        <v/>
      </c>
      <c r="G65" s="83">
        <f>'COMPOSIÇÃO DE VALORES'!L65</f>
        <v/>
      </c>
      <c r="H65" s="83">
        <f>G65*B65</f>
        <v/>
      </c>
      <c r="I65" s="82">
        <f>IF(('COMPOSIÇÃO DE VALORES'!M65)=0,"-",('COMPOSIÇÃO DE VALORES'!M65))</f>
        <v/>
      </c>
    </row>
    <row r="66" hidden="1">
      <c r="A66" s="81" t="n">
        <v>56</v>
      </c>
      <c r="B66" s="82">
        <f>'COMPOSIÇÃO DE VALORES'!B66</f>
        <v/>
      </c>
      <c r="C66" s="82">
        <f>'COMPOSIÇÃO DE VALORES'!C66</f>
        <v/>
      </c>
      <c r="D66" s="82">
        <f>'COMPOSIÇÃO DE VALORES'!D66</f>
        <v/>
      </c>
      <c r="E66" s="82">
        <f>'COMPOSIÇÃO DE VALORES'!G66</f>
        <v/>
      </c>
      <c r="F66" s="82">
        <f>'COMPOSIÇÃO DE VALORES'!H66</f>
        <v/>
      </c>
      <c r="G66" s="83">
        <f>'COMPOSIÇÃO DE VALORES'!L66</f>
        <v/>
      </c>
      <c r="H66" s="83">
        <f>G66*B66</f>
        <v/>
      </c>
      <c r="I66" s="82">
        <f>IF(('COMPOSIÇÃO DE VALORES'!M66)=0,"-",('COMPOSIÇÃO DE VALORES'!M66))</f>
        <v/>
      </c>
    </row>
    <row r="67" hidden="1">
      <c r="A67" s="81" t="n">
        <v>57</v>
      </c>
      <c r="B67" s="82">
        <f>'COMPOSIÇÃO DE VALORES'!B67</f>
        <v/>
      </c>
      <c r="C67" s="82">
        <f>'COMPOSIÇÃO DE VALORES'!C67</f>
        <v/>
      </c>
      <c r="D67" s="82">
        <f>'COMPOSIÇÃO DE VALORES'!D67</f>
        <v/>
      </c>
      <c r="E67" s="82">
        <f>'COMPOSIÇÃO DE VALORES'!G67</f>
        <v/>
      </c>
      <c r="F67" s="82">
        <f>'COMPOSIÇÃO DE VALORES'!H67</f>
        <v/>
      </c>
      <c r="G67" s="83">
        <f>'COMPOSIÇÃO DE VALORES'!L67</f>
        <v/>
      </c>
      <c r="H67" s="83">
        <f>G67*B67</f>
        <v/>
      </c>
      <c r="I67" s="82">
        <f>IF(('COMPOSIÇÃO DE VALORES'!M67)=0,"-",('COMPOSIÇÃO DE VALORES'!M67))</f>
        <v/>
      </c>
    </row>
    <row r="68" hidden="1">
      <c r="A68" s="81" t="n">
        <v>58</v>
      </c>
      <c r="B68" s="82">
        <f>'COMPOSIÇÃO DE VALORES'!B68</f>
        <v/>
      </c>
      <c r="C68" s="82">
        <f>'COMPOSIÇÃO DE VALORES'!C68</f>
        <v/>
      </c>
      <c r="D68" s="82">
        <f>'COMPOSIÇÃO DE VALORES'!D68</f>
        <v/>
      </c>
      <c r="E68" s="82">
        <f>'COMPOSIÇÃO DE VALORES'!G68</f>
        <v/>
      </c>
      <c r="F68" s="82">
        <f>'COMPOSIÇÃO DE VALORES'!H68</f>
        <v/>
      </c>
      <c r="G68" s="83">
        <f>'COMPOSIÇÃO DE VALORES'!L68</f>
        <v/>
      </c>
      <c r="H68" s="83">
        <f>G68*B68</f>
        <v/>
      </c>
      <c r="I68" s="82">
        <f>IF(('COMPOSIÇÃO DE VALORES'!M68)=0,"-",('COMPOSIÇÃO DE VALORES'!M68))</f>
        <v/>
      </c>
    </row>
    <row r="69" hidden="1">
      <c r="A69" s="81" t="n">
        <v>59</v>
      </c>
      <c r="B69" s="82">
        <f>'COMPOSIÇÃO DE VALORES'!B69</f>
        <v/>
      </c>
      <c r="C69" s="82">
        <f>'COMPOSIÇÃO DE VALORES'!C69</f>
        <v/>
      </c>
      <c r="D69" s="82">
        <f>'COMPOSIÇÃO DE VALORES'!D69</f>
        <v/>
      </c>
      <c r="E69" s="82">
        <f>'COMPOSIÇÃO DE VALORES'!G69</f>
        <v/>
      </c>
      <c r="F69" s="82">
        <f>'COMPOSIÇÃO DE VALORES'!H69</f>
        <v/>
      </c>
      <c r="G69" s="83">
        <f>'COMPOSIÇÃO DE VALORES'!L69</f>
        <v/>
      </c>
      <c r="H69" s="83">
        <f>G69*B69</f>
        <v/>
      </c>
      <c r="I69" s="82">
        <f>IF(('COMPOSIÇÃO DE VALORES'!M69)=0,"-",('COMPOSIÇÃO DE VALORES'!M69))</f>
        <v/>
      </c>
    </row>
    <row r="70" hidden="1">
      <c r="A70" s="81" t="n">
        <v>60</v>
      </c>
      <c r="B70" s="82">
        <f>'COMPOSIÇÃO DE VALORES'!B70</f>
        <v/>
      </c>
      <c r="C70" s="82">
        <f>'COMPOSIÇÃO DE VALORES'!C70</f>
        <v/>
      </c>
      <c r="D70" s="82">
        <f>'COMPOSIÇÃO DE VALORES'!D70</f>
        <v/>
      </c>
      <c r="E70" s="82">
        <f>'COMPOSIÇÃO DE VALORES'!G70</f>
        <v/>
      </c>
      <c r="F70" s="82">
        <f>'COMPOSIÇÃO DE VALORES'!H70</f>
        <v/>
      </c>
      <c r="G70" s="83">
        <f>'COMPOSIÇÃO DE VALORES'!L70</f>
        <v/>
      </c>
      <c r="H70" s="83">
        <f>G70*B70</f>
        <v/>
      </c>
      <c r="I70" s="82">
        <f>IF(('COMPOSIÇÃO DE VALORES'!M70)=0,"-",('COMPOSIÇÃO DE VALORES'!M70))</f>
        <v/>
      </c>
    </row>
    <row r="71" hidden="1">
      <c r="A71" s="81" t="n">
        <v>61</v>
      </c>
      <c r="B71" s="82">
        <f>'COMPOSIÇÃO DE VALORES'!B71</f>
        <v/>
      </c>
      <c r="C71" s="82">
        <f>'COMPOSIÇÃO DE VALORES'!C71</f>
        <v/>
      </c>
      <c r="D71" s="82">
        <f>'COMPOSIÇÃO DE VALORES'!D71</f>
        <v/>
      </c>
      <c r="E71" s="82">
        <f>'COMPOSIÇÃO DE VALORES'!G71</f>
        <v/>
      </c>
      <c r="F71" s="82">
        <f>'COMPOSIÇÃO DE VALORES'!H71</f>
        <v/>
      </c>
      <c r="G71" s="83">
        <f>'COMPOSIÇÃO DE VALORES'!L71</f>
        <v/>
      </c>
      <c r="H71" s="83">
        <f>G71*B71</f>
        <v/>
      </c>
      <c r="I71" s="82">
        <f>IF(('COMPOSIÇÃO DE VALORES'!M71)=0,"-",('COMPOSIÇÃO DE VALORES'!M71))</f>
        <v/>
      </c>
    </row>
    <row r="72" hidden="1">
      <c r="A72" s="81" t="n">
        <v>62</v>
      </c>
      <c r="B72" s="82">
        <f>'COMPOSIÇÃO DE VALORES'!B72</f>
        <v/>
      </c>
      <c r="C72" s="82">
        <f>'COMPOSIÇÃO DE VALORES'!C72</f>
        <v/>
      </c>
      <c r="D72" s="82">
        <f>'COMPOSIÇÃO DE VALORES'!D72</f>
        <v/>
      </c>
      <c r="E72" s="82">
        <f>'COMPOSIÇÃO DE VALORES'!G72</f>
        <v/>
      </c>
      <c r="F72" s="82">
        <f>'COMPOSIÇÃO DE VALORES'!H72</f>
        <v/>
      </c>
      <c r="G72" s="83">
        <f>'COMPOSIÇÃO DE VALORES'!L72</f>
        <v/>
      </c>
      <c r="H72" s="83">
        <f>G72*B72</f>
        <v/>
      </c>
      <c r="I72" s="82">
        <f>IF(('COMPOSIÇÃO DE VALORES'!M72)=0,"-",('COMPOSIÇÃO DE VALORES'!M72))</f>
        <v/>
      </c>
    </row>
    <row r="73" hidden="1">
      <c r="A73" s="81" t="n">
        <v>63</v>
      </c>
      <c r="B73" s="82">
        <f>'COMPOSIÇÃO DE VALORES'!B73</f>
        <v/>
      </c>
      <c r="C73" s="82">
        <f>'COMPOSIÇÃO DE VALORES'!C73</f>
        <v/>
      </c>
      <c r="D73" s="82">
        <f>'COMPOSIÇÃO DE VALORES'!D73</f>
        <v/>
      </c>
      <c r="E73" s="82">
        <f>'COMPOSIÇÃO DE VALORES'!G73</f>
        <v/>
      </c>
      <c r="F73" s="82">
        <f>'COMPOSIÇÃO DE VALORES'!H73</f>
        <v/>
      </c>
      <c r="G73" s="83">
        <f>'COMPOSIÇÃO DE VALORES'!L73</f>
        <v/>
      </c>
      <c r="H73" s="83">
        <f>G73*B73</f>
        <v/>
      </c>
      <c r="I73" s="82">
        <f>IF(('COMPOSIÇÃO DE VALORES'!M73)=0,"-",('COMPOSIÇÃO DE VALORES'!M73))</f>
        <v/>
      </c>
    </row>
    <row r="74" hidden="1">
      <c r="A74" s="81" t="n">
        <v>64</v>
      </c>
      <c r="B74" s="82">
        <f>'COMPOSIÇÃO DE VALORES'!B74</f>
        <v/>
      </c>
      <c r="C74" s="82">
        <f>'COMPOSIÇÃO DE VALORES'!C74</f>
        <v/>
      </c>
      <c r="D74" s="82">
        <f>'COMPOSIÇÃO DE VALORES'!D74</f>
        <v/>
      </c>
      <c r="E74" s="82">
        <f>'COMPOSIÇÃO DE VALORES'!G74</f>
        <v/>
      </c>
      <c r="F74" s="82">
        <f>'COMPOSIÇÃO DE VALORES'!H74</f>
        <v/>
      </c>
      <c r="G74" s="83">
        <f>'COMPOSIÇÃO DE VALORES'!L74</f>
        <v/>
      </c>
      <c r="H74" s="83">
        <f>G74*B74</f>
        <v/>
      </c>
      <c r="I74" s="82">
        <f>IF(('COMPOSIÇÃO DE VALORES'!M74)=0,"-",('COMPOSIÇÃO DE VALORES'!M74))</f>
        <v/>
      </c>
    </row>
    <row r="75" hidden="1">
      <c r="A75" s="81" t="n">
        <v>65</v>
      </c>
      <c r="B75" s="82">
        <f>'COMPOSIÇÃO DE VALORES'!B75</f>
        <v/>
      </c>
      <c r="C75" s="82">
        <f>'COMPOSIÇÃO DE VALORES'!C75</f>
        <v/>
      </c>
      <c r="D75" s="82">
        <f>'COMPOSIÇÃO DE VALORES'!D75</f>
        <v/>
      </c>
      <c r="E75" s="82">
        <f>'COMPOSIÇÃO DE VALORES'!G75</f>
        <v/>
      </c>
      <c r="F75" s="82">
        <f>'COMPOSIÇÃO DE VALORES'!H75</f>
        <v/>
      </c>
      <c r="G75" s="83">
        <f>'COMPOSIÇÃO DE VALORES'!L75</f>
        <v/>
      </c>
      <c r="H75" s="83">
        <f>G75*B75</f>
        <v/>
      </c>
      <c r="I75" s="82">
        <f>IF(('COMPOSIÇÃO DE VALORES'!M75)=0,"-",('COMPOSIÇÃO DE VALORES'!M75))</f>
        <v/>
      </c>
    </row>
    <row r="76" hidden="1">
      <c r="A76" s="81" t="n">
        <v>66</v>
      </c>
      <c r="B76" s="82">
        <f>'COMPOSIÇÃO DE VALORES'!B76</f>
        <v/>
      </c>
      <c r="C76" s="82">
        <f>'COMPOSIÇÃO DE VALORES'!C76</f>
        <v/>
      </c>
      <c r="D76" s="82">
        <f>'COMPOSIÇÃO DE VALORES'!D76</f>
        <v/>
      </c>
      <c r="E76" s="82">
        <f>'COMPOSIÇÃO DE VALORES'!G76</f>
        <v/>
      </c>
      <c r="F76" s="82">
        <f>'COMPOSIÇÃO DE VALORES'!H76</f>
        <v/>
      </c>
      <c r="G76" s="83">
        <f>'COMPOSIÇÃO DE VALORES'!L76</f>
        <v/>
      </c>
      <c r="H76" s="83">
        <f>G76*B76</f>
        <v/>
      </c>
      <c r="I76" s="82">
        <f>IF(('COMPOSIÇÃO DE VALORES'!M76)=0,"-",('COMPOSIÇÃO DE VALORES'!M76))</f>
        <v/>
      </c>
    </row>
    <row r="77" hidden="1">
      <c r="A77" s="81" t="n">
        <v>67</v>
      </c>
      <c r="B77" s="82">
        <f>'COMPOSIÇÃO DE VALORES'!B77</f>
        <v/>
      </c>
      <c r="C77" s="82">
        <f>'COMPOSIÇÃO DE VALORES'!C77</f>
        <v/>
      </c>
      <c r="D77" s="82">
        <f>'COMPOSIÇÃO DE VALORES'!D77</f>
        <v/>
      </c>
      <c r="E77" s="82">
        <f>'COMPOSIÇÃO DE VALORES'!G77</f>
        <v/>
      </c>
      <c r="F77" s="82">
        <f>'COMPOSIÇÃO DE VALORES'!H77</f>
        <v/>
      </c>
      <c r="G77" s="83">
        <f>'COMPOSIÇÃO DE VALORES'!L77</f>
        <v/>
      </c>
      <c r="H77" s="83">
        <f>G77*B77</f>
        <v/>
      </c>
      <c r="I77" s="82">
        <f>IF(('COMPOSIÇÃO DE VALORES'!M77)=0,"-",('COMPOSIÇÃO DE VALORES'!M77))</f>
        <v/>
      </c>
    </row>
    <row r="78" hidden="1">
      <c r="A78" s="81" t="n">
        <v>68</v>
      </c>
      <c r="B78" s="82">
        <f>'COMPOSIÇÃO DE VALORES'!B78</f>
        <v/>
      </c>
      <c r="C78" s="82">
        <f>'COMPOSIÇÃO DE VALORES'!C78</f>
        <v/>
      </c>
      <c r="D78" s="82">
        <f>'COMPOSIÇÃO DE VALORES'!D78</f>
        <v/>
      </c>
      <c r="E78" s="82">
        <f>'COMPOSIÇÃO DE VALORES'!G78</f>
        <v/>
      </c>
      <c r="F78" s="82">
        <f>'COMPOSIÇÃO DE VALORES'!H78</f>
        <v/>
      </c>
      <c r="G78" s="83">
        <f>'COMPOSIÇÃO DE VALORES'!L78</f>
        <v/>
      </c>
      <c r="H78" s="83">
        <f>G78*B78</f>
        <v/>
      </c>
      <c r="I78" s="82">
        <f>IF(('COMPOSIÇÃO DE VALORES'!M78)=0,"-",('COMPOSIÇÃO DE VALORES'!M78))</f>
        <v/>
      </c>
    </row>
    <row r="79" hidden="1">
      <c r="A79" s="81" t="n">
        <v>69</v>
      </c>
      <c r="B79" s="82">
        <f>'COMPOSIÇÃO DE VALORES'!B79</f>
        <v/>
      </c>
      <c r="C79" s="82">
        <f>'COMPOSIÇÃO DE VALORES'!C79</f>
        <v/>
      </c>
      <c r="D79" s="82">
        <f>'COMPOSIÇÃO DE VALORES'!D79</f>
        <v/>
      </c>
      <c r="E79" s="82">
        <f>'COMPOSIÇÃO DE VALORES'!G79</f>
        <v/>
      </c>
      <c r="F79" s="82">
        <f>'COMPOSIÇÃO DE VALORES'!H79</f>
        <v/>
      </c>
      <c r="G79" s="83">
        <f>'COMPOSIÇÃO DE VALORES'!L79</f>
        <v/>
      </c>
      <c r="H79" s="83">
        <f>G79*B79</f>
        <v/>
      </c>
      <c r="I79" s="82">
        <f>IF(('COMPOSIÇÃO DE VALORES'!M79)=0,"-",('COMPOSIÇÃO DE VALORES'!M79))</f>
        <v/>
      </c>
    </row>
    <row r="80" hidden="1">
      <c r="A80" s="81" t="n">
        <v>70</v>
      </c>
      <c r="B80" s="82">
        <f>'COMPOSIÇÃO DE VALORES'!B80</f>
        <v/>
      </c>
      <c r="C80" s="82">
        <f>'COMPOSIÇÃO DE VALORES'!C80</f>
        <v/>
      </c>
      <c r="D80" s="82">
        <f>'COMPOSIÇÃO DE VALORES'!D80</f>
        <v/>
      </c>
      <c r="E80" s="82">
        <f>'COMPOSIÇÃO DE VALORES'!G80</f>
        <v/>
      </c>
      <c r="F80" s="82">
        <f>'COMPOSIÇÃO DE VALORES'!H80</f>
        <v/>
      </c>
      <c r="G80" s="83">
        <f>'COMPOSIÇÃO DE VALORES'!L80</f>
        <v/>
      </c>
      <c r="H80" s="83">
        <f>G80*B80</f>
        <v/>
      </c>
      <c r="I80" s="82">
        <f>IF(('COMPOSIÇÃO DE VALORES'!M80)=0,"-",('COMPOSIÇÃO DE VALORES'!M80))</f>
        <v/>
      </c>
    </row>
    <row r="81" hidden="1">
      <c r="A81" s="81" t="n">
        <v>71</v>
      </c>
      <c r="B81" s="82">
        <f>'COMPOSIÇÃO DE VALORES'!B81</f>
        <v/>
      </c>
      <c r="C81" s="82">
        <f>'COMPOSIÇÃO DE VALORES'!C81</f>
        <v/>
      </c>
      <c r="D81" s="82">
        <f>'COMPOSIÇÃO DE VALORES'!D81</f>
        <v/>
      </c>
      <c r="E81" s="82">
        <f>'COMPOSIÇÃO DE VALORES'!G81</f>
        <v/>
      </c>
      <c r="F81" s="82">
        <f>'COMPOSIÇÃO DE VALORES'!H81</f>
        <v/>
      </c>
      <c r="G81" s="83">
        <f>'COMPOSIÇÃO DE VALORES'!L81</f>
        <v/>
      </c>
      <c r="H81" s="83">
        <f>G81*B81</f>
        <v/>
      </c>
      <c r="I81" s="82">
        <f>IF(('COMPOSIÇÃO DE VALORES'!M81)=0,"-",('COMPOSIÇÃO DE VALORES'!M81))</f>
        <v/>
      </c>
    </row>
    <row r="82" hidden="1">
      <c r="A82" s="81" t="n">
        <v>72</v>
      </c>
      <c r="B82" s="82">
        <f>'COMPOSIÇÃO DE VALORES'!B82</f>
        <v/>
      </c>
      <c r="C82" s="82">
        <f>'COMPOSIÇÃO DE VALORES'!C82</f>
        <v/>
      </c>
      <c r="D82" s="82">
        <f>'COMPOSIÇÃO DE VALORES'!D82</f>
        <v/>
      </c>
      <c r="E82" s="82">
        <f>'COMPOSIÇÃO DE VALORES'!G82</f>
        <v/>
      </c>
      <c r="F82" s="82">
        <f>'COMPOSIÇÃO DE VALORES'!H82</f>
        <v/>
      </c>
      <c r="G82" s="83">
        <f>'COMPOSIÇÃO DE VALORES'!L82</f>
        <v/>
      </c>
      <c r="H82" s="83">
        <f>G82*B82</f>
        <v/>
      </c>
      <c r="I82" s="82">
        <f>IF(('COMPOSIÇÃO DE VALORES'!M82)=0,"-",('COMPOSIÇÃO DE VALORES'!M82))</f>
        <v/>
      </c>
    </row>
    <row r="83" hidden="1">
      <c r="A83" s="81" t="n">
        <v>73</v>
      </c>
      <c r="B83" s="82">
        <f>'COMPOSIÇÃO DE VALORES'!B83</f>
        <v/>
      </c>
      <c r="C83" s="82">
        <f>'COMPOSIÇÃO DE VALORES'!C83</f>
        <v/>
      </c>
      <c r="D83" s="82">
        <f>'COMPOSIÇÃO DE VALORES'!D83</f>
        <v/>
      </c>
      <c r="E83" s="82">
        <f>'COMPOSIÇÃO DE VALORES'!G83</f>
        <v/>
      </c>
      <c r="F83" s="82">
        <f>'COMPOSIÇÃO DE VALORES'!H83</f>
        <v/>
      </c>
      <c r="G83" s="83">
        <f>'COMPOSIÇÃO DE VALORES'!L83</f>
        <v/>
      </c>
      <c r="H83" s="83">
        <f>G83*B83</f>
        <v/>
      </c>
      <c r="I83" s="82">
        <f>IF(('COMPOSIÇÃO DE VALORES'!M83)=0,"-",('COMPOSIÇÃO DE VALORES'!M83))</f>
        <v/>
      </c>
    </row>
    <row r="84" hidden="1">
      <c r="A84" s="81" t="n">
        <v>74</v>
      </c>
      <c r="B84" s="82">
        <f>'COMPOSIÇÃO DE VALORES'!B84</f>
        <v/>
      </c>
      <c r="C84" s="82">
        <f>'COMPOSIÇÃO DE VALORES'!C84</f>
        <v/>
      </c>
      <c r="D84" s="82">
        <f>'COMPOSIÇÃO DE VALORES'!D84</f>
        <v/>
      </c>
      <c r="E84" s="82">
        <f>'COMPOSIÇÃO DE VALORES'!G84</f>
        <v/>
      </c>
      <c r="F84" s="82">
        <f>'COMPOSIÇÃO DE VALORES'!H84</f>
        <v/>
      </c>
      <c r="G84" s="83">
        <f>'COMPOSIÇÃO DE VALORES'!L84</f>
        <v/>
      </c>
      <c r="H84" s="83">
        <f>G84*B84</f>
        <v/>
      </c>
      <c r="I84" s="82">
        <f>IF(('COMPOSIÇÃO DE VALORES'!M84)=0,"-",('COMPOSIÇÃO DE VALORES'!M84))</f>
        <v/>
      </c>
    </row>
    <row r="85" hidden="1">
      <c r="A85" s="81" t="n">
        <v>75</v>
      </c>
      <c r="B85" s="82">
        <f>'COMPOSIÇÃO DE VALORES'!B85</f>
        <v/>
      </c>
      <c r="C85" s="82">
        <f>'COMPOSIÇÃO DE VALORES'!C85</f>
        <v/>
      </c>
      <c r="D85" s="82">
        <f>'COMPOSIÇÃO DE VALORES'!D85</f>
        <v/>
      </c>
      <c r="E85" s="82">
        <f>'COMPOSIÇÃO DE VALORES'!G85</f>
        <v/>
      </c>
      <c r="F85" s="82">
        <f>'COMPOSIÇÃO DE VALORES'!H85</f>
        <v/>
      </c>
      <c r="G85" s="83">
        <f>'COMPOSIÇÃO DE VALORES'!L85</f>
        <v/>
      </c>
      <c r="H85" s="83">
        <f>G85*B85</f>
        <v/>
      </c>
      <c r="I85" s="82">
        <f>IF(('COMPOSIÇÃO DE VALORES'!M85)=0,"-",('COMPOSIÇÃO DE VALORES'!M85))</f>
        <v/>
      </c>
    </row>
    <row r="86" hidden="1">
      <c r="A86" s="81" t="n">
        <v>76</v>
      </c>
      <c r="B86" s="82">
        <f>'COMPOSIÇÃO DE VALORES'!B86</f>
        <v/>
      </c>
      <c r="C86" s="82">
        <f>'COMPOSIÇÃO DE VALORES'!C86</f>
        <v/>
      </c>
      <c r="D86" s="82">
        <f>'COMPOSIÇÃO DE VALORES'!D86</f>
        <v/>
      </c>
      <c r="E86" s="82">
        <f>'COMPOSIÇÃO DE VALORES'!G86</f>
        <v/>
      </c>
      <c r="F86" s="82">
        <f>'COMPOSIÇÃO DE VALORES'!H86</f>
        <v/>
      </c>
      <c r="G86" s="83">
        <f>'COMPOSIÇÃO DE VALORES'!L86</f>
        <v/>
      </c>
      <c r="H86" s="83">
        <f>G86*B86</f>
        <v/>
      </c>
      <c r="I86" s="82">
        <f>IF(('COMPOSIÇÃO DE VALORES'!M86)=0,"-",('COMPOSIÇÃO DE VALORES'!M86))</f>
        <v/>
      </c>
    </row>
    <row r="87" hidden="1">
      <c r="A87" s="81" t="n">
        <v>77</v>
      </c>
      <c r="B87" s="82">
        <f>'COMPOSIÇÃO DE VALORES'!B87</f>
        <v/>
      </c>
      <c r="C87" s="82">
        <f>'COMPOSIÇÃO DE VALORES'!C87</f>
        <v/>
      </c>
      <c r="D87" s="82">
        <f>'COMPOSIÇÃO DE VALORES'!D87</f>
        <v/>
      </c>
      <c r="E87" s="82">
        <f>'COMPOSIÇÃO DE VALORES'!G87</f>
        <v/>
      </c>
      <c r="F87" s="82">
        <f>'COMPOSIÇÃO DE VALORES'!H87</f>
        <v/>
      </c>
      <c r="G87" s="83">
        <f>'COMPOSIÇÃO DE VALORES'!L87</f>
        <v/>
      </c>
      <c r="H87" s="83">
        <f>G87*B87</f>
        <v/>
      </c>
      <c r="I87" s="82">
        <f>IF(('COMPOSIÇÃO DE VALORES'!M87)=0,"-",('COMPOSIÇÃO DE VALORES'!M87))</f>
        <v/>
      </c>
    </row>
    <row r="88" hidden="1">
      <c r="A88" s="81" t="n">
        <v>78</v>
      </c>
      <c r="B88" s="82">
        <f>'COMPOSIÇÃO DE VALORES'!B88</f>
        <v/>
      </c>
      <c r="C88" s="82">
        <f>'COMPOSIÇÃO DE VALORES'!C88</f>
        <v/>
      </c>
      <c r="D88" s="82">
        <f>'COMPOSIÇÃO DE VALORES'!D88</f>
        <v/>
      </c>
      <c r="E88" s="82">
        <f>'COMPOSIÇÃO DE VALORES'!G88</f>
        <v/>
      </c>
      <c r="F88" s="82">
        <f>'COMPOSIÇÃO DE VALORES'!H88</f>
        <v/>
      </c>
      <c r="G88" s="83">
        <f>'COMPOSIÇÃO DE VALORES'!L88</f>
        <v/>
      </c>
      <c r="H88" s="83">
        <f>G88*B88</f>
        <v/>
      </c>
      <c r="I88" s="82">
        <f>IF(('COMPOSIÇÃO DE VALORES'!M88)=0,"-",('COMPOSIÇÃO DE VALORES'!M88))</f>
        <v/>
      </c>
    </row>
    <row r="89" hidden="1">
      <c r="A89" s="81" t="n">
        <v>79</v>
      </c>
      <c r="B89" s="82">
        <f>'COMPOSIÇÃO DE VALORES'!B89</f>
        <v/>
      </c>
      <c r="C89" s="82">
        <f>'COMPOSIÇÃO DE VALORES'!C89</f>
        <v/>
      </c>
      <c r="D89" s="82">
        <f>'COMPOSIÇÃO DE VALORES'!D89</f>
        <v/>
      </c>
      <c r="E89" s="82">
        <f>'COMPOSIÇÃO DE VALORES'!G89</f>
        <v/>
      </c>
      <c r="F89" s="82">
        <f>'COMPOSIÇÃO DE VALORES'!H89</f>
        <v/>
      </c>
      <c r="G89" s="83">
        <f>'COMPOSIÇÃO DE VALORES'!L89</f>
        <v/>
      </c>
      <c r="H89" s="83">
        <f>G89*B89</f>
        <v/>
      </c>
      <c r="I89" s="82">
        <f>IF(('COMPOSIÇÃO DE VALORES'!M89)=0,"-",('COMPOSIÇÃO DE VALORES'!M89))</f>
        <v/>
      </c>
    </row>
    <row r="90" hidden="1">
      <c r="A90" s="81" t="n">
        <v>80</v>
      </c>
      <c r="B90" s="82">
        <f>'COMPOSIÇÃO DE VALORES'!B90</f>
        <v/>
      </c>
      <c r="C90" s="82">
        <f>'COMPOSIÇÃO DE VALORES'!C90</f>
        <v/>
      </c>
      <c r="D90" s="82">
        <f>'COMPOSIÇÃO DE VALORES'!D90</f>
        <v/>
      </c>
      <c r="E90" s="82">
        <f>'COMPOSIÇÃO DE VALORES'!G90</f>
        <v/>
      </c>
      <c r="F90" s="82">
        <f>'COMPOSIÇÃO DE VALORES'!H90</f>
        <v/>
      </c>
      <c r="G90" s="83">
        <f>'COMPOSIÇÃO DE VALORES'!L90</f>
        <v/>
      </c>
      <c r="H90" s="83">
        <f>G90*B90</f>
        <v/>
      </c>
      <c r="I90" s="82">
        <f>IF(('COMPOSIÇÃO DE VALORES'!M90)=0,"-",('COMPOSIÇÃO DE VALORES'!M90))</f>
        <v/>
      </c>
    </row>
    <row r="91" hidden="1">
      <c r="A91" s="81" t="n">
        <v>81</v>
      </c>
      <c r="B91" s="82">
        <f>'COMPOSIÇÃO DE VALORES'!B91</f>
        <v/>
      </c>
      <c r="C91" s="82">
        <f>'COMPOSIÇÃO DE VALORES'!C91</f>
        <v/>
      </c>
      <c r="D91" s="82">
        <f>'COMPOSIÇÃO DE VALORES'!D91</f>
        <v/>
      </c>
      <c r="E91" s="82">
        <f>'COMPOSIÇÃO DE VALORES'!G91</f>
        <v/>
      </c>
      <c r="F91" s="82">
        <f>'COMPOSIÇÃO DE VALORES'!H91</f>
        <v/>
      </c>
      <c r="G91" s="83">
        <f>'COMPOSIÇÃO DE VALORES'!L91</f>
        <v/>
      </c>
      <c r="H91" s="83">
        <f>G91*B91</f>
        <v/>
      </c>
      <c r="I91" s="82">
        <f>IF(('COMPOSIÇÃO DE VALORES'!M91)=0,"-",('COMPOSIÇÃO DE VALORES'!M91))</f>
        <v/>
      </c>
    </row>
    <row r="92" hidden="1">
      <c r="A92" s="81" t="n">
        <v>82</v>
      </c>
      <c r="B92" s="82">
        <f>'COMPOSIÇÃO DE VALORES'!B92</f>
        <v/>
      </c>
      <c r="C92" s="82">
        <f>'COMPOSIÇÃO DE VALORES'!C92</f>
        <v/>
      </c>
      <c r="D92" s="82">
        <f>'COMPOSIÇÃO DE VALORES'!D92</f>
        <v/>
      </c>
      <c r="E92" s="82">
        <f>'COMPOSIÇÃO DE VALORES'!G92</f>
        <v/>
      </c>
      <c r="F92" s="82">
        <f>'COMPOSIÇÃO DE VALORES'!H92</f>
        <v/>
      </c>
      <c r="G92" s="83">
        <f>'COMPOSIÇÃO DE VALORES'!L92</f>
        <v/>
      </c>
      <c r="H92" s="83">
        <f>G92*B92</f>
        <v/>
      </c>
      <c r="I92" s="82">
        <f>IF(('COMPOSIÇÃO DE VALORES'!M92)=0,"-",('COMPOSIÇÃO DE VALORES'!M92))</f>
        <v/>
      </c>
    </row>
    <row r="93" hidden="1">
      <c r="A93" s="81" t="n">
        <v>83</v>
      </c>
      <c r="B93" s="82">
        <f>'COMPOSIÇÃO DE VALORES'!B93</f>
        <v/>
      </c>
      <c r="C93" s="82">
        <f>'COMPOSIÇÃO DE VALORES'!C93</f>
        <v/>
      </c>
      <c r="D93" s="82">
        <f>'COMPOSIÇÃO DE VALORES'!D93</f>
        <v/>
      </c>
      <c r="E93" s="82">
        <f>'COMPOSIÇÃO DE VALORES'!G93</f>
        <v/>
      </c>
      <c r="F93" s="82">
        <f>'COMPOSIÇÃO DE VALORES'!H93</f>
        <v/>
      </c>
      <c r="G93" s="83">
        <f>'COMPOSIÇÃO DE VALORES'!L93</f>
        <v/>
      </c>
      <c r="H93" s="83">
        <f>G93*B93</f>
        <v/>
      </c>
      <c r="I93" s="82">
        <f>IF(('COMPOSIÇÃO DE VALORES'!M93)=0,"-",('COMPOSIÇÃO DE VALORES'!M93))</f>
        <v/>
      </c>
    </row>
    <row r="94" hidden="1">
      <c r="A94" s="81" t="n">
        <v>84</v>
      </c>
      <c r="B94" s="82">
        <f>'COMPOSIÇÃO DE VALORES'!B94</f>
        <v/>
      </c>
      <c r="C94" s="82">
        <f>'COMPOSIÇÃO DE VALORES'!C94</f>
        <v/>
      </c>
      <c r="D94" s="82">
        <f>'COMPOSIÇÃO DE VALORES'!D94</f>
        <v/>
      </c>
      <c r="E94" s="82">
        <f>'COMPOSIÇÃO DE VALORES'!G94</f>
        <v/>
      </c>
      <c r="F94" s="82">
        <f>'COMPOSIÇÃO DE VALORES'!H94</f>
        <v/>
      </c>
      <c r="G94" s="83">
        <f>'COMPOSIÇÃO DE VALORES'!L94</f>
        <v/>
      </c>
      <c r="H94" s="83">
        <f>G94*B94</f>
        <v/>
      </c>
      <c r="I94" s="82">
        <f>IF(('COMPOSIÇÃO DE VALORES'!M94)=0,"-",('COMPOSIÇÃO DE VALORES'!M94))</f>
        <v/>
      </c>
    </row>
    <row r="95" hidden="1">
      <c r="A95" s="81" t="n">
        <v>85</v>
      </c>
      <c r="B95" s="82">
        <f>'COMPOSIÇÃO DE VALORES'!B95</f>
        <v/>
      </c>
      <c r="C95" s="82">
        <f>'COMPOSIÇÃO DE VALORES'!C95</f>
        <v/>
      </c>
      <c r="D95" s="82">
        <f>'COMPOSIÇÃO DE VALORES'!D95</f>
        <v/>
      </c>
      <c r="E95" s="82">
        <f>'COMPOSIÇÃO DE VALORES'!G95</f>
        <v/>
      </c>
      <c r="F95" s="82">
        <f>'COMPOSIÇÃO DE VALORES'!H95</f>
        <v/>
      </c>
      <c r="G95" s="83">
        <f>'COMPOSIÇÃO DE VALORES'!L95</f>
        <v/>
      </c>
      <c r="H95" s="83">
        <f>G95*B95</f>
        <v/>
      </c>
      <c r="I95" s="82">
        <f>IF(('COMPOSIÇÃO DE VALORES'!M95)=0,"-",('COMPOSIÇÃO DE VALORES'!M95))</f>
        <v/>
      </c>
    </row>
    <row r="96" hidden="1">
      <c r="A96" s="81" t="n">
        <v>86</v>
      </c>
      <c r="B96" s="82">
        <f>'COMPOSIÇÃO DE VALORES'!B96</f>
        <v/>
      </c>
      <c r="C96" s="82">
        <f>'COMPOSIÇÃO DE VALORES'!C96</f>
        <v/>
      </c>
      <c r="D96" s="82">
        <f>'COMPOSIÇÃO DE VALORES'!D96</f>
        <v/>
      </c>
      <c r="E96" s="82">
        <f>'COMPOSIÇÃO DE VALORES'!G96</f>
        <v/>
      </c>
      <c r="F96" s="82">
        <f>'COMPOSIÇÃO DE VALORES'!H96</f>
        <v/>
      </c>
      <c r="G96" s="83">
        <f>'COMPOSIÇÃO DE VALORES'!L96</f>
        <v/>
      </c>
      <c r="H96" s="83">
        <f>G96*B96</f>
        <v/>
      </c>
      <c r="I96" s="82">
        <f>IF(('COMPOSIÇÃO DE VALORES'!M96)=0,"-",('COMPOSIÇÃO DE VALORES'!M96))</f>
        <v/>
      </c>
    </row>
    <row r="97" hidden="1">
      <c r="A97" s="81" t="n">
        <v>87</v>
      </c>
      <c r="B97" s="82">
        <f>'COMPOSIÇÃO DE VALORES'!B97</f>
        <v/>
      </c>
      <c r="C97" s="82">
        <f>'COMPOSIÇÃO DE VALORES'!C97</f>
        <v/>
      </c>
      <c r="D97" s="82">
        <f>'COMPOSIÇÃO DE VALORES'!D97</f>
        <v/>
      </c>
      <c r="E97" s="82">
        <f>'COMPOSIÇÃO DE VALORES'!G97</f>
        <v/>
      </c>
      <c r="F97" s="82">
        <f>'COMPOSIÇÃO DE VALORES'!H97</f>
        <v/>
      </c>
      <c r="G97" s="83">
        <f>'COMPOSIÇÃO DE VALORES'!L97</f>
        <v/>
      </c>
      <c r="H97" s="83">
        <f>G97*B97</f>
        <v/>
      </c>
      <c r="I97" s="82">
        <f>IF(('COMPOSIÇÃO DE VALORES'!M97)=0,"-",('COMPOSIÇÃO DE VALORES'!M97))</f>
        <v/>
      </c>
    </row>
    <row r="98" hidden="1">
      <c r="A98" s="81" t="n">
        <v>88</v>
      </c>
      <c r="B98" s="82">
        <f>'COMPOSIÇÃO DE VALORES'!B98</f>
        <v/>
      </c>
      <c r="C98" s="82">
        <f>'COMPOSIÇÃO DE VALORES'!C98</f>
        <v/>
      </c>
      <c r="D98" s="82">
        <f>'COMPOSIÇÃO DE VALORES'!D98</f>
        <v/>
      </c>
      <c r="E98" s="82">
        <f>'COMPOSIÇÃO DE VALORES'!G98</f>
        <v/>
      </c>
      <c r="F98" s="82">
        <f>'COMPOSIÇÃO DE VALORES'!H98</f>
        <v/>
      </c>
      <c r="G98" s="83">
        <f>'COMPOSIÇÃO DE VALORES'!L98</f>
        <v/>
      </c>
      <c r="H98" s="83">
        <f>G98*B98</f>
        <v/>
      </c>
      <c r="I98" s="82">
        <f>IF(('COMPOSIÇÃO DE VALORES'!M98)=0,"-",('COMPOSIÇÃO DE VALORES'!M98))</f>
        <v/>
      </c>
    </row>
    <row r="99" hidden="1">
      <c r="A99" s="81" t="n">
        <v>89</v>
      </c>
      <c r="B99" s="82">
        <f>'COMPOSIÇÃO DE VALORES'!B99</f>
        <v/>
      </c>
      <c r="C99" s="82">
        <f>'COMPOSIÇÃO DE VALORES'!C99</f>
        <v/>
      </c>
      <c r="D99" s="82">
        <f>'COMPOSIÇÃO DE VALORES'!D99</f>
        <v/>
      </c>
      <c r="E99" s="82">
        <f>'COMPOSIÇÃO DE VALORES'!G99</f>
        <v/>
      </c>
      <c r="F99" s="82">
        <f>'COMPOSIÇÃO DE VALORES'!H99</f>
        <v/>
      </c>
      <c r="G99" s="83">
        <f>'COMPOSIÇÃO DE VALORES'!L99</f>
        <v/>
      </c>
      <c r="H99" s="83">
        <f>G99*B99</f>
        <v/>
      </c>
      <c r="I99" s="82">
        <f>IF(('COMPOSIÇÃO DE VALORES'!M99)=0,"-",('COMPOSIÇÃO DE VALORES'!M99))</f>
        <v/>
      </c>
    </row>
    <row r="100" hidden="1">
      <c r="A100" s="81" t="n">
        <v>90</v>
      </c>
      <c r="B100" s="82">
        <f>'COMPOSIÇÃO DE VALORES'!B100</f>
        <v/>
      </c>
      <c r="C100" s="82">
        <f>'COMPOSIÇÃO DE VALORES'!C100</f>
        <v/>
      </c>
      <c r="D100" s="82">
        <f>'COMPOSIÇÃO DE VALORES'!D100</f>
        <v/>
      </c>
      <c r="E100" s="82">
        <f>'COMPOSIÇÃO DE VALORES'!G100</f>
        <v/>
      </c>
      <c r="F100" s="82">
        <f>'COMPOSIÇÃO DE VALORES'!H100</f>
        <v/>
      </c>
      <c r="G100" s="83">
        <f>'COMPOSIÇÃO DE VALORES'!L100</f>
        <v/>
      </c>
      <c r="H100" s="83">
        <f>G100*B100</f>
        <v/>
      </c>
      <c r="I100" s="82">
        <f>IF(('COMPOSIÇÃO DE VALORES'!M100)=0,"-",('COMPOSIÇÃO DE VALORES'!M100))</f>
        <v/>
      </c>
    </row>
    <row r="101" hidden="1">
      <c r="A101" s="81" t="n">
        <v>91</v>
      </c>
      <c r="B101" s="82">
        <f>'COMPOSIÇÃO DE VALORES'!B101</f>
        <v/>
      </c>
      <c r="C101" s="82">
        <f>'COMPOSIÇÃO DE VALORES'!C101</f>
        <v/>
      </c>
      <c r="D101" s="82">
        <f>'COMPOSIÇÃO DE VALORES'!D101</f>
        <v/>
      </c>
      <c r="E101" s="82">
        <f>'COMPOSIÇÃO DE VALORES'!G101</f>
        <v/>
      </c>
      <c r="F101" s="82">
        <f>'COMPOSIÇÃO DE VALORES'!H101</f>
        <v/>
      </c>
      <c r="G101" s="83">
        <f>'COMPOSIÇÃO DE VALORES'!L101</f>
        <v/>
      </c>
      <c r="H101" s="83">
        <f>G101*B101</f>
        <v/>
      </c>
      <c r="I101" s="82">
        <f>IF(('COMPOSIÇÃO DE VALORES'!M101)=0,"-",('COMPOSIÇÃO DE VALORES'!M101))</f>
        <v/>
      </c>
    </row>
    <row r="102" hidden="1">
      <c r="A102" s="81" t="n">
        <v>92</v>
      </c>
      <c r="B102" s="82">
        <f>'COMPOSIÇÃO DE VALORES'!B102</f>
        <v/>
      </c>
      <c r="C102" s="82">
        <f>'COMPOSIÇÃO DE VALORES'!C102</f>
        <v/>
      </c>
      <c r="D102" s="82">
        <f>'COMPOSIÇÃO DE VALORES'!D102</f>
        <v/>
      </c>
      <c r="E102" s="82">
        <f>'COMPOSIÇÃO DE VALORES'!G102</f>
        <v/>
      </c>
      <c r="F102" s="82">
        <f>'COMPOSIÇÃO DE VALORES'!H102</f>
        <v/>
      </c>
      <c r="G102" s="83">
        <f>'COMPOSIÇÃO DE VALORES'!L102</f>
        <v/>
      </c>
      <c r="H102" s="83">
        <f>G102*B102</f>
        <v/>
      </c>
      <c r="I102" s="82">
        <f>IF(('COMPOSIÇÃO DE VALORES'!M102)=0,"-",('COMPOSIÇÃO DE VALORES'!M102))</f>
        <v/>
      </c>
    </row>
    <row r="103" hidden="1">
      <c r="A103" s="81" t="n">
        <v>93</v>
      </c>
      <c r="B103" s="82">
        <f>'COMPOSIÇÃO DE VALORES'!B103</f>
        <v/>
      </c>
      <c r="C103" s="82">
        <f>'COMPOSIÇÃO DE VALORES'!C103</f>
        <v/>
      </c>
      <c r="D103" s="82">
        <f>'COMPOSIÇÃO DE VALORES'!D103</f>
        <v/>
      </c>
      <c r="E103" s="82">
        <f>'COMPOSIÇÃO DE VALORES'!G103</f>
        <v/>
      </c>
      <c r="F103" s="82">
        <f>'COMPOSIÇÃO DE VALORES'!H103</f>
        <v/>
      </c>
      <c r="G103" s="83">
        <f>'COMPOSIÇÃO DE VALORES'!L103</f>
        <v/>
      </c>
      <c r="H103" s="83">
        <f>G103*B103</f>
        <v/>
      </c>
      <c r="I103" s="82">
        <f>IF(('COMPOSIÇÃO DE VALORES'!M103)=0,"-",('COMPOSIÇÃO DE VALORES'!M103))</f>
        <v/>
      </c>
    </row>
    <row r="104" hidden="1">
      <c r="A104" s="81" t="n">
        <v>94</v>
      </c>
      <c r="B104" s="82">
        <f>'COMPOSIÇÃO DE VALORES'!B104</f>
        <v/>
      </c>
      <c r="C104" s="82">
        <f>'COMPOSIÇÃO DE VALORES'!C104</f>
        <v/>
      </c>
      <c r="D104" s="82">
        <f>'COMPOSIÇÃO DE VALORES'!D104</f>
        <v/>
      </c>
      <c r="E104" s="82">
        <f>'COMPOSIÇÃO DE VALORES'!G104</f>
        <v/>
      </c>
      <c r="F104" s="82">
        <f>'COMPOSIÇÃO DE VALORES'!H104</f>
        <v/>
      </c>
      <c r="G104" s="83">
        <f>'COMPOSIÇÃO DE VALORES'!L104</f>
        <v/>
      </c>
      <c r="H104" s="83">
        <f>G104*B104</f>
        <v/>
      </c>
      <c r="I104" s="82">
        <f>IF(('COMPOSIÇÃO DE VALORES'!M104)=0,"-",('COMPOSIÇÃO DE VALORES'!M104))</f>
        <v/>
      </c>
    </row>
    <row r="105" hidden="1">
      <c r="A105" s="81" t="n">
        <v>95</v>
      </c>
      <c r="B105" s="82">
        <f>'COMPOSIÇÃO DE VALORES'!B105</f>
        <v/>
      </c>
      <c r="C105" s="82">
        <f>'COMPOSIÇÃO DE VALORES'!C105</f>
        <v/>
      </c>
      <c r="D105" s="82">
        <f>'COMPOSIÇÃO DE VALORES'!D105</f>
        <v/>
      </c>
      <c r="E105" s="82">
        <f>'COMPOSIÇÃO DE VALORES'!G105</f>
        <v/>
      </c>
      <c r="F105" s="82">
        <f>'COMPOSIÇÃO DE VALORES'!H105</f>
        <v/>
      </c>
      <c r="G105" s="83">
        <f>'COMPOSIÇÃO DE VALORES'!L105</f>
        <v/>
      </c>
      <c r="H105" s="83">
        <f>G105*B105</f>
        <v/>
      </c>
      <c r="I105" s="82">
        <f>IF(('COMPOSIÇÃO DE VALORES'!M105)=0,"-",('COMPOSIÇÃO DE VALORES'!M105))</f>
        <v/>
      </c>
    </row>
    <row r="106" hidden="1">
      <c r="A106" s="81" t="n">
        <v>96</v>
      </c>
      <c r="B106" s="82">
        <f>'COMPOSIÇÃO DE VALORES'!B106</f>
        <v/>
      </c>
      <c r="C106" s="82">
        <f>'COMPOSIÇÃO DE VALORES'!C106</f>
        <v/>
      </c>
      <c r="D106" s="82">
        <f>'COMPOSIÇÃO DE VALORES'!D106</f>
        <v/>
      </c>
      <c r="E106" s="82">
        <f>'COMPOSIÇÃO DE VALORES'!G106</f>
        <v/>
      </c>
      <c r="F106" s="82">
        <f>'COMPOSIÇÃO DE VALORES'!H106</f>
        <v/>
      </c>
      <c r="G106" s="83">
        <f>'COMPOSIÇÃO DE VALORES'!L106</f>
        <v/>
      </c>
      <c r="H106" s="83">
        <f>G106*B106</f>
        <v/>
      </c>
      <c r="I106" s="82">
        <f>IF(('COMPOSIÇÃO DE VALORES'!M106)=0,"-",('COMPOSIÇÃO DE VALORES'!M106))</f>
        <v/>
      </c>
    </row>
    <row r="107" hidden="1">
      <c r="A107" s="81" t="n">
        <v>97</v>
      </c>
      <c r="B107" s="82">
        <f>'COMPOSIÇÃO DE VALORES'!B107</f>
        <v/>
      </c>
      <c r="C107" s="82">
        <f>'COMPOSIÇÃO DE VALORES'!C107</f>
        <v/>
      </c>
      <c r="D107" s="82">
        <f>'COMPOSIÇÃO DE VALORES'!D107</f>
        <v/>
      </c>
      <c r="E107" s="82">
        <f>'COMPOSIÇÃO DE VALORES'!G107</f>
        <v/>
      </c>
      <c r="F107" s="82">
        <f>'COMPOSIÇÃO DE VALORES'!H107</f>
        <v/>
      </c>
      <c r="G107" s="83">
        <f>'COMPOSIÇÃO DE VALORES'!L107</f>
        <v/>
      </c>
      <c r="H107" s="83">
        <f>G107*B107</f>
        <v/>
      </c>
      <c r="I107" s="82">
        <f>IF(('COMPOSIÇÃO DE VALORES'!M107)=0,"-",('COMPOSIÇÃO DE VALORES'!M107))</f>
        <v/>
      </c>
    </row>
    <row r="108" hidden="1">
      <c r="A108" s="81" t="n">
        <v>98</v>
      </c>
      <c r="B108" s="82">
        <f>'COMPOSIÇÃO DE VALORES'!B108</f>
        <v/>
      </c>
      <c r="C108" s="82">
        <f>'COMPOSIÇÃO DE VALORES'!C108</f>
        <v/>
      </c>
      <c r="D108" s="82">
        <f>'COMPOSIÇÃO DE VALORES'!D108</f>
        <v/>
      </c>
      <c r="E108" s="82">
        <f>'COMPOSIÇÃO DE VALORES'!G108</f>
        <v/>
      </c>
      <c r="F108" s="82">
        <f>'COMPOSIÇÃO DE VALORES'!H108</f>
        <v/>
      </c>
      <c r="G108" s="83">
        <f>'COMPOSIÇÃO DE VALORES'!L108</f>
        <v/>
      </c>
      <c r="H108" s="83">
        <f>G108*B108</f>
        <v/>
      </c>
      <c r="I108" s="82">
        <f>IF(('COMPOSIÇÃO DE VALORES'!M108)=0,"-",('COMPOSIÇÃO DE VALORES'!M108))</f>
        <v/>
      </c>
    </row>
    <row r="109" hidden="1">
      <c r="A109" s="81" t="n">
        <v>99</v>
      </c>
      <c r="B109" s="82">
        <f>'COMPOSIÇÃO DE VALORES'!B109</f>
        <v/>
      </c>
      <c r="C109" s="82">
        <f>'COMPOSIÇÃO DE VALORES'!C109</f>
        <v/>
      </c>
      <c r="D109" s="82">
        <f>'COMPOSIÇÃO DE VALORES'!D109</f>
        <v/>
      </c>
      <c r="E109" s="82">
        <f>'COMPOSIÇÃO DE VALORES'!G109</f>
        <v/>
      </c>
      <c r="F109" s="82">
        <f>'COMPOSIÇÃO DE VALORES'!H109</f>
        <v/>
      </c>
      <c r="G109" s="83">
        <f>'COMPOSIÇÃO DE VALORES'!L109</f>
        <v/>
      </c>
      <c r="H109" s="83">
        <f>G109*B109</f>
        <v/>
      </c>
      <c r="I109" s="82">
        <f>IF(('COMPOSIÇÃO DE VALORES'!M109)=0,"-",('COMPOSIÇÃO DE VALORES'!M109))</f>
        <v/>
      </c>
    </row>
    <row r="110" hidden="1">
      <c r="A110" s="81" t="n">
        <v>100</v>
      </c>
      <c r="B110" s="82">
        <f>'COMPOSIÇÃO DE VALORES'!B110</f>
        <v/>
      </c>
      <c r="C110" s="82">
        <f>'COMPOSIÇÃO DE VALORES'!C110</f>
        <v/>
      </c>
      <c r="D110" s="82">
        <f>'COMPOSIÇÃO DE VALORES'!D110</f>
        <v/>
      </c>
      <c r="E110" s="82">
        <f>'COMPOSIÇÃO DE VALORES'!G110</f>
        <v/>
      </c>
      <c r="F110" s="82">
        <f>'COMPOSIÇÃO DE VALORES'!H110</f>
        <v/>
      </c>
      <c r="G110" s="83">
        <f>'COMPOSIÇÃO DE VALORES'!L110</f>
        <v/>
      </c>
      <c r="H110" s="83">
        <f>G110*B110</f>
        <v/>
      </c>
      <c r="I110" s="82">
        <f>IF(('COMPOSIÇÃO DE VALORES'!M110)=0,"-",('COMPOSIÇÃO DE VALORES'!M110))</f>
        <v/>
      </c>
    </row>
    <row r="111" hidden="1">
      <c r="A111" s="81" t="n">
        <v>101</v>
      </c>
      <c r="B111" s="82">
        <f>'COMPOSIÇÃO DE VALORES'!B111</f>
        <v/>
      </c>
      <c r="C111" s="82">
        <f>'COMPOSIÇÃO DE VALORES'!C111</f>
        <v/>
      </c>
      <c r="D111" s="82">
        <f>'COMPOSIÇÃO DE VALORES'!D111</f>
        <v/>
      </c>
      <c r="E111" s="82">
        <f>'COMPOSIÇÃO DE VALORES'!G111</f>
        <v/>
      </c>
      <c r="F111" s="82">
        <f>'COMPOSIÇÃO DE VALORES'!H111</f>
        <v/>
      </c>
      <c r="G111" s="83">
        <f>'COMPOSIÇÃO DE VALORES'!L111</f>
        <v/>
      </c>
      <c r="H111" s="83">
        <f>G111*B111</f>
        <v/>
      </c>
      <c r="I111" s="82">
        <f>IF(('COMPOSIÇÃO DE VALORES'!M111)=0,"-",('COMPOSIÇÃO DE VALORES'!M111))</f>
        <v/>
      </c>
    </row>
    <row r="112" hidden="1">
      <c r="A112" s="81" t="n">
        <v>102</v>
      </c>
      <c r="B112" s="82">
        <f>'COMPOSIÇÃO DE VALORES'!B112</f>
        <v/>
      </c>
      <c r="C112" s="82">
        <f>'COMPOSIÇÃO DE VALORES'!C112</f>
        <v/>
      </c>
      <c r="D112" s="82">
        <f>'COMPOSIÇÃO DE VALORES'!D112</f>
        <v/>
      </c>
      <c r="E112" s="82">
        <f>'COMPOSIÇÃO DE VALORES'!G112</f>
        <v/>
      </c>
      <c r="F112" s="82">
        <f>'COMPOSIÇÃO DE VALORES'!H112</f>
        <v/>
      </c>
      <c r="G112" s="83">
        <f>'COMPOSIÇÃO DE VALORES'!L112</f>
        <v/>
      </c>
      <c r="H112" s="83">
        <f>G112*B112</f>
        <v/>
      </c>
      <c r="I112" s="82">
        <f>IF(('COMPOSIÇÃO DE VALORES'!M112)=0,"-",('COMPOSIÇÃO DE VALORES'!M112))</f>
        <v/>
      </c>
    </row>
    <row r="113" hidden="1">
      <c r="A113" s="81" t="n">
        <v>103</v>
      </c>
      <c r="B113" s="82">
        <f>'COMPOSIÇÃO DE VALORES'!B113</f>
        <v/>
      </c>
      <c r="C113" s="82">
        <f>'COMPOSIÇÃO DE VALORES'!C113</f>
        <v/>
      </c>
      <c r="D113" s="82">
        <f>'COMPOSIÇÃO DE VALORES'!D113</f>
        <v/>
      </c>
      <c r="E113" s="82">
        <f>'COMPOSIÇÃO DE VALORES'!G113</f>
        <v/>
      </c>
      <c r="F113" s="82">
        <f>'COMPOSIÇÃO DE VALORES'!H113</f>
        <v/>
      </c>
      <c r="G113" s="83">
        <f>'COMPOSIÇÃO DE VALORES'!L113</f>
        <v/>
      </c>
      <c r="H113" s="83">
        <f>G113*B113</f>
        <v/>
      </c>
      <c r="I113" s="82">
        <f>IF(('COMPOSIÇÃO DE VALORES'!M113)=0,"-",('COMPOSIÇÃO DE VALORES'!M113))</f>
        <v/>
      </c>
    </row>
    <row r="114" hidden="1">
      <c r="A114" s="81" t="n">
        <v>104</v>
      </c>
      <c r="B114" s="82">
        <f>'COMPOSIÇÃO DE VALORES'!B114</f>
        <v/>
      </c>
      <c r="C114" s="82">
        <f>'COMPOSIÇÃO DE VALORES'!C114</f>
        <v/>
      </c>
      <c r="D114" s="82">
        <f>'COMPOSIÇÃO DE VALORES'!D114</f>
        <v/>
      </c>
      <c r="E114" s="82">
        <f>'COMPOSIÇÃO DE VALORES'!G114</f>
        <v/>
      </c>
      <c r="F114" s="82">
        <f>'COMPOSIÇÃO DE VALORES'!H114</f>
        <v/>
      </c>
      <c r="G114" s="83">
        <f>'COMPOSIÇÃO DE VALORES'!L114</f>
        <v/>
      </c>
      <c r="H114" s="83">
        <f>G114*B114</f>
        <v/>
      </c>
      <c r="I114" s="82">
        <f>IF(('COMPOSIÇÃO DE VALORES'!M114)=0,"-",('COMPOSIÇÃO DE VALORES'!M114))</f>
        <v/>
      </c>
    </row>
    <row r="115" hidden="1">
      <c r="A115" s="81" t="n">
        <v>105</v>
      </c>
      <c r="B115" s="82">
        <f>'COMPOSIÇÃO DE VALORES'!B115</f>
        <v/>
      </c>
      <c r="C115" s="82">
        <f>'COMPOSIÇÃO DE VALORES'!C115</f>
        <v/>
      </c>
      <c r="D115" s="82">
        <f>'COMPOSIÇÃO DE VALORES'!D115</f>
        <v/>
      </c>
      <c r="E115" s="82">
        <f>'COMPOSIÇÃO DE VALORES'!G115</f>
        <v/>
      </c>
      <c r="F115" s="82">
        <f>'COMPOSIÇÃO DE VALORES'!H115</f>
        <v/>
      </c>
      <c r="G115" s="83">
        <f>'COMPOSIÇÃO DE VALORES'!L115</f>
        <v/>
      </c>
      <c r="H115" s="83">
        <f>G115*B115</f>
        <v/>
      </c>
      <c r="I115" s="82">
        <f>IF(('COMPOSIÇÃO DE VALORES'!M115)=0,"-",('COMPOSIÇÃO DE VALORES'!M115))</f>
        <v/>
      </c>
    </row>
    <row r="116" hidden="1">
      <c r="A116" s="81" t="n">
        <v>106</v>
      </c>
      <c r="B116" s="82">
        <f>'COMPOSIÇÃO DE VALORES'!B116</f>
        <v/>
      </c>
      <c r="C116" s="82">
        <f>'COMPOSIÇÃO DE VALORES'!C116</f>
        <v/>
      </c>
      <c r="D116" s="82">
        <f>'COMPOSIÇÃO DE VALORES'!D116</f>
        <v/>
      </c>
      <c r="E116" s="82">
        <f>'COMPOSIÇÃO DE VALORES'!G116</f>
        <v/>
      </c>
      <c r="F116" s="82">
        <f>'COMPOSIÇÃO DE VALORES'!H116</f>
        <v/>
      </c>
      <c r="G116" s="83">
        <f>'COMPOSIÇÃO DE VALORES'!L116</f>
        <v/>
      </c>
      <c r="H116" s="83">
        <f>G116*B116</f>
        <v/>
      </c>
      <c r="I116" s="82">
        <f>IF(('COMPOSIÇÃO DE VALORES'!M116)=0,"-",('COMPOSIÇÃO DE VALORES'!M116))</f>
        <v/>
      </c>
    </row>
    <row r="117" hidden="1">
      <c r="A117" s="81" t="n">
        <v>107</v>
      </c>
      <c r="B117" s="82">
        <f>'COMPOSIÇÃO DE VALORES'!B117</f>
        <v/>
      </c>
      <c r="C117" s="82">
        <f>'COMPOSIÇÃO DE VALORES'!C117</f>
        <v/>
      </c>
      <c r="D117" s="82">
        <f>'COMPOSIÇÃO DE VALORES'!D117</f>
        <v/>
      </c>
      <c r="E117" s="82">
        <f>'COMPOSIÇÃO DE VALORES'!G117</f>
        <v/>
      </c>
      <c r="F117" s="82">
        <f>'COMPOSIÇÃO DE VALORES'!H117</f>
        <v/>
      </c>
      <c r="G117" s="83">
        <f>'COMPOSIÇÃO DE VALORES'!L117</f>
        <v/>
      </c>
      <c r="H117" s="83">
        <f>G117*B117</f>
        <v/>
      </c>
      <c r="I117" s="82">
        <f>IF(('COMPOSIÇÃO DE VALORES'!M117)=0,"-",('COMPOSIÇÃO DE VALORES'!M117))</f>
        <v/>
      </c>
    </row>
    <row r="118" hidden="1">
      <c r="A118" s="81" t="n">
        <v>108</v>
      </c>
      <c r="B118" s="82">
        <f>'COMPOSIÇÃO DE VALORES'!B118</f>
        <v/>
      </c>
      <c r="C118" s="82">
        <f>'COMPOSIÇÃO DE VALORES'!C118</f>
        <v/>
      </c>
      <c r="D118" s="82">
        <f>'COMPOSIÇÃO DE VALORES'!D118</f>
        <v/>
      </c>
      <c r="E118" s="82">
        <f>'COMPOSIÇÃO DE VALORES'!G118</f>
        <v/>
      </c>
      <c r="F118" s="82">
        <f>'COMPOSIÇÃO DE VALORES'!H118</f>
        <v/>
      </c>
      <c r="G118" s="83">
        <f>'COMPOSIÇÃO DE VALORES'!L118</f>
        <v/>
      </c>
      <c r="H118" s="83">
        <f>G118*B118</f>
        <v/>
      </c>
      <c r="I118" s="82">
        <f>IF(('COMPOSIÇÃO DE VALORES'!M118)=0,"-",('COMPOSIÇÃO DE VALORES'!M118))</f>
        <v/>
      </c>
    </row>
    <row r="119" hidden="1">
      <c r="A119" s="81" t="n">
        <v>109</v>
      </c>
      <c r="B119" s="82">
        <f>'COMPOSIÇÃO DE VALORES'!B119</f>
        <v/>
      </c>
      <c r="C119" s="82">
        <f>'COMPOSIÇÃO DE VALORES'!C119</f>
        <v/>
      </c>
      <c r="D119" s="82">
        <f>'COMPOSIÇÃO DE VALORES'!D119</f>
        <v/>
      </c>
      <c r="E119" s="82">
        <f>'COMPOSIÇÃO DE VALORES'!G119</f>
        <v/>
      </c>
      <c r="F119" s="82">
        <f>'COMPOSIÇÃO DE VALORES'!H119</f>
        <v/>
      </c>
      <c r="G119" s="83">
        <f>'COMPOSIÇÃO DE VALORES'!L119</f>
        <v/>
      </c>
      <c r="H119" s="83">
        <f>G119*B119</f>
        <v/>
      </c>
      <c r="I119" s="82">
        <f>IF(('COMPOSIÇÃO DE VALORES'!M119)=0,"-",('COMPOSIÇÃO DE VALORES'!M119))</f>
        <v/>
      </c>
    </row>
    <row r="120" hidden="1">
      <c r="A120" s="81" t="n">
        <v>110</v>
      </c>
      <c r="B120" s="82">
        <f>'COMPOSIÇÃO DE VALORES'!B120</f>
        <v/>
      </c>
      <c r="C120" s="82">
        <f>'COMPOSIÇÃO DE VALORES'!C120</f>
        <v/>
      </c>
      <c r="D120" s="82">
        <f>'COMPOSIÇÃO DE VALORES'!D120</f>
        <v/>
      </c>
      <c r="E120" s="82">
        <f>'COMPOSIÇÃO DE VALORES'!G120</f>
        <v/>
      </c>
      <c r="F120" s="82">
        <f>'COMPOSIÇÃO DE VALORES'!H120</f>
        <v/>
      </c>
      <c r="G120" s="83">
        <f>'COMPOSIÇÃO DE VALORES'!L120</f>
        <v/>
      </c>
      <c r="H120" s="83">
        <f>G120*B120</f>
        <v/>
      </c>
      <c r="I120" s="82">
        <f>IF(('COMPOSIÇÃO DE VALORES'!M120)=0,"-",('COMPOSIÇÃO DE VALORES'!M120))</f>
        <v/>
      </c>
    </row>
    <row r="121" hidden="1">
      <c r="A121" s="81" t="n">
        <v>111</v>
      </c>
      <c r="B121" s="82">
        <f>'COMPOSIÇÃO DE VALORES'!B121</f>
        <v/>
      </c>
      <c r="C121" s="82">
        <f>'COMPOSIÇÃO DE VALORES'!C121</f>
        <v/>
      </c>
      <c r="D121" s="82">
        <f>'COMPOSIÇÃO DE VALORES'!D121</f>
        <v/>
      </c>
      <c r="E121" s="82">
        <f>'COMPOSIÇÃO DE VALORES'!G121</f>
        <v/>
      </c>
      <c r="F121" s="82">
        <f>'COMPOSIÇÃO DE VALORES'!H121</f>
        <v/>
      </c>
      <c r="G121" s="83">
        <f>'COMPOSIÇÃO DE VALORES'!L121</f>
        <v/>
      </c>
      <c r="H121" s="83">
        <f>G121*B121</f>
        <v/>
      </c>
      <c r="I121" s="82">
        <f>IF(('COMPOSIÇÃO DE VALORES'!M121)=0,"-",('COMPOSIÇÃO DE VALORES'!M121))</f>
        <v/>
      </c>
    </row>
    <row r="122" hidden="1">
      <c r="A122" s="81" t="n">
        <v>112</v>
      </c>
      <c r="B122" s="82">
        <f>'COMPOSIÇÃO DE VALORES'!B122</f>
        <v/>
      </c>
      <c r="C122" s="82">
        <f>'COMPOSIÇÃO DE VALORES'!C122</f>
        <v/>
      </c>
      <c r="D122" s="82">
        <f>'COMPOSIÇÃO DE VALORES'!D122</f>
        <v/>
      </c>
      <c r="E122" s="82">
        <f>'COMPOSIÇÃO DE VALORES'!G122</f>
        <v/>
      </c>
      <c r="F122" s="82">
        <f>'COMPOSIÇÃO DE VALORES'!H122</f>
        <v/>
      </c>
      <c r="G122" s="83">
        <f>'COMPOSIÇÃO DE VALORES'!L122</f>
        <v/>
      </c>
      <c r="H122" s="83">
        <f>G122*B122</f>
        <v/>
      </c>
      <c r="I122" s="82">
        <f>IF(('COMPOSIÇÃO DE VALORES'!M122)=0,"-",('COMPOSIÇÃO DE VALORES'!M122))</f>
        <v/>
      </c>
    </row>
    <row r="123" hidden="1">
      <c r="A123" s="81" t="n">
        <v>113</v>
      </c>
      <c r="B123" s="82">
        <f>'COMPOSIÇÃO DE VALORES'!B123</f>
        <v/>
      </c>
      <c r="C123" s="82">
        <f>'COMPOSIÇÃO DE VALORES'!C123</f>
        <v/>
      </c>
      <c r="D123" s="82">
        <f>'COMPOSIÇÃO DE VALORES'!D123</f>
        <v/>
      </c>
      <c r="E123" s="82">
        <f>'COMPOSIÇÃO DE VALORES'!G123</f>
        <v/>
      </c>
      <c r="F123" s="82">
        <f>'COMPOSIÇÃO DE VALORES'!H123</f>
        <v/>
      </c>
      <c r="G123" s="83">
        <f>'COMPOSIÇÃO DE VALORES'!L123</f>
        <v/>
      </c>
      <c r="H123" s="83">
        <f>G123*B123</f>
        <v/>
      </c>
      <c r="I123" s="82">
        <f>IF(('COMPOSIÇÃO DE VALORES'!M123)=0,"-",('COMPOSIÇÃO DE VALORES'!M123))</f>
        <v/>
      </c>
    </row>
    <row r="124" hidden="1">
      <c r="A124" s="81" t="n">
        <v>114</v>
      </c>
      <c r="B124" s="82">
        <f>'COMPOSIÇÃO DE VALORES'!B124</f>
        <v/>
      </c>
      <c r="C124" s="82">
        <f>'COMPOSIÇÃO DE VALORES'!C124</f>
        <v/>
      </c>
      <c r="D124" s="82">
        <f>'COMPOSIÇÃO DE VALORES'!D124</f>
        <v/>
      </c>
      <c r="E124" s="82">
        <f>'COMPOSIÇÃO DE VALORES'!G124</f>
        <v/>
      </c>
      <c r="F124" s="82">
        <f>'COMPOSIÇÃO DE VALORES'!H124</f>
        <v/>
      </c>
      <c r="G124" s="83">
        <f>'COMPOSIÇÃO DE VALORES'!L124</f>
        <v/>
      </c>
      <c r="H124" s="83">
        <f>G124*B124</f>
        <v/>
      </c>
      <c r="I124" s="82">
        <f>IF(('COMPOSIÇÃO DE VALORES'!M124)=0,"-",('COMPOSIÇÃO DE VALORES'!M124))</f>
        <v/>
      </c>
    </row>
    <row r="125" hidden="1">
      <c r="A125" s="81" t="n">
        <v>115</v>
      </c>
      <c r="B125" s="82">
        <f>'COMPOSIÇÃO DE VALORES'!B125</f>
        <v/>
      </c>
      <c r="C125" s="82">
        <f>'COMPOSIÇÃO DE VALORES'!C125</f>
        <v/>
      </c>
      <c r="D125" s="82">
        <f>'COMPOSIÇÃO DE VALORES'!D125</f>
        <v/>
      </c>
      <c r="E125" s="82">
        <f>'COMPOSIÇÃO DE VALORES'!G125</f>
        <v/>
      </c>
      <c r="F125" s="82">
        <f>'COMPOSIÇÃO DE VALORES'!H125</f>
        <v/>
      </c>
      <c r="G125" s="83">
        <f>'COMPOSIÇÃO DE VALORES'!L125</f>
        <v/>
      </c>
      <c r="H125" s="83">
        <f>G125*B125</f>
        <v/>
      </c>
      <c r="I125" s="82">
        <f>IF(('COMPOSIÇÃO DE VALORES'!M125)=0,"-",('COMPOSIÇÃO DE VALORES'!M125))</f>
        <v/>
      </c>
    </row>
    <row r="126" hidden="1">
      <c r="A126" s="81" t="n">
        <v>116</v>
      </c>
      <c r="B126" s="82">
        <f>'COMPOSIÇÃO DE VALORES'!B126</f>
        <v/>
      </c>
      <c r="C126" s="82">
        <f>'COMPOSIÇÃO DE VALORES'!C126</f>
        <v/>
      </c>
      <c r="D126" s="82">
        <f>'COMPOSIÇÃO DE VALORES'!D126</f>
        <v/>
      </c>
      <c r="E126" s="82">
        <f>'COMPOSIÇÃO DE VALORES'!G126</f>
        <v/>
      </c>
      <c r="F126" s="82">
        <f>'COMPOSIÇÃO DE VALORES'!H126</f>
        <v/>
      </c>
      <c r="G126" s="83">
        <f>'COMPOSIÇÃO DE VALORES'!L126</f>
        <v/>
      </c>
      <c r="H126" s="83">
        <f>G126*B126</f>
        <v/>
      </c>
      <c r="I126" s="82">
        <f>IF(('COMPOSIÇÃO DE VALORES'!M126)=0,"-",('COMPOSIÇÃO DE VALORES'!M126))</f>
        <v/>
      </c>
    </row>
    <row r="127" hidden="1">
      <c r="A127" s="81" t="n">
        <v>117</v>
      </c>
      <c r="B127" s="82">
        <f>'COMPOSIÇÃO DE VALORES'!B127</f>
        <v/>
      </c>
      <c r="C127" s="82">
        <f>'COMPOSIÇÃO DE VALORES'!C127</f>
        <v/>
      </c>
      <c r="D127" s="82">
        <f>'COMPOSIÇÃO DE VALORES'!D127</f>
        <v/>
      </c>
      <c r="E127" s="82">
        <f>'COMPOSIÇÃO DE VALORES'!G127</f>
        <v/>
      </c>
      <c r="F127" s="82">
        <f>'COMPOSIÇÃO DE VALORES'!H127</f>
        <v/>
      </c>
      <c r="G127" s="83">
        <f>'COMPOSIÇÃO DE VALORES'!L127</f>
        <v/>
      </c>
      <c r="H127" s="83">
        <f>G127*B127</f>
        <v/>
      </c>
      <c r="I127" s="82">
        <f>IF(('COMPOSIÇÃO DE VALORES'!M127)=0,"-",('COMPOSIÇÃO DE VALORES'!M127))</f>
        <v/>
      </c>
    </row>
    <row r="128" hidden="1">
      <c r="A128" s="81" t="n">
        <v>118</v>
      </c>
      <c r="B128" s="82">
        <f>'COMPOSIÇÃO DE VALORES'!B128</f>
        <v/>
      </c>
      <c r="C128" s="82">
        <f>'COMPOSIÇÃO DE VALORES'!C128</f>
        <v/>
      </c>
      <c r="D128" s="82">
        <f>'COMPOSIÇÃO DE VALORES'!D128</f>
        <v/>
      </c>
      <c r="E128" s="82">
        <f>'COMPOSIÇÃO DE VALORES'!G128</f>
        <v/>
      </c>
      <c r="F128" s="82">
        <f>'COMPOSIÇÃO DE VALORES'!H128</f>
        <v/>
      </c>
      <c r="G128" s="83">
        <f>'COMPOSIÇÃO DE VALORES'!L128</f>
        <v/>
      </c>
      <c r="H128" s="83">
        <f>G128*B128</f>
        <v/>
      </c>
      <c r="I128" s="82">
        <f>IF(('COMPOSIÇÃO DE VALORES'!M128)=0,"-",('COMPOSIÇÃO DE VALORES'!M128))</f>
        <v/>
      </c>
    </row>
    <row r="129" hidden="1">
      <c r="A129" s="81" t="n">
        <v>119</v>
      </c>
      <c r="B129" s="82">
        <f>'COMPOSIÇÃO DE VALORES'!B129</f>
        <v/>
      </c>
      <c r="C129" s="82">
        <f>'COMPOSIÇÃO DE VALORES'!C129</f>
        <v/>
      </c>
      <c r="D129" s="82">
        <f>'COMPOSIÇÃO DE VALORES'!D129</f>
        <v/>
      </c>
      <c r="E129" s="82">
        <f>'COMPOSIÇÃO DE VALORES'!G129</f>
        <v/>
      </c>
      <c r="F129" s="82">
        <f>'COMPOSIÇÃO DE VALORES'!H129</f>
        <v/>
      </c>
      <c r="G129" s="83">
        <f>'COMPOSIÇÃO DE VALORES'!L129</f>
        <v/>
      </c>
      <c r="H129" s="83">
        <f>G129*B129</f>
        <v/>
      </c>
      <c r="I129" s="82">
        <f>IF(('COMPOSIÇÃO DE VALORES'!M129)=0,"-",('COMPOSIÇÃO DE VALORES'!M129))</f>
        <v/>
      </c>
    </row>
    <row r="130" hidden="1">
      <c r="A130" s="81" t="n">
        <v>120</v>
      </c>
      <c r="B130" s="82">
        <f>'COMPOSIÇÃO DE VALORES'!B130</f>
        <v/>
      </c>
      <c r="C130" s="82">
        <f>'COMPOSIÇÃO DE VALORES'!C130</f>
        <v/>
      </c>
      <c r="D130" s="82">
        <f>'COMPOSIÇÃO DE VALORES'!D130</f>
        <v/>
      </c>
      <c r="E130" s="82">
        <f>'COMPOSIÇÃO DE VALORES'!G130</f>
        <v/>
      </c>
      <c r="F130" s="82">
        <f>'COMPOSIÇÃO DE VALORES'!H130</f>
        <v/>
      </c>
      <c r="G130" s="83">
        <f>'COMPOSIÇÃO DE VALORES'!L130</f>
        <v/>
      </c>
      <c r="H130" s="83">
        <f>G130*B130</f>
        <v/>
      </c>
      <c r="I130" s="82">
        <f>IF(('COMPOSIÇÃO DE VALORES'!M130)=0,"-",('COMPOSIÇÃO DE VALORES'!M130))</f>
        <v/>
      </c>
    </row>
    <row r="131" hidden="1">
      <c r="A131" s="81" t="n">
        <v>121</v>
      </c>
      <c r="B131" s="82">
        <f>'COMPOSIÇÃO DE VALORES'!B131</f>
        <v/>
      </c>
      <c r="C131" s="82">
        <f>'COMPOSIÇÃO DE VALORES'!C131</f>
        <v/>
      </c>
      <c r="D131" s="82">
        <f>'COMPOSIÇÃO DE VALORES'!D131</f>
        <v/>
      </c>
      <c r="E131" s="82">
        <f>'COMPOSIÇÃO DE VALORES'!G131</f>
        <v/>
      </c>
      <c r="F131" s="82">
        <f>'COMPOSIÇÃO DE VALORES'!H131</f>
        <v/>
      </c>
      <c r="G131" s="83">
        <f>'COMPOSIÇÃO DE VALORES'!L131</f>
        <v/>
      </c>
      <c r="H131" s="83">
        <f>G131*B131</f>
        <v/>
      </c>
      <c r="I131" s="82">
        <f>IF(('COMPOSIÇÃO DE VALORES'!M131)=0,"-",('COMPOSIÇÃO DE VALORES'!M131))</f>
        <v/>
      </c>
    </row>
    <row r="132" hidden="1">
      <c r="A132" s="81" t="n">
        <v>122</v>
      </c>
      <c r="B132" s="82">
        <f>'COMPOSIÇÃO DE VALORES'!B132</f>
        <v/>
      </c>
      <c r="C132" s="82">
        <f>'COMPOSIÇÃO DE VALORES'!C132</f>
        <v/>
      </c>
      <c r="D132" s="82">
        <f>'COMPOSIÇÃO DE VALORES'!D132</f>
        <v/>
      </c>
      <c r="E132" s="82">
        <f>'COMPOSIÇÃO DE VALORES'!G132</f>
        <v/>
      </c>
      <c r="F132" s="82">
        <f>'COMPOSIÇÃO DE VALORES'!H132</f>
        <v/>
      </c>
      <c r="G132" s="83">
        <f>'COMPOSIÇÃO DE VALORES'!L132</f>
        <v/>
      </c>
      <c r="H132" s="83">
        <f>G132*B132</f>
        <v/>
      </c>
      <c r="I132" s="82">
        <f>IF(('COMPOSIÇÃO DE VALORES'!M132)=0,"-",('COMPOSIÇÃO DE VALORES'!M132))</f>
        <v/>
      </c>
    </row>
    <row r="133" hidden="1">
      <c r="A133" s="81" t="n">
        <v>123</v>
      </c>
      <c r="B133" s="82">
        <f>'COMPOSIÇÃO DE VALORES'!B133</f>
        <v/>
      </c>
      <c r="C133" s="82">
        <f>'COMPOSIÇÃO DE VALORES'!C133</f>
        <v/>
      </c>
      <c r="D133" s="82">
        <f>'COMPOSIÇÃO DE VALORES'!D133</f>
        <v/>
      </c>
      <c r="E133" s="82">
        <f>'COMPOSIÇÃO DE VALORES'!G133</f>
        <v/>
      </c>
      <c r="F133" s="82">
        <f>'COMPOSIÇÃO DE VALORES'!H133</f>
        <v/>
      </c>
      <c r="G133" s="83">
        <f>'COMPOSIÇÃO DE VALORES'!L133</f>
        <v/>
      </c>
      <c r="H133" s="83">
        <f>G133*B133</f>
        <v/>
      </c>
      <c r="I133" s="82">
        <f>IF(('COMPOSIÇÃO DE VALORES'!M133)=0,"-",('COMPOSIÇÃO DE VALORES'!M133))</f>
        <v/>
      </c>
    </row>
    <row r="134" hidden="1">
      <c r="A134" s="81" t="n">
        <v>124</v>
      </c>
      <c r="B134" s="82">
        <f>'COMPOSIÇÃO DE VALORES'!B134</f>
        <v/>
      </c>
      <c r="C134" s="82">
        <f>'COMPOSIÇÃO DE VALORES'!C134</f>
        <v/>
      </c>
      <c r="D134" s="82">
        <f>'COMPOSIÇÃO DE VALORES'!D134</f>
        <v/>
      </c>
      <c r="E134" s="82">
        <f>'COMPOSIÇÃO DE VALORES'!G134</f>
        <v/>
      </c>
      <c r="F134" s="82">
        <f>'COMPOSIÇÃO DE VALORES'!H134</f>
        <v/>
      </c>
      <c r="G134" s="83">
        <f>'COMPOSIÇÃO DE VALORES'!L134</f>
        <v/>
      </c>
      <c r="H134" s="83">
        <f>G134*B134</f>
        <v/>
      </c>
      <c r="I134" s="82">
        <f>IF(('COMPOSIÇÃO DE VALORES'!M134)=0,"-",('COMPOSIÇÃO DE VALORES'!M134))</f>
        <v/>
      </c>
    </row>
    <row r="135" hidden="1">
      <c r="A135" s="81" t="n">
        <v>125</v>
      </c>
      <c r="B135" s="82">
        <f>'COMPOSIÇÃO DE VALORES'!B135</f>
        <v/>
      </c>
      <c r="C135" s="82">
        <f>'COMPOSIÇÃO DE VALORES'!C135</f>
        <v/>
      </c>
      <c r="D135" s="82">
        <f>'COMPOSIÇÃO DE VALORES'!D135</f>
        <v/>
      </c>
      <c r="E135" s="82">
        <f>'COMPOSIÇÃO DE VALORES'!G135</f>
        <v/>
      </c>
      <c r="F135" s="82">
        <f>'COMPOSIÇÃO DE VALORES'!H135</f>
        <v/>
      </c>
      <c r="G135" s="83">
        <f>'COMPOSIÇÃO DE VALORES'!L135</f>
        <v/>
      </c>
      <c r="H135" s="83">
        <f>G135*B135</f>
        <v/>
      </c>
      <c r="I135" s="82">
        <f>IF(('COMPOSIÇÃO DE VALORES'!M135)=0,"-",('COMPOSIÇÃO DE VALORES'!M135))</f>
        <v/>
      </c>
    </row>
    <row r="136" hidden="1">
      <c r="A136" s="81" t="n">
        <v>126</v>
      </c>
      <c r="B136" s="82">
        <f>'COMPOSIÇÃO DE VALORES'!B136</f>
        <v/>
      </c>
      <c r="C136" s="82">
        <f>'COMPOSIÇÃO DE VALORES'!C136</f>
        <v/>
      </c>
      <c r="D136" s="82">
        <f>'COMPOSIÇÃO DE VALORES'!D136</f>
        <v/>
      </c>
      <c r="E136" s="82">
        <f>'COMPOSIÇÃO DE VALORES'!G136</f>
        <v/>
      </c>
      <c r="F136" s="82">
        <f>'COMPOSIÇÃO DE VALORES'!H136</f>
        <v/>
      </c>
      <c r="G136" s="83">
        <f>'COMPOSIÇÃO DE VALORES'!L136</f>
        <v/>
      </c>
      <c r="H136" s="83">
        <f>G136*B136</f>
        <v/>
      </c>
      <c r="I136" s="82">
        <f>IF(('COMPOSIÇÃO DE VALORES'!M136)=0,"-",('COMPOSIÇÃO DE VALORES'!M136))</f>
        <v/>
      </c>
    </row>
    <row r="137" hidden="1">
      <c r="A137" s="81" t="n">
        <v>127</v>
      </c>
      <c r="B137" s="82">
        <f>'COMPOSIÇÃO DE VALORES'!B137</f>
        <v/>
      </c>
      <c r="C137" s="82">
        <f>'COMPOSIÇÃO DE VALORES'!C137</f>
        <v/>
      </c>
      <c r="D137" s="82">
        <f>'COMPOSIÇÃO DE VALORES'!D137</f>
        <v/>
      </c>
      <c r="E137" s="82">
        <f>'COMPOSIÇÃO DE VALORES'!G137</f>
        <v/>
      </c>
      <c r="F137" s="82">
        <f>'COMPOSIÇÃO DE VALORES'!H137</f>
        <v/>
      </c>
      <c r="G137" s="83">
        <f>'COMPOSIÇÃO DE VALORES'!L137</f>
        <v/>
      </c>
      <c r="H137" s="83">
        <f>G137*B137</f>
        <v/>
      </c>
      <c r="I137" s="82">
        <f>IF(('COMPOSIÇÃO DE VALORES'!M137)=0,"-",('COMPOSIÇÃO DE VALORES'!M137))</f>
        <v/>
      </c>
    </row>
    <row r="138" hidden="1">
      <c r="A138" s="81" t="n">
        <v>128</v>
      </c>
      <c r="B138" s="82">
        <f>'COMPOSIÇÃO DE VALORES'!B138</f>
        <v/>
      </c>
      <c r="C138" s="82">
        <f>'COMPOSIÇÃO DE VALORES'!C138</f>
        <v/>
      </c>
      <c r="D138" s="82">
        <f>'COMPOSIÇÃO DE VALORES'!D138</f>
        <v/>
      </c>
      <c r="E138" s="82">
        <f>'COMPOSIÇÃO DE VALORES'!G138</f>
        <v/>
      </c>
      <c r="F138" s="82">
        <f>'COMPOSIÇÃO DE VALORES'!H138</f>
        <v/>
      </c>
      <c r="G138" s="83">
        <f>'COMPOSIÇÃO DE VALORES'!L138</f>
        <v/>
      </c>
      <c r="H138" s="83">
        <f>G138*B138</f>
        <v/>
      </c>
      <c r="I138" s="82">
        <f>IF(('COMPOSIÇÃO DE VALORES'!M138)=0,"-",('COMPOSIÇÃO DE VALORES'!M138))</f>
        <v/>
      </c>
    </row>
    <row r="139" hidden="1">
      <c r="A139" s="81" t="n">
        <v>129</v>
      </c>
      <c r="B139" s="82">
        <f>'COMPOSIÇÃO DE VALORES'!B139</f>
        <v/>
      </c>
      <c r="C139" s="82">
        <f>'COMPOSIÇÃO DE VALORES'!C139</f>
        <v/>
      </c>
      <c r="D139" s="82">
        <f>'COMPOSIÇÃO DE VALORES'!D139</f>
        <v/>
      </c>
      <c r="E139" s="82">
        <f>'COMPOSIÇÃO DE VALORES'!G139</f>
        <v/>
      </c>
      <c r="F139" s="82">
        <f>'COMPOSIÇÃO DE VALORES'!H139</f>
        <v/>
      </c>
      <c r="G139" s="83">
        <f>'COMPOSIÇÃO DE VALORES'!L139</f>
        <v/>
      </c>
      <c r="H139" s="83">
        <f>G139*B139</f>
        <v/>
      </c>
      <c r="I139" s="82">
        <f>IF(('COMPOSIÇÃO DE VALORES'!M139)=0,"-",('COMPOSIÇÃO DE VALORES'!M139))</f>
        <v/>
      </c>
    </row>
    <row r="140" hidden="1">
      <c r="A140" s="81" t="n">
        <v>130</v>
      </c>
      <c r="B140" s="82">
        <f>'COMPOSIÇÃO DE VALORES'!B140</f>
        <v/>
      </c>
      <c r="C140" s="82">
        <f>'COMPOSIÇÃO DE VALORES'!C140</f>
        <v/>
      </c>
      <c r="D140" s="82">
        <f>'COMPOSIÇÃO DE VALORES'!D140</f>
        <v/>
      </c>
      <c r="E140" s="82">
        <f>'COMPOSIÇÃO DE VALORES'!G140</f>
        <v/>
      </c>
      <c r="F140" s="82">
        <f>'COMPOSIÇÃO DE VALORES'!H140</f>
        <v/>
      </c>
      <c r="G140" s="83">
        <f>'COMPOSIÇÃO DE VALORES'!L140</f>
        <v/>
      </c>
      <c r="H140" s="83">
        <f>G140*B140</f>
        <v/>
      </c>
      <c r="I140" s="82">
        <f>IF(('COMPOSIÇÃO DE VALORES'!M140)=0,"-",('COMPOSIÇÃO DE VALORES'!M140))</f>
        <v/>
      </c>
    </row>
    <row r="141" hidden="1">
      <c r="A141" s="81" t="n">
        <v>131</v>
      </c>
      <c r="B141" s="82">
        <f>'COMPOSIÇÃO DE VALORES'!B141</f>
        <v/>
      </c>
      <c r="C141" s="82">
        <f>'COMPOSIÇÃO DE VALORES'!C141</f>
        <v/>
      </c>
      <c r="D141" s="82">
        <f>'COMPOSIÇÃO DE VALORES'!D141</f>
        <v/>
      </c>
      <c r="E141" s="82">
        <f>'COMPOSIÇÃO DE VALORES'!G141</f>
        <v/>
      </c>
      <c r="F141" s="82">
        <f>'COMPOSIÇÃO DE VALORES'!H141</f>
        <v/>
      </c>
      <c r="G141" s="83">
        <f>'COMPOSIÇÃO DE VALORES'!L141</f>
        <v/>
      </c>
      <c r="H141" s="83">
        <f>G141*B141</f>
        <v/>
      </c>
      <c r="I141" s="82">
        <f>IF(('COMPOSIÇÃO DE VALORES'!M141)=0,"-",('COMPOSIÇÃO DE VALORES'!M141))</f>
        <v/>
      </c>
    </row>
    <row r="142" hidden="1">
      <c r="A142" s="81" t="n">
        <v>132</v>
      </c>
      <c r="B142" s="82">
        <f>'COMPOSIÇÃO DE VALORES'!B142</f>
        <v/>
      </c>
      <c r="C142" s="82">
        <f>'COMPOSIÇÃO DE VALORES'!C142</f>
        <v/>
      </c>
      <c r="D142" s="82">
        <f>'COMPOSIÇÃO DE VALORES'!D142</f>
        <v/>
      </c>
      <c r="E142" s="82">
        <f>'COMPOSIÇÃO DE VALORES'!G142</f>
        <v/>
      </c>
      <c r="F142" s="82">
        <f>'COMPOSIÇÃO DE VALORES'!H142</f>
        <v/>
      </c>
      <c r="G142" s="83">
        <f>'COMPOSIÇÃO DE VALORES'!L142</f>
        <v/>
      </c>
      <c r="H142" s="83">
        <f>G142*B142</f>
        <v/>
      </c>
      <c r="I142" s="82">
        <f>IF(('COMPOSIÇÃO DE VALORES'!M142)=0,"-",('COMPOSIÇÃO DE VALORES'!M142))</f>
        <v/>
      </c>
    </row>
    <row r="143" hidden="1">
      <c r="A143" s="81" t="n">
        <v>133</v>
      </c>
      <c r="B143" s="82">
        <f>'COMPOSIÇÃO DE VALORES'!B143</f>
        <v/>
      </c>
      <c r="C143" s="82">
        <f>'COMPOSIÇÃO DE VALORES'!C143</f>
        <v/>
      </c>
      <c r="D143" s="82">
        <f>'COMPOSIÇÃO DE VALORES'!D143</f>
        <v/>
      </c>
      <c r="E143" s="82">
        <f>'COMPOSIÇÃO DE VALORES'!G143</f>
        <v/>
      </c>
      <c r="F143" s="82">
        <f>'COMPOSIÇÃO DE VALORES'!H143</f>
        <v/>
      </c>
      <c r="G143" s="83">
        <f>'COMPOSIÇÃO DE VALORES'!L143</f>
        <v/>
      </c>
      <c r="H143" s="83">
        <f>G143*B143</f>
        <v/>
      </c>
      <c r="I143" s="82">
        <f>IF(('COMPOSIÇÃO DE VALORES'!M143)=0,"-",('COMPOSIÇÃO DE VALORES'!M143))</f>
        <v/>
      </c>
    </row>
    <row r="144" hidden="1">
      <c r="A144" s="81" t="n">
        <v>134</v>
      </c>
      <c r="B144" s="82">
        <f>'COMPOSIÇÃO DE VALORES'!B144</f>
        <v/>
      </c>
      <c r="C144" s="82">
        <f>'COMPOSIÇÃO DE VALORES'!C144</f>
        <v/>
      </c>
      <c r="D144" s="82">
        <f>'COMPOSIÇÃO DE VALORES'!D144</f>
        <v/>
      </c>
      <c r="E144" s="82">
        <f>'COMPOSIÇÃO DE VALORES'!G144</f>
        <v/>
      </c>
      <c r="F144" s="82">
        <f>'COMPOSIÇÃO DE VALORES'!H144</f>
        <v/>
      </c>
      <c r="G144" s="83">
        <f>'COMPOSIÇÃO DE VALORES'!L144</f>
        <v/>
      </c>
      <c r="H144" s="83">
        <f>G144*B144</f>
        <v/>
      </c>
      <c r="I144" s="82">
        <f>IF(('COMPOSIÇÃO DE VALORES'!M144)=0,"-",('COMPOSIÇÃO DE VALORES'!M144))</f>
        <v/>
      </c>
    </row>
    <row r="145" hidden="1">
      <c r="A145" s="81" t="n">
        <v>135</v>
      </c>
      <c r="B145" s="82">
        <f>'COMPOSIÇÃO DE VALORES'!B145</f>
        <v/>
      </c>
      <c r="C145" s="82">
        <f>'COMPOSIÇÃO DE VALORES'!C145</f>
        <v/>
      </c>
      <c r="D145" s="82">
        <f>'COMPOSIÇÃO DE VALORES'!D145</f>
        <v/>
      </c>
      <c r="E145" s="82">
        <f>'COMPOSIÇÃO DE VALORES'!G145</f>
        <v/>
      </c>
      <c r="F145" s="82">
        <f>'COMPOSIÇÃO DE VALORES'!H145</f>
        <v/>
      </c>
      <c r="G145" s="83">
        <f>'COMPOSIÇÃO DE VALORES'!L145</f>
        <v/>
      </c>
      <c r="H145" s="83">
        <f>G145*B145</f>
        <v/>
      </c>
      <c r="I145" s="82">
        <f>IF(('COMPOSIÇÃO DE VALORES'!M145)=0,"-",('COMPOSIÇÃO DE VALORES'!M145))</f>
        <v/>
      </c>
    </row>
    <row r="146" hidden="1">
      <c r="A146" s="81" t="n">
        <v>136</v>
      </c>
      <c r="B146" s="82">
        <f>'COMPOSIÇÃO DE VALORES'!B146</f>
        <v/>
      </c>
      <c r="C146" s="82">
        <f>'COMPOSIÇÃO DE VALORES'!C146</f>
        <v/>
      </c>
      <c r="D146" s="82">
        <f>'COMPOSIÇÃO DE VALORES'!D146</f>
        <v/>
      </c>
      <c r="E146" s="82">
        <f>'COMPOSIÇÃO DE VALORES'!G146</f>
        <v/>
      </c>
      <c r="F146" s="82">
        <f>'COMPOSIÇÃO DE VALORES'!H146</f>
        <v/>
      </c>
      <c r="G146" s="83">
        <f>'COMPOSIÇÃO DE VALORES'!L146</f>
        <v/>
      </c>
      <c r="H146" s="83">
        <f>G146*B146</f>
        <v/>
      </c>
      <c r="I146" s="82">
        <f>IF(('COMPOSIÇÃO DE VALORES'!M146)=0,"-",('COMPOSIÇÃO DE VALORES'!M146))</f>
        <v/>
      </c>
    </row>
    <row r="147" hidden="1">
      <c r="A147" s="81" t="n">
        <v>137</v>
      </c>
      <c r="B147" s="82">
        <f>'COMPOSIÇÃO DE VALORES'!B147</f>
        <v/>
      </c>
      <c r="C147" s="82">
        <f>'COMPOSIÇÃO DE VALORES'!C147</f>
        <v/>
      </c>
      <c r="D147" s="82">
        <f>'COMPOSIÇÃO DE VALORES'!D147</f>
        <v/>
      </c>
      <c r="E147" s="82">
        <f>'COMPOSIÇÃO DE VALORES'!G147</f>
        <v/>
      </c>
      <c r="F147" s="82">
        <f>'COMPOSIÇÃO DE VALORES'!H147</f>
        <v/>
      </c>
      <c r="G147" s="83">
        <f>'COMPOSIÇÃO DE VALORES'!L147</f>
        <v/>
      </c>
      <c r="H147" s="83">
        <f>G147*B147</f>
        <v/>
      </c>
      <c r="I147" s="82">
        <f>IF(('COMPOSIÇÃO DE VALORES'!M147)=0,"-",('COMPOSIÇÃO DE VALORES'!M147))</f>
        <v/>
      </c>
    </row>
    <row r="148" hidden="1">
      <c r="A148" s="81" t="n">
        <v>138</v>
      </c>
      <c r="B148" s="82">
        <f>'COMPOSIÇÃO DE VALORES'!B148</f>
        <v/>
      </c>
      <c r="C148" s="82">
        <f>'COMPOSIÇÃO DE VALORES'!C148</f>
        <v/>
      </c>
      <c r="D148" s="82">
        <f>'COMPOSIÇÃO DE VALORES'!D148</f>
        <v/>
      </c>
      <c r="E148" s="82">
        <f>'COMPOSIÇÃO DE VALORES'!G148</f>
        <v/>
      </c>
      <c r="F148" s="82">
        <f>'COMPOSIÇÃO DE VALORES'!H148</f>
        <v/>
      </c>
      <c r="G148" s="83">
        <f>'COMPOSIÇÃO DE VALORES'!L148</f>
        <v/>
      </c>
      <c r="H148" s="83">
        <f>G148*B148</f>
        <v/>
      </c>
      <c r="I148" s="82">
        <f>IF(('COMPOSIÇÃO DE VALORES'!M148)=0,"-",('COMPOSIÇÃO DE VALORES'!M148))</f>
        <v/>
      </c>
    </row>
    <row r="149" hidden="1">
      <c r="A149" s="81" t="n">
        <v>139</v>
      </c>
      <c r="B149" s="82">
        <f>'COMPOSIÇÃO DE VALORES'!B149</f>
        <v/>
      </c>
      <c r="C149" s="82">
        <f>'COMPOSIÇÃO DE VALORES'!C149</f>
        <v/>
      </c>
      <c r="D149" s="82">
        <f>'COMPOSIÇÃO DE VALORES'!D149</f>
        <v/>
      </c>
      <c r="E149" s="82">
        <f>'COMPOSIÇÃO DE VALORES'!G149</f>
        <v/>
      </c>
      <c r="F149" s="82">
        <f>'COMPOSIÇÃO DE VALORES'!H149</f>
        <v/>
      </c>
      <c r="G149" s="83">
        <f>'COMPOSIÇÃO DE VALORES'!L149</f>
        <v/>
      </c>
      <c r="H149" s="83">
        <f>G149*B149</f>
        <v/>
      </c>
      <c r="I149" s="82">
        <f>IF(('COMPOSIÇÃO DE VALORES'!M149)=0,"-",('COMPOSIÇÃO DE VALORES'!M149))</f>
        <v/>
      </c>
    </row>
    <row r="150" hidden="1">
      <c r="A150" s="81" t="n">
        <v>140</v>
      </c>
      <c r="B150" s="82">
        <f>'COMPOSIÇÃO DE VALORES'!B150</f>
        <v/>
      </c>
      <c r="C150" s="82">
        <f>'COMPOSIÇÃO DE VALORES'!C150</f>
        <v/>
      </c>
      <c r="D150" s="82">
        <f>'COMPOSIÇÃO DE VALORES'!D150</f>
        <v/>
      </c>
      <c r="E150" s="82">
        <f>'COMPOSIÇÃO DE VALORES'!G150</f>
        <v/>
      </c>
      <c r="F150" s="82">
        <f>'COMPOSIÇÃO DE VALORES'!H150</f>
        <v/>
      </c>
      <c r="G150" s="83">
        <f>'COMPOSIÇÃO DE VALORES'!L150</f>
        <v/>
      </c>
      <c r="H150" s="83">
        <f>G150*B150</f>
        <v/>
      </c>
      <c r="I150" s="82">
        <f>IF(('COMPOSIÇÃO DE VALORES'!M150)=0,"-",('COMPOSIÇÃO DE VALORES'!M150))</f>
        <v/>
      </c>
    </row>
    <row r="151" hidden="1">
      <c r="A151" s="81" t="n">
        <v>141</v>
      </c>
      <c r="B151" s="82">
        <f>'COMPOSIÇÃO DE VALORES'!B151</f>
        <v/>
      </c>
      <c r="C151" s="82">
        <f>'COMPOSIÇÃO DE VALORES'!C151</f>
        <v/>
      </c>
      <c r="D151" s="82">
        <f>'COMPOSIÇÃO DE VALORES'!D151</f>
        <v/>
      </c>
      <c r="E151" s="82">
        <f>'COMPOSIÇÃO DE VALORES'!G151</f>
        <v/>
      </c>
      <c r="F151" s="82">
        <f>'COMPOSIÇÃO DE VALORES'!H151</f>
        <v/>
      </c>
      <c r="G151" s="83">
        <f>'COMPOSIÇÃO DE VALORES'!L151</f>
        <v/>
      </c>
      <c r="H151" s="83">
        <f>G151*B151</f>
        <v/>
      </c>
      <c r="I151" s="82">
        <f>IF(('COMPOSIÇÃO DE VALORES'!M151)=0,"-",('COMPOSIÇÃO DE VALORES'!M151))</f>
        <v/>
      </c>
    </row>
    <row r="152" hidden="1">
      <c r="A152" s="81" t="n">
        <v>142</v>
      </c>
      <c r="B152" s="82">
        <f>'COMPOSIÇÃO DE VALORES'!B152</f>
        <v/>
      </c>
      <c r="C152" s="82">
        <f>'COMPOSIÇÃO DE VALORES'!C152</f>
        <v/>
      </c>
      <c r="D152" s="82">
        <f>'COMPOSIÇÃO DE VALORES'!D152</f>
        <v/>
      </c>
      <c r="E152" s="82">
        <f>'COMPOSIÇÃO DE VALORES'!G152</f>
        <v/>
      </c>
      <c r="F152" s="82">
        <f>'COMPOSIÇÃO DE VALORES'!H152</f>
        <v/>
      </c>
      <c r="G152" s="83">
        <f>'COMPOSIÇÃO DE VALORES'!L152</f>
        <v/>
      </c>
      <c r="H152" s="83">
        <f>G152*B152</f>
        <v/>
      </c>
      <c r="I152" s="82">
        <f>IF(('COMPOSIÇÃO DE VALORES'!M152)=0,"-",('COMPOSIÇÃO DE VALORES'!M152))</f>
        <v/>
      </c>
    </row>
    <row r="153" hidden="1">
      <c r="A153" s="81" t="n">
        <v>143</v>
      </c>
      <c r="B153" s="82">
        <f>'COMPOSIÇÃO DE VALORES'!B153</f>
        <v/>
      </c>
      <c r="C153" s="82">
        <f>'COMPOSIÇÃO DE VALORES'!C153</f>
        <v/>
      </c>
      <c r="D153" s="82">
        <f>'COMPOSIÇÃO DE VALORES'!D153</f>
        <v/>
      </c>
      <c r="E153" s="82">
        <f>'COMPOSIÇÃO DE VALORES'!G153</f>
        <v/>
      </c>
      <c r="F153" s="82">
        <f>'COMPOSIÇÃO DE VALORES'!H153</f>
        <v/>
      </c>
      <c r="G153" s="83">
        <f>'COMPOSIÇÃO DE VALORES'!L153</f>
        <v/>
      </c>
      <c r="H153" s="83">
        <f>G153*B153</f>
        <v/>
      </c>
      <c r="I153" s="82">
        <f>IF(('COMPOSIÇÃO DE VALORES'!M153)=0,"-",('COMPOSIÇÃO DE VALORES'!M153))</f>
        <v/>
      </c>
    </row>
    <row r="154" hidden="1">
      <c r="A154" s="81" t="n">
        <v>144</v>
      </c>
      <c r="B154" s="82">
        <f>'COMPOSIÇÃO DE VALORES'!B154</f>
        <v/>
      </c>
      <c r="C154" s="82">
        <f>'COMPOSIÇÃO DE VALORES'!C154</f>
        <v/>
      </c>
      <c r="D154" s="82">
        <f>'COMPOSIÇÃO DE VALORES'!D154</f>
        <v/>
      </c>
      <c r="E154" s="82">
        <f>'COMPOSIÇÃO DE VALORES'!G154</f>
        <v/>
      </c>
      <c r="F154" s="82">
        <f>'COMPOSIÇÃO DE VALORES'!H154</f>
        <v/>
      </c>
      <c r="G154" s="83">
        <f>'COMPOSIÇÃO DE VALORES'!L154</f>
        <v/>
      </c>
      <c r="H154" s="83">
        <f>G154*B154</f>
        <v/>
      </c>
      <c r="I154" s="82">
        <f>IF(('COMPOSIÇÃO DE VALORES'!M154)=0,"-",('COMPOSIÇÃO DE VALORES'!M154))</f>
        <v/>
      </c>
    </row>
    <row r="155" hidden="1">
      <c r="A155" s="81" t="n">
        <v>145</v>
      </c>
      <c r="B155" s="82">
        <f>'COMPOSIÇÃO DE VALORES'!B155</f>
        <v/>
      </c>
      <c r="C155" s="82">
        <f>'COMPOSIÇÃO DE VALORES'!C155</f>
        <v/>
      </c>
      <c r="D155" s="82">
        <f>'COMPOSIÇÃO DE VALORES'!D155</f>
        <v/>
      </c>
      <c r="E155" s="82">
        <f>'COMPOSIÇÃO DE VALORES'!G155</f>
        <v/>
      </c>
      <c r="F155" s="82">
        <f>'COMPOSIÇÃO DE VALORES'!H155</f>
        <v/>
      </c>
      <c r="G155" s="83">
        <f>'COMPOSIÇÃO DE VALORES'!L155</f>
        <v/>
      </c>
      <c r="H155" s="83">
        <f>G155*B155</f>
        <v/>
      </c>
      <c r="I155" s="82">
        <f>IF(('COMPOSIÇÃO DE VALORES'!M155)=0,"-",('COMPOSIÇÃO DE VALORES'!M155))</f>
        <v/>
      </c>
    </row>
    <row r="156" hidden="1">
      <c r="A156" s="81" t="n">
        <v>146</v>
      </c>
      <c r="B156" s="82">
        <f>'COMPOSIÇÃO DE VALORES'!B156</f>
        <v/>
      </c>
      <c r="C156" s="82">
        <f>'COMPOSIÇÃO DE VALORES'!C156</f>
        <v/>
      </c>
      <c r="D156" s="82">
        <f>'COMPOSIÇÃO DE VALORES'!D156</f>
        <v/>
      </c>
      <c r="E156" s="82">
        <f>'COMPOSIÇÃO DE VALORES'!G156</f>
        <v/>
      </c>
      <c r="F156" s="82">
        <f>'COMPOSIÇÃO DE VALORES'!H156</f>
        <v/>
      </c>
      <c r="G156" s="83">
        <f>'COMPOSIÇÃO DE VALORES'!L156</f>
        <v/>
      </c>
      <c r="H156" s="83">
        <f>G156*B156</f>
        <v/>
      </c>
      <c r="I156" s="82">
        <f>IF(('COMPOSIÇÃO DE VALORES'!M156)=0,"-",('COMPOSIÇÃO DE VALORES'!M156))</f>
        <v/>
      </c>
    </row>
    <row r="157" hidden="1">
      <c r="A157" s="81" t="n">
        <v>147</v>
      </c>
      <c r="B157" s="82">
        <f>'COMPOSIÇÃO DE VALORES'!B157</f>
        <v/>
      </c>
      <c r="C157" s="82">
        <f>'COMPOSIÇÃO DE VALORES'!C157</f>
        <v/>
      </c>
      <c r="D157" s="82">
        <f>'COMPOSIÇÃO DE VALORES'!D157</f>
        <v/>
      </c>
      <c r="E157" s="82">
        <f>'COMPOSIÇÃO DE VALORES'!G157</f>
        <v/>
      </c>
      <c r="F157" s="82">
        <f>'COMPOSIÇÃO DE VALORES'!H157</f>
        <v/>
      </c>
      <c r="G157" s="83">
        <f>'COMPOSIÇÃO DE VALORES'!L157</f>
        <v/>
      </c>
      <c r="H157" s="83">
        <f>G157*B157</f>
        <v/>
      </c>
      <c r="I157" s="82">
        <f>IF(('COMPOSIÇÃO DE VALORES'!M157)=0,"-",('COMPOSIÇÃO DE VALORES'!M157))</f>
        <v/>
      </c>
    </row>
    <row r="158" hidden="1">
      <c r="A158" s="81" t="n">
        <v>148</v>
      </c>
      <c r="B158" s="82">
        <f>'COMPOSIÇÃO DE VALORES'!B158</f>
        <v/>
      </c>
      <c r="C158" s="82">
        <f>'COMPOSIÇÃO DE VALORES'!C158</f>
        <v/>
      </c>
      <c r="D158" s="82">
        <f>'COMPOSIÇÃO DE VALORES'!D158</f>
        <v/>
      </c>
      <c r="E158" s="82">
        <f>'COMPOSIÇÃO DE VALORES'!G158</f>
        <v/>
      </c>
      <c r="F158" s="82">
        <f>'COMPOSIÇÃO DE VALORES'!H158</f>
        <v/>
      </c>
      <c r="G158" s="83">
        <f>'COMPOSIÇÃO DE VALORES'!L158</f>
        <v/>
      </c>
      <c r="H158" s="83">
        <f>G158*B158</f>
        <v/>
      </c>
      <c r="I158" s="82">
        <f>IF(('COMPOSIÇÃO DE VALORES'!M158)=0,"-",('COMPOSIÇÃO DE VALORES'!M158))</f>
        <v/>
      </c>
    </row>
    <row r="159" hidden="1">
      <c r="A159" s="81" t="n">
        <v>149</v>
      </c>
      <c r="B159" s="82">
        <f>'COMPOSIÇÃO DE VALORES'!B159</f>
        <v/>
      </c>
      <c r="C159" s="82">
        <f>'COMPOSIÇÃO DE VALORES'!C159</f>
        <v/>
      </c>
      <c r="D159" s="82">
        <f>'COMPOSIÇÃO DE VALORES'!D159</f>
        <v/>
      </c>
      <c r="E159" s="82">
        <f>'COMPOSIÇÃO DE VALORES'!G159</f>
        <v/>
      </c>
      <c r="F159" s="82">
        <f>'COMPOSIÇÃO DE VALORES'!H159</f>
        <v/>
      </c>
      <c r="G159" s="83">
        <f>'COMPOSIÇÃO DE VALORES'!L159</f>
        <v/>
      </c>
      <c r="H159" s="83">
        <f>G159*B159</f>
        <v/>
      </c>
      <c r="I159" s="82">
        <f>IF(('COMPOSIÇÃO DE VALORES'!M159)=0,"-",('COMPOSIÇÃO DE VALORES'!M159))</f>
        <v/>
      </c>
    </row>
    <row r="160" hidden="1">
      <c r="A160" s="81" t="n">
        <v>150</v>
      </c>
      <c r="B160" s="82">
        <f>'COMPOSIÇÃO DE VALORES'!B160</f>
        <v/>
      </c>
      <c r="C160" s="82">
        <f>'COMPOSIÇÃO DE VALORES'!C160</f>
        <v/>
      </c>
      <c r="D160" s="82">
        <f>'COMPOSIÇÃO DE VALORES'!D160</f>
        <v/>
      </c>
      <c r="E160" s="82">
        <f>'COMPOSIÇÃO DE VALORES'!G160</f>
        <v/>
      </c>
      <c r="F160" s="82">
        <f>'COMPOSIÇÃO DE VALORES'!H160</f>
        <v/>
      </c>
      <c r="G160" s="83">
        <f>'COMPOSIÇÃO DE VALORES'!L160</f>
        <v/>
      </c>
      <c r="H160" s="83">
        <f>G160*B160</f>
        <v/>
      </c>
      <c r="I160" s="82">
        <f>IF(('COMPOSIÇÃO DE VALORES'!M160)=0,"-",('COMPOSIÇÃO DE VALORES'!M160))</f>
        <v/>
      </c>
    </row>
    <row r="161" hidden="1">
      <c r="A161" s="81" t="n">
        <v>151</v>
      </c>
      <c r="B161" s="82">
        <f>'COMPOSIÇÃO DE VALORES'!B161</f>
        <v/>
      </c>
      <c r="C161" s="82">
        <f>'COMPOSIÇÃO DE VALORES'!C161</f>
        <v/>
      </c>
      <c r="D161" s="82">
        <f>'COMPOSIÇÃO DE VALORES'!D161</f>
        <v/>
      </c>
      <c r="E161" s="82">
        <f>'COMPOSIÇÃO DE VALORES'!G161</f>
        <v/>
      </c>
      <c r="F161" s="82">
        <f>'COMPOSIÇÃO DE VALORES'!H161</f>
        <v/>
      </c>
      <c r="G161" s="83">
        <f>'COMPOSIÇÃO DE VALORES'!L161</f>
        <v/>
      </c>
      <c r="H161" s="83">
        <f>G161*B161</f>
        <v/>
      </c>
      <c r="I161" s="82">
        <f>IF(('COMPOSIÇÃO DE VALORES'!M161)=0,"-",('COMPOSIÇÃO DE VALORES'!M161))</f>
        <v/>
      </c>
    </row>
    <row r="162" hidden="1">
      <c r="A162" s="81" t="n">
        <v>152</v>
      </c>
      <c r="B162" s="82">
        <f>'COMPOSIÇÃO DE VALORES'!B162</f>
        <v/>
      </c>
      <c r="C162" s="82">
        <f>'COMPOSIÇÃO DE VALORES'!C162</f>
        <v/>
      </c>
      <c r="D162" s="82">
        <f>'COMPOSIÇÃO DE VALORES'!D162</f>
        <v/>
      </c>
      <c r="E162" s="82">
        <f>'COMPOSIÇÃO DE VALORES'!G162</f>
        <v/>
      </c>
      <c r="F162" s="82">
        <f>'COMPOSIÇÃO DE VALORES'!H162</f>
        <v/>
      </c>
      <c r="G162" s="83">
        <f>'COMPOSIÇÃO DE VALORES'!L162</f>
        <v/>
      </c>
      <c r="H162" s="83">
        <f>G162*B162</f>
        <v/>
      </c>
      <c r="I162" s="82">
        <f>IF(('COMPOSIÇÃO DE VALORES'!M162)=0,"-",('COMPOSIÇÃO DE VALORES'!M162))</f>
        <v/>
      </c>
    </row>
    <row r="163" hidden="1">
      <c r="A163" s="81" t="n">
        <v>153</v>
      </c>
      <c r="B163" s="82">
        <f>'COMPOSIÇÃO DE VALORES'!B163</f>
        <v/>
      </c>
      <c r="C163" s="82">
        <f>'COMPOSIÇÃO DE VALORES'!C163</f>
        <v/>
      </c>
      <c r="D163" s="82">
        <f>'COMPOSIÇÃO DE VALORES'!D163</f>
        <v/>
      </c>
      <c r="E163" s="82">
        <f>'COMPOSIÇÃO DE VALORES'!G163</f>
        <v/>
      </c>
      <c r="F163" s="82">
        <f>'COMPOSIÇÃO DE VALORES'!H163</f>
        <v/>
      </c>
      <c r="G163" s="83">
        <f>'COMPOSIÇÃO DE VALORES'!L163</f>
        <v/>
      </c>
      <c r="H163" s="83">
        <f>G163*B163</f>
        <v/>
      </c>
      <c r="I163" s="82">
        <f>IF(('COMPOSIÇÃO DE VALORES'!M163)=0,"-",('COMPOSIÇÃO DE VALORES'!M163))</f>
        <v/>
      </c>
    </row>
    <row r="164" hidden="1">
      <c r="A164" s="81" t="n">
        <v>154</v>
      </c>
      <c r="B164" s="82">
        <f>'COMPOSIÇÃO DE VALORES'!B164</f>
        <v/>
      </c>
      <c r="C164" s="82">
        <f>'COMPOSIÇÃO DE VALORES'!C164</f>
        <v/>
      </c>
      <c r="D164" s="82">
        <f>'COMPOSIÇÃO DE VALORES'!D164</f>
        <v/>
      </c>
      <c r="E164" s="82">
        <f>'COMPOSIÇÃO DE VALORES'!G164</f>
        <v/>
      </c>
      <c r="F164" s="82">
        <f>'COMPOSIÇÃO DE VALORES'!H164</f>
        <v/>
      </c>
      <c r="G164" s="83">
        <f>'COMPOSIÇÃO DE VALORES'!L164</f>
        <v/>
      </c>
      <c r="H164" s="83">
        <f>G164*B164</f>
        <v/>
      </c>
      <c r="I164" s="82">
        <f>IF(('COMPOSIÇÃO DE VALORES'!M164)=0,"-",('COMPOSIÇÃO DE VALORES'!M164))</f>
        <v/>
      </c>
    </row>
    <row r="165" hidden="1">
      <c r="A165" s="81" t="n">
        <v>155</v>
      </c>
      <c r="B165" s="82">
        <f>'COMPOSIÇÃO DE VALORES'!B165</f>
        <v/>
      </c>
      <c r="C165" s="82">
        <f>'COMPOSIÇÃO DE VALORES'!C165</f>
        <v/>
      </c>
      <c r="D165" s="82">
        <f>'COMPOSIÇÃO DE VALORES'!D165</f>
        <v/>
      </c>
      <c r="E165" s="82">
        <f>'COMPOSIÇÃO DE VALORES'!G165</f>
        <v/>
      </c>
      <c r="F165" s="82">
        <f>'COMPOSIÇÃO DE VALORES'!H165</f>
        <v/>
      </c>
      <c r="G165" s="83">
        <f>'COMPOSIÇÃO DE VALORES'!L165</f>
        <v/>
      </c>
      <c r="H165" s="83">
        <f>G165*B165</f>
        <v/>
      </c>
      <c r="I165" s="82">
        <f>IF(('COMPOSIÇÃO DE VALORES'!M165)=0,"-",('COMPOSIÇÃO DE VALORES'!M165))</f>
        <v/>
      </c>
    </row>
    <row r="166" hidden="1">
      <c r="A166" s="81" t="n">
        <v>156</v>
      </c>
      <c r="B166" s="82">
        <f>'COMPOSIÇÃO DE VALORES'!B166</f>
        <v/>
      </c>
      <c r="C166" s="82">
        <f>'COMPOSIÇÃO DE VALORES'!C166</f>
        <v/>
      </c>
      <c r="D166" s="82">
        <f>'COMPOSIÇÃO DE VALORES'!D166</f>
        <v/>
      </c>
      <c r="E166" s="82">
        <f>'COMPOSIÇÃO DE VALORES'!G166</f>
        <v/>
      </c>
      <c r="F166" s="82">
        <f>'COMPOSIÇÃO DE VALORES'!H166</f>
        <v/>
      </c>
      <c r="G166" s="83">
        <f>'COMPOSIÇÃO DE VALORES'!L166</f>
        <v/>
      </c>
      <c r="H166" s="83">
        <f>G166*B166</f>
        <v/>
      </c>
      <c r="I166" s="82">
        <f>IF(('COMPOSIÇÃO DE VALORES'!M166)=0,"-",('COMPOSIÇÃO DE VALORES'!M166))</f>
        <v/>
      </c>
    </row>
    <row r="167" hidden="1">
      <c r="A167" s="81" t="n">
        <v>157</v>
      </c>
      <c r="B167" s="82">
        <f>'COMPOSIÇÃO DE VALORES'!B167</f>
        <v/>
      </c>
      <c r="C167" s="82">
        <f>'COMPOSIÇÃO DE VALORES'!C167</f>
        <v/>
      </c>
      <c r="D167" s="82">
        <f>'COMPOSIÇÃO DE VALORES'!D167</f>
        <v/>
      </c>
      <c r="E167" s="82">
        <f>'COMPOSIÇÃO DE VALORES'!G167</f>
        <v/>
      </c>
      <c r="F167" s="82">
        <f>'COMPOSIÇÃO DE VALORES'!H167</f>
        <v/>
      </c>
      <c r="G167" s="83">
        <f>'COMPOSIÇÃO DE VALORES'!L167</f>
        <v/>
      </c>
      <c r="H167" s="83">
        <f>G167*B167</f>
        <v/>
      </c>
      <c r="I167" s="82">
        <f>IF(('COMPOSIÇÃO DE VALORES'!M167)=0,"-",('COMPOSIÇÃO DE VALORES'!M167))</f>
        <v/>
      </c>
    </row>
    <row r="168" hidden="1">
      <c r="A168" s="81" t="n">
        <v>158</v>
      </c>
      <c r="B168" s="82">
        <f>'COMPOSIÇÃO DE VALORES'!B168</f>
        <v/>
      </c>
      <c r="C168" s="82">
        <f>'COMPOSIÇÃO DE VALORES'!C168</f>
        <v/>
      </c>
      <c r="D168" s="82">
        <f>'COMPOSIÇÃO DE VALORES'!D168</f>
        <v/>
      </c>
      <c r="E168" s="82">
        <f>'COMPOSIÇÃO DE VALORES'!G168</f>
        <v/>
      </c>
      <c r="F168" s="82">
        <f>'COMPOSIÇÃO DE VALORES'!H168</f>
        <v/>
      </c>
      <c r="G168" s="83">
        <f>'COMPOSIÇÃO DE VALORES'!L168</f>
        <v/>
      </c>
      <c r="H168" s="83">
        <f>G168*B168</f>
        <v/>
      </c>
      <c r="I168" s="82">
        <f>IF(('COMPOSIÇÃO DE VALORES'!M168)=0,"-",('COMPOSIÇÃO DE VALORES'!M168))</f>
        <v/>
      </c>
    </row>
    <row r="169" hidden="1">
      <c r="A169" s="81" t="n">
        <v>159</v>
      </c>
      <c r="B169" s="82">
        <f>'COMPOSIÇÃO DE VALORES'!B169</f>
        <v/>
      </c>
      <c r="C169" s="82">
        <f>'COMPOSIÇÃO DE VALORES'!C169</f>
        <v/>
      </c>
      <c r="D169" s="82">
        <f>'COMPOSIÇÃO DE VALORES'!D169</f>
        <v/>
      </c>
      <c r="E169" s="82">
        <f>'COMPOSIÇÃO DE VALORES'!G169</f>
        <v/>
      </c>
      <c r="F169" s="82">
        <f>'COMPOSIÇÃO DE VALORES'!H169</f>
        <v/>
      </c>
      <c r="G169" s="83">
        <f>'COMPOSIÇÃO DE VALORES'!L169</f>
        <v/>
      </c>
      <c r="H169" s="83">
        <f>G169*B169</f>
        <v/>
      </c>
      <c r="I169" s="82">
        <f>IF(('COMPOSIÇÃO DE VALORES'!M169)=0,"-",('COMPOSIÇÃO DE VALORES'!M169))</f>
        <v/>
      </c>
    </row>
    <row r="170" hidden="1">
      <c r="A170" s="81" t="n">
        <v>160</v>
      </c>
      <c r="B170" s="82">
        <f>'COMPOSIÇÃO DE VALORES'!B170</f>
        <v/>
      </c>
      <c r="C170" s="82">
        <f>'COMPOSIÇÃO DE VALORES'!C170</f>
        <v/>
      </c>
      <c r="D170" s="82">
        <f>'COMPOSIÇÃO DE VALORES'!D170</f>
        <v/>
      </c>
      <c r="E170" s="82">
        <f>'COMPOSIÇÃO DE VALORES'!G170</f>
        <v/>
      </c>
      <c r="F170" s="82">
        <f>'COMPOSIÇÃO DE VALORES'!H170</f>
        <v/>
      </c>
      <c r="G170" s="83">
        <f>'COMPOSIÇÃO DE VALORES'!L170</f>
        <v/>
      </c>
      <c r="H170" s="83">
        <f>G170*B170</f>
        <v/>
      </c>
      <c r="I170" s="82">
        <f>IF(('COMPOSIÇÃO DE VALORES'!M170)=0,"-",('COMPOSIÇÃO DE VALORES'!M170))</f>
        <v/>
      </c>
    </row>
    <row r="171" hidden="1">
      <c r="A171" s="81" t="n">
        <v>161</v>
      </c>
      <c r="B171" s="82">
        <f>'COMPOSIÇÃO DE VALORES'!B171</f>
        <v/>
      </c>
      <c r="C171" s="82">
        <f>'COMPOSIÇÃO DE VALORES'!C171</f>
        <v/>
      </c>
      <c r="D171" s="82">
        <f>'COMPOSIÇÃO DE VALORES'!D171</f>
        <v/>
      </c>
      <c r="E171" s="82">
        <f>'COMPOSIÇÃO DE VALORES'!G171</f>
        <v/>
      </c>
      <c r="F171" s="82">
        <f>'COMPOSIÇÃO DE VALORES'!H171</f>
        <v/>
      </c>
      <c r="G171" s="83">
        <f>'COMPOSIÇÃO DE VALORES'!L171</f>
        <v/>
      </c>
      <c r="H171" s="83">
        <f>G171*B171</f>
        <v/>
      </c>
      <c r="I171" s="82">
        <f>IF(('COMPOSIÇÃO DE VALORES'!M171)=0,"-",('COMPOSIÇÃO DE VALORES'!M171))</f>
        <v/>
      </c>
    </row>
    <row r="172" hidden="1">
      <c r="A172" s="81" t="n">
        <v>162</v>
      </c>
      <c r="B172" s="82">
        <f>'COMPOSIÇÃO DE VALORES'!B172</f>
        <v/>
      </c>
      <c r="C172" s="82">
        <f>'COMPOSIÇÃO DE VALORES'!C172</f>
        <v/>
      </c>
      <c r="D172" s="82">
        <f>'COMPOSIÇÃO DE VALORES'!D172</f>
        <v/>
      </c>
      <c r="E172" s="82">
        <f>'COMPOSIÇÃO DE VALORES'!G172</f>
        <v/>
      </c>
      <c r="F172" s="82">
        <f>'COMPOSIÇÃO DE VALORES'!H172</f>
        <v/>
      </c>
      <c r="G172" s="83">
        <f>'COMPOSIÇÃO DE VALORES'!L172</f>
        <v/>
      </c>
      <c r="H172" s="83">
        <f>G172*B172</f>
        <v/>
      </c>
      <c r="I172" s="82">
        <f>IF(('COMPOSIÇÃO DE VALORES'!M172)=0,"-",('COMPOSIÇÃO DE VALORES'!M172))</f>
        <v/>
      </c>
    </row>
    <row r="173" hidden="1">
      <c r="A173" s="81" t="n">
        <v>163</v>
      </c>
      <c r="B173" s="82">
        <f>'COMPOSIÇÃO DE VALORES'!B173</f>
        <v/>
      </c>
      <c r="C173" s="82">
        <f>'COMPOSIÇÃO DE VALORES'!C173</f>
        <v/>
      </c>
      <c r="D173" s="82">
        <f>'COMPOSIÇÃO DE VALORES'!D173</f>
        <v/>
      </c>
      <c r="E173" s="82">
        <f>'COMPOSIÇÃO DE VALORES'!G173</f>
        <v/>
      </c>
      <c r="F173" s="82">
        <f>'COMPOSIÇÃO DE VALORES'!H173</f>
        <v/>
      </c>
      <c r="G173" s="83">
        <f>'COMPOSIÇÃO DE VALORES'!L173</f>
        <v/>
      </c>
      <c r="H173" s="83">
        <f>G173*B173</f>
        <v/>
      </c>
      <c r="I173" s="82">
        <f>IF(('COMPOSIÇÃO DE VALORES'!M173)=0,"-",('COMPOSIÇÃO DE VALORES'!M173))</f>
        <v/>
      </c>
    </row>
    <row r="174" hidden="1">
      <c r="A174" s="81" t="n">
        <v>164</v>
      </c>
      <c r="B174" s="82">
        <f>'COMPOSIÇÃO DE VALORES'!B174</f>
        <v/>
      </c>
      <c r="C174" s="82">
        <f>'COMPOSIÇÃO DE VALORES'!C174</f>
        <v/>
      </c>
      <c r="D174" s="82">
        <f>'COMPOSIÇÃO DE VALORES'!D174</f>
        <v/>
      </c>
      <c r="E174" s="82">
        <f>'COMPOSIÇÃO DE VALORES'!G174</f>
        <v/>
      </c>
      <c r="F174" s="82">
        <f>'COMPOSIÇÃO DE VALORES'!H174</f>
        <v/>
      </c>
      <c r="G174" s="83">
        <f>'COMPOSIÇÃO DE VALORES'!L174</f>
        <v/>
      </c>
      <c r="H174" s="83">
        <f>G174*B174</f>
        <v/>
      </c>
      <c r="I174" s="82">
        <f>IF(('COMPOSIÇÃO DE VALORES'!M174)=0,"-",('COMPOSIÇÃO DE VALORES'!M174))</f>
        <v/>
      </c>
    </row>
    <row r="175" hidden="1">
      <c r="A175" s="81" t="n">
        <v>165</v>
      </c>
      <c r="B175" s="82">
        <f>'COMPOSIÇÃO DE VALORES'!B175</f>
        <v/>
      </c>
      <c r="C175" s="82">
        <f>'COMPOSIÇÃO DE VALORES'!C175</f>
        <v/>
      </c>
      <c r="D175" s="82">
        <f>'COMPOSIÇÃO DE VALORES'!D175</f>
        <v/>
      </c>
      <c r="E175" s="82">
        <f>'COMPOSIÇÃO DE VALORES'!G175</f>
        <v/>
      </c>
      <c r="F175" s="82">
        <f>'COMPOSIÇÃO DE VALORES'!H175</f>
        <v/>
      </c>
      <c r="G175" s="83">
        <f>'COMPOSIÇÃO DE VALORES'!L175</f>
        <v/>
      </c>
      <c r="H175" s="83">
        <f>G175*B175</f>
        <v/>
      </c>
      <c r="I175" s="82">
        <f>IF(('COMPOSIÇÃO DE VALORES'!M175)=0,"-",('COMPOSIÇÃO DE VALORES'!M175))</f>
        <v/>
      </c>
    </row>
    <row r="176" hidden="1">
      <c r="A176" s="81" t="n">
        <v>166</v>
      </c>
      <c r="B176" s="82">
        <f>'COMPOSIÇÃO DE VALORES'!B176</f>
        <v/>
      </c>
      <c r="C176" s="82">
        <f>'COMPOSIÇÃO DE VALORES'!C176</f>
        <v/>
      </c>
      <c r="D176" s="82">
        <f>'COMPOSIÇÃO DE VALORES'!D176</f>
        <v/>
      </c>
      <c r="E176" s="82">
        <f>'COMPOSIÇÃO DE VALORES'!G176</f>
        <v/>
      </c>
      <c r="F176" s="82">
        <f>'COMPOSIÇÃO DE VALORES'!H176</f>
        <v/>
      </c>
      <c r="G176" s="83">
        <f>'COMPOSIÇÃO DE VALORES'!L176</f>
        <v/>
      </c>
      <c r="H176" s="83">
        <f>G176*B176</f>
        <v/>
      </c>
      <c r="I176" s="82">
        <f>IF(('COMPOSIÇÃO DE VALORES'!M176)=0,"-",('COMPOSIÇÃO DE VALORES'!M176))</f>
        <v/>
      </c>
    </row>
    <row r="177" hidden="1">
      <c r="A177" s="81" t="n">
        <v>167</v>
      </c>
      <c r="B177" s="82">
        <f>'COMPOSIÇÃO DE VALORES'!B177</f>
        <v/>
      </c>
      <c r="C177" s="82">
        <f>'COMPOSIÇÃO DE VALORES'!C177</f>
        <v/>
      </c>
      <c r="D177" s="82">
        <f>'COMPOSIÇÃO DE VALORES'!D177</f>
        <v/>
      </c>
      <c r="E177" s="82">
        <f>'COMPOSIÇÃO DE VALORES'!G177</f>
        <v/>
      </c>
      <c r="F177" s="82">
        <f>'COMPOSIÇÃO DE VALORES'!H177</f>
        <v/>
      </c>
      <c r="G177" s="83">
        <f>'COMPOSIÇÃO DE VALORES'!L177</f>
        <v/>
      </c>
      <c r="H177" s="83">
        <f>G177*B177</f>
        <v/>
      </c>
      <c r="I177" s="82">
        <f>IF(('COMPOSIÇÃO DE VALORES'!M177)=0,"-",('COMPOSIÇÃO DE VALORES'!M177))</f>
        <v/>
      </c>
    </row>
    <row r="178" hidden="1">
      <c r="A178" s="81" t="n">
        <v>168</v>
      </c>
      <c r="B178" s="82">
        <f>'COMPOSIÇÃO DE VALORES'!B178</f>
        <v/>
      </c>
      <c r="C178" s="82">
        <f>'COMPOSIÇÃO DE VALORES'!C178</f>
        <v/>
      </c>
      <c r="D178" s="82">
        <f>'COMPOSIÇÃO DE VALORES'!D178</f>
        <v/>
      </c>
      <c r="E178" s="82">
        <f>'COMPOSIÇÃO DE VALORES'!G178</f>
        <v/>
      </c>
      <c r="F178" s="82">
        <f>'COMPOSIÇÃO DE VALORES'!H178</f>
        <v/>
      </c>
      <c r="G178" s="83">
        <f>'COMPOSIÇÃO DE VALORES'!L178</f>
        <v/>
      </c>
      <c r="H178" s="83">
        <f>G178*B178</f>
        <v/>
      </c>
      <c r="I178" s="82">
        <f>IF(('COMPOSIÇÃO DE VALORES'!M178)=0,"-",('COMPOSIÇÃO DE VALORES'!M178))</f>
        <v/>
      </c>
    </row>
    <row r="179" hidden="1">
      <c r="A179" s="81" t="n">
        <v>169</v>
      </c>
      <c r="B179" s="82">
        <f>'COMPOSIÇÃO DE VALORES'!B179</f>
        <v/>
      </c>
      <c r="C179" s="82">
        <f>'COMPOSIÇÃO DE VALORES'!C179</f>
        <v/>
      </c>
      <c r="D179" s="82">
        <f>'COMPOSIÇÃO DE VALORES'!D179</f>
        <v/>
      </c>
      <c r="E179" s="82">
        <f>'COMPOSIÇÃO DE VALORES'!G179</f>
        <v/>
      </c>
      <c r="F179" s="82">
        <f>'COMPOSIÇÃO DE VALORES'!H179</f>
        <v/>
      </c>
      <c r="G179" s="83">
        <f>'COMPOSIÇÃO DE VALORES'!L179</f>
        <v/>
      </c>
      <c r="H179" s="83">
        <f>G179*B179</f>
        <v/>
      </c>
      <c r="I179" s="82">
        <f>IF(('COMPOSIÇÃO DE VALORES'!M179)=0,"-",('COMPOSIÇÃO DE VALORES'!M179))</f>
        <v/>
      </c>
    </row>
    <row r="180" hidden="1">
      <c r="A180" s="81" t="n">
        <v>170</v>
      </c>
      <c r="B180" s="82">
        <f>'COMPOSIÇÃO DE VALORES'!B180</f>
        <v/>
      </c>
      <c r="C180" s="82">
        <f>'COMPOSIÇÃO DE VALORES'!C180</f>
        <v/>
      </c>
      <c r="D180" s="82">
        <f>'COMPOSIÇÃO DE VALORES'!D180</f>
        <v/>
      </c>
      <c r="E180" s="82">
        <f>'COMPOSIÇÃO DE VALORES'!G180</f>
        <v/>
      </c>
      <c r="F180" s="82">
        <f>'COMPOSIÇÃO DE VALORES'!H180</f>
        <v/>
      </c>
      <c r="G180" s="83">
        <f>'COMPOSIÇÃO DE VALORES'!L180</f>
        <v/>
      </c>
      <c r="H180" s="83">
        <f>G180*B180</f>
        <v/>
      </c>
      <c r="I180" s="82">
        <f>IF(('COMPOSIÇÃO DE VALORES'!M180)=0,"-",('COMPOSIÇÃO DE VALORES'!M180))</f>
        <v/>
      </c>
    </row>
    <row r="181" hidden="1">
      <c r="A181" s="81" t="n">
        <v>171</v>
      </c>
      <c r="B181" s="82">
        <f>'COMPOSIÇÃO DE VALORES'!B181</f>
        <v/>
      </c>
      <c r="C181" s="82">
        <f>'COMPOSIÇÃO DE VALORES'!C181</f>
        <v/>
      </c>
      <c r="D181" s="82">
        <f>'COMPOSIÇÃO DE VALORES'!D181</f>
        <v/>
      </c>
      <c r="E181" s="82">
        <f>'COMPOSIÇÃO DE VALORES'!G181</f>
        <v/>
      </c>
      <c r="F181" s="82">
        <f>'COMPOSIÇÃO DE VALORES'!H181</f>
        <v/>
      </c>
      <c r="G181" s="83">
        <f>'COMPOSIÇÃO DE VALORES'!L181</f>
        <v/>
      </c>
      <c r="H181" s="83">
        <f>G181*B181</f>
        <v/>
      </c>
      <c r="I181" s="82">
        <f>IF(('COMPOSIÇÃO DE VALORES'!M181)=0,"-",('COMPOSIÇÃO DE VALORES'!M181))</f>
        <v/>
      </c>
    </row>
    <row r="182" hidden="1">
      <c r="A182" s="81" t="n">
        <v>172</v>
      </c>
      <c r="B182" s="82">
        <f>'COMPOSIÇÃO DE VALORES'!B182</f>
        <v/>
      </c>
      <c r="C182" s="82">
        <f>'COMPOSIÇÃO DE VALORES'!C182</f>
        <v/>
      </c>
      <c r="D182" s="82">
        <f>'COMPOSIÇÃO DE VALORES'!D182</f>
        <v/>
      </c>
      <c r="E182" s="82">
        <f>'COMPOSIÇÃO DE VALORES'!G182</f>
        <v/>
      </c>
      <c r="F182" s="82">
        <f>'COMPOSIÇÃO DE VALORES'!H182</f>
        <v/>
      </c>
      <c r="G182" s="83">
        <f>'COMPOSIÇÃO DE VALORES'!L182</f>
        <v/>
      </c>
      <c r="H182" s="83">
        <f>G182*B182</f>
        <v/>
      </c>
      <c r="I182" s="82">
        <f>IF(('COMPOSIÇÃO DE VALORES'!M182)=0,"-",('COMPOSIÇÃO DE VALORES'!M182))</f>
        <v/>
      </c>
    </row>
    <row r="183" hidden="1">
      <c r="A183" s="81" t="n">
        <v>173</v>
      </c>
      <c r="B183" s="82">
        <f>'COMPOSIÇÃO DE VALORES'!B183</f>
        <v/>
      </c>
      <c r="C183" s="82">
        <f>'COMPOSIÇÃO DE VALORES'!C183</f>
        <v/>
      </c>
      <c r="D183" s="82">
        <f>'COMPOSIÇÃO DE VALORES'!D183</f>
        <v/>
      </c>
      <c r="E183" s="82">
        <f>'COMPOSIÇÃO DE VALORES'!G183</f>
        <v/>
      </c>
      <c r="F183" s="82">
        <f>'COMPOSIÇÃO DE VALORES'!H183</f>
        <v/>
      </c>
      <c r="G183" s="83">
        <f>'COMPOSIÇÃO DE VALORES'!L183</f>
        <v/>
      </c>
      <c r="H183" s="83">
        <f>G183*B183</f>
        <v/>
      </c>
      <c r="I183" s="82">
        <f>IF(('COMPOSIÇÃO DE VALORES'!M183)=0,"-",('COMPOSIÇÃO DE VALORES'!M183))</f>
        <v/>
      </c>
    </row>
    <row r="184" hidden="1">
      <c r="A184" s="81" t="n">
        <v>174</v>
      </c>
      <c r="B184" s="82">
        <f>'COMPOSIÇÃO DE VALORES'!B184</f>
        <v/>
      </c>
      <c r="C184" s="82">
        <f>'COMPOSIÇÃO DE VALORES'!C184</f>
        <v/>
      </c>
      <c r="D184" s="82">
        <f>'COMPOSIÇÃO DE VALORES'!D184</f>
        <v/>
      </c>
      <c r="E184" s="82">
        <f>'COMPOSIÇÃO DE VALORES'!G184</f>
        <v/>
      </c>
      <c r="F184" s="82">
        <f>'COMPOSIÇÃO DE VALORES'!H184</f>
        <v/>
      </c>
      <c r="G184" s="83">
        <f>'COMPOSIÇÃO DE VALORES'!L184</f>
        <v/>
      </c>
      <c r="H184" s="83">
        <f>G184*B184</f>
        <v/>
      </c>
      <c r="I184" s="82">
        <f>IF(('COMPOSIÇÃO DE VALORES'!M184)=0,"-",('COMPOSIÇÃO DE VALORES'!M184))</f>
        <v/>
      </c>
    </row>
    <row r="185" hidden="1">
      <c r="A185" s="81" t="n">
        <v>175</v>
      </c>
      <c r="B185" s="82">
        <f>'COMPOSIÇÃO DE VALORES'!B185</f>
        <v/>
      </c>
      <c r="C185" s="82">
        <f>'COMPOSIÇÃO DE VALORES'!C185</f>
        <v/>
      </c>
      <c r="D185" s="82">
        <f>'COMPOSIÇÃO DE VALORES'!D185</f>
        <v/>
      </c>
      <c r="E185" s="82">
        <f>'COMPOSIÇÃO DE VALORES'!G185</f>
        <v/>
      </c>
      <c r="F185" s="82">
        <f>'COMPOSIÇÃO DE VALORES'!H185</f>
        <v/>
      </c>
      <c r="G185" s="83">
        <f>'COMPOSIÇÃO DE VALORES'!L185</f>
        <v/>
      </c>
      <c r="H185" s="83">
        <f>G185*B185</f>
        <v/>
      </c>
      <c r="I185" s="82">
        <f>IF(('COMPOSIÇÃO DE VALORES'!M185)=0,"-",('COMPOSIÇÃO DE VALORES'!M185))</f>
        <v/>
      </c>
    </row>
    <row r="186" hidden="1">
      <c r="A186" s="81" t="n">
        <v>176</v>
      </c>
      <c r="B186" s="82">
        <f>'COMPOSIÇÃO DE VALORES'!B186</f>
        <v/>
      </c>
      <c r="C186" s="82">
        <f>'COMPOSIÇÃO DE VALORES'!C186</f>
        <v/>
      </c>
      <c r="D186" s="82">
        <f>'COMPOSIÇÃO DE VALORES'!D186</f>
        <v/>
      </c>
      <c r="E186" s="82">
        <f>'COMPOSIÇÃO DE VALORES'!G186</f>
        <v/>
      </c>
      <c r="F186" s="82">
        <f>'COMPOSIÇÃO DE VALORES'!H186</f>
        <v/>
      </c>
      <c r="G186" s="83">
        <f>'COMPOSIÇÃO DE VALORES'!L186</f>
        <v/>
      </c>
      <c r="H186" s="83">
        <f>G186*B186</f>
        <v/>
      </c>
      <c r="I186" s="82">
        <f>IF(('COMPOSIÇÃO DE VALORES'!M186)=0,"-",('COMPOSIÇÃO DE VALORES'!M186))</f>
        <v/>
      </c>
    </row>
    <row r="187" hidden="1">
      <c r="A187" s="81" t="n">
        <v>177</v>
      </c>
      <c r="B187" s="82">
        <f>'COMPOSIÇÃO DE VALORES'!B187</f>
        <v/>
      </c>
      <c r="C187" s="82">
        <f>'COMPOSIÇÃO DE VALORES'!C187</f>
        <v/>
      </c>
      <c r="D187" s="82">
        <f>'COMPOSIÇÃO DE VALORES'!D187</f>
        <v/>
      </c>
      <c r="E187" s="82">
        <f>'COMPOSIÇÃO DE VALORES'!G187</f>
        <v/>
      </c>
      <c r="F187" s="82">
        <f>'COMPOSIÇÃO DE VALORES'!H187</f>
        <v/>
      </c>
      <c r="G187" s="83">
        <f>'COMPOSIÇÃO DE VALORES'!L187</f>
        <v/>
      </c>
      <c r="H187" s="83">
        <f>G187*B187</f>
        <v/>
      </c>
      <c r="I187" s="82">
        <f>IF(('COMPOSIÇÃO DE VALORES'!M187)=0,"-",('COMPOSIÇÃO DE VALORES'!M187))</f>
        <v/>
      </c>
    </row>
    <row r="188" hidden="1">
      <c r="A188" s="81" t="n">
        <v>178</v>
      </c>
      <c r="B188" s="82">
        <f>'COMPOSIÇÃO DE VALORES'!B188</f>
        <v/>
      </c>
      <c r="C188" s="82">
        <f>'COMPOSIÇÃO DE VALORES'!C188</f>
        <v/>
      </c>
      <c r="D188" s="82">
        <f>'COMPOSIÇÃO DE VALORES'!D188</f>
        <v/>
      </c>
      <c r="E188" s="82">
        <f>'COMPOSIÇÃO DE VALORES'!G188</f>
        <v/>
      </c>
      <c r="F188" s="82">
        <f>'COMPOSIÇÃO DE VALORES'!H188</f>
        <v/>
      </c>
      <c r="G188" s="83">
        <f>'COMPOSIÇÃO DE VALORES'!L188</f>
        <v/>
      </c>
      <c r="H188" s="83">
        <f>G188*B188</f>
        <v/>
      </c>
      <c r="I188" s="82">
        <f>IF(('COMPOSIÇÃO DE VALORES'!M188)=0,"-",('COMPOSIÇÃO DE VALORES'!M188))</f>
        <v/>
      </c>
    </row>
    <row r="189" hidden="1">
      <c r="A189" s="81" t="n">
        <v>179</v>
      </c>
      <c r="B189" s="82">
        <f>'COMPOSIÇÃO DE VALORES'!B189</f>
        <v/>
      </c>
      <c r="C189" s="82">
        <f>'COMPOSIÇÃO DE VALORES'!C189</f>
        <v/>
      </c>
      <c r="D189" s="82">
        <f>'COMPOSIÇÃO DE VALORES'!D189</f>
        <v/>
      </c>
      <c r="E189" s="82">
        <f>'COMPOSIÇÃO DE VALORES'!G189</f>
        <v/>
      </c>
      <c r="F189" s="82">
        <f>'COMPOSIÇÃO DE VALORES'!H189</f>
        <v/>
      </c>
      <c r="G189" s="83">
        <f>'COMPOSIÇÃO DE VALORES'!L189</f>
        <v/>
      </c>
      <c r="H189" s="83">
        <f>G189*B189</f>
        <v/>
      </c>
      <c r="I189" s="82">
        <f>IF(('COMPOSIÇÃO DE VALORES'!M189)=0,"-",('COMPOSIÇÃO DE VALORES'!M189))</f>
        <v/>
      </c>
    </row>
    <row r="190" hidden="1">
      <c r="A190" s="81" t="n">
        <v>180</v>
      </c>
      <c r="B190" s="82">
        <f>'COMPOSIÇÃO DE VALORES'!B190</f>
        <v/>
      </c>
      <c r="C190" s="82">
        <f>'COMPOSIÇÃO DE VALORES'!C190</f>
        <v/>
      </c>
      <c r="D190" s="82">
        <f>'COMPOSIÇÃO DE VALORES'!D190</f>
        <v/>
      </c>
      <c r="E190" s="82">
        <f>'COMPOSIÇÃO DE VALORES'!G190</f>
        <v/>
      </c>
      <c r="F190" s="82">
        <f>'COMPOSIÇÃO DE VALORES'!H190</f>
        <v/>
      </c>
      <c r="G190" s="83">
        <f>'COMPOSIÇÃO DE VALORES'!L190</f>
        <v/>
      </c>
      <c r="H190" s="83">
        <f>G190*B190</f>
        <v/>
      </c>
      <c r="I190" s="82">
        <f>IF(('COMPOSIÇÃO DE VALORES'!M190)=0,"-",('COMPOSIÇÃO DE VALORES'!M190))</f>
        <v/>
      </c>
    </row>
    <row r="191" hidden="1">
      <c r="A191" s="81" t="n">
        <v>181</v>
      </c>
      <c r="B191" s="82">
        <f>'COMPOSIÇÃO DE VALORES'!B191</f>
        <v/>
      </c>
      <c r="C191" s="82">
        <f>'COMPOSIÇÃO DE VALORES'!C191</f>
        <v/>
      </c>
      <c r="D191" s="82">
        <f>'COMPOSIÇÃO DE VALORES'!D191</f>
        <v/>
      </c>
      <c r="E191" s="82">
        <f>'COMPOSIÇÃO DE VALORES'!G191</f>
        <v/>
      </c>
      <c r="F191" s="82">
        <f>'COMPOSIÇÃO DE VALORES'!H191</f>
        <v/>
      </c>
      <c r="G191" s="83">
        <f>'COMPOSIÇÃO DE VALORES'!L191</f>
        <v/>
      </c>
      <c r="H191" s="83">
        <f>G191*B191</f>
        <v/>
      </c>
      <c r="I191" s="82">
        <f>IF(('COMPOSIÇÃO DE VALORES'!M191)=0,"-",('COMPOSIÇÃO DE VALORES'!M191))</f>
        <v/>
      </c>
    </row>
    <row r="192" hidden="1">
      <c r="A192" s="81" t="n">
        <v>182</v>
      </c>
      <c r="B192" s="82">
        <f>'COMPOSIÇÃO DE VALORES'!B192</f>
        <v/>
      </c>
      <c r="C192" s="82">
        <f>'COMPOSIÇÃO DE VALORES'!C192</f>
        <v/>
      </c>
      <c r="D192" s="82">
        <f>'COMPOSIÇÃO DE VALORES'!D192</f>
        <v/>
      </c>
      <c r="E192" s="82">
        <f>'COMPOSIÇÃO DE VALORES'!G192</f>
        <v/>
      </c>
      <c r="F192" s="82">
        <f>'COMPOSIÇÃO DE VALORES'!H192</f>
        <v/>
      </c>
      <c r="G192" s="83">
        <f>'COMPOSIÇÃO DE VALORES'!L192</f>
        <v/>
      </c>
      <c r="H192" s="83">
        <f>G192*B192</f>
        <v/>
      </c>
      <c r="I192" s="82">
        <f>IF(('COMPOSIÇÃO DE VALORES'!M192)=0,"-",('COMPOSIÇÃO DE VALORES'!M192))</f>
        <v/>
      </c>
    </row>
    <row r="193" hidden="1">
      <c r="A193" s="81" t="n">
        <v>183</v>
      </c>
      <c r="B193" s="82">
        <f>'COMPOSIÇÃO DE VALORES'!B193</f>
        <v/>
      </c>
      <c r="C193" s="82">
        <f>'COMPOSIÇÃO DE VALORES'!C193</f>
        <v/>
      </c>
      <c r="D193" s="82">
        <f>'COMPOSIÇÃO DE VALORES'!D193</f>
        <v/>
      </c>
      <c r="E193" s="82">
        <f>'COMPOSIÇÃO DE VALORES'!G193</f>
        <v/>
      </c>
      <c r="F193" s="82">
        <f>'COMPOSIÇÃO DE VALORES'!H193</f>
        <v/>
      </c>
      <c r="G193" s="83">
        <f>'COMPOSIÇÃO DE VALORES'!L193</f>
        <v/>
      </c>
      <c r="H193" s="83">
        <f>G193*B193</f>
        <v/>
      </c>
      <c r="I193" s="82">
        <f>IF(('COMPOSIÇÃO DE VALORES'!M193)=0,"-",('COMPOSIÇÃO DE VALORES'!M193))</f>
        <v/>
      </c>
    </row>
    <row r="194" hidden="1">
      <c r="A194" s="81" t="n">
        <v>184</v>
      </c>
      <c r="B194" s="82">
        <f>'COMPOSIÇÃO DE VALORES'!B194</f>
        <v/>
      </c>
      <c r="C194" s="82">
        <f>'COMPOSIÇÃO DE VALORES'!C194</f>
        <v/>
      </c>
      <c r="D194" s="82">
        <f>'COMPOSIÇÃO DE VALORES'!D194</f>
        <v/>
      </c>
      <c r="E194" s="82">
        <f>'COMPOSIÇÃO DE VALORES'!G194</f>
        <v/>
      </c>
      <c r="F194" s="82">
        <f>'COMPOSIÇÃO DE VALORES'!H194</f>
        <v/>
      </c>
      <c r="G194" s="83">
        <f>'COMPOSIÇÃO DE VALORES'!L194</f>
        <v/>
      </c>
      <c r="H194" s="83">
        <f>G194*B194</f>
        <v/>
      </c>
      <c r="I194" s="82">
        <f>IF(('COMPOSIÇÃO DE VALORES'!M194)=0,"-",('COMPOSIÇÃO DE VALORES'!M194))</f>
        <v/>
      </c>
    </row>
    <row r="195" hidden="1">
      <c r="A195" s="81" t="n">
        <v>185</v>
      </c>
      <c r="B195" s="82">
        <f>'COMPOSIÇÃO DE VALORES'!B195</f>
        <v/>
      </c>
      <c r="C195" s="82">
        <f>'COMPOSIÇÃO DE VALORES'!C195</f>
        <v/>
      </c>
      <c r="D195" s="82">
        <f>'COMPOSIÇÃO DE VALORES'!D195</f>
        <v/>
      </c>
      <c r="E195" s="82">
        <f>'COMPOSIÇÃO DE VALORES'!G195</f>
        <v/>
      </c>
      <c r="F195" s="82">
        <f>'COMPOSIÇÃO DE VALORES'!H195</f>
        <v/>
      </c>
      <c r="G195" s="83">
        <f>'COMPOSIÇÃO DE VALORES'!L195</f>
        <v/>
      </c>
      <c r="H195" s="83">
        <f>G195*B195</f>
        <v/>
      </c>
      <c r="I195" s="82">
        <f>IF(('COMPOSIÇÃO DE VALORES'!M195)=0,"-",('COMPOSIÇÃO DE VALORES'!M195))</f>
        <v/>
      </c>
    </row>
    <row r="196" hidden="1">
      <c r="A196" s="81" t="n">
        <v>186</v>
      </c>
      <c r="B196" s="82">
        <f>'COMPOSIÇÃO DE VALORES'!B196</f>
        <v/>
      </c>
      <c r="C196" s="82">
        <f>'COMPOSIÇÃO DE VALORES'!C196</f>
        <v/>
      </c>
      <c r="D196" s="82">
        <f>'COMPOSIÇÃO DE VALORES'!D196</f>
        <v/>
      </c>
      <c r="E196" s="82">
        <f>'COMPOSIÇÃO DE VALORES'!G196</f>
        <v/>
      </c>
      <c r="F196" s="82">
        <f>'COMPOSIÇÃO DE VALORES'!H196</f>
        <v/>
      </c>
      <c r="G196" s="83">
        <f>'COMPOSIÇÃO DE VALORES'!L196</f>
        <v/>
      </c>
      <c r="H196" s="83">
        <f>G196*B196</f>
        <v/>
      </c>
      <c r="I196" s="82">
        <f>IF(('COMPOSIÇÃO DE VALORES'!M196)=0,"-",('COMPOSIÇÃO DE VALORES'!M196))</f>
        <v/>
      </c>
    </row>
    <row r="197" hidden="1">
      <c r="A197" s="81" t="n">
        <v>187</v>
      </c>
      <c r="B197" s="82">
        <f>'COMPOSIÇÃO DE VALORES'!B197</f>
        <v/>
      </c>
      <c r="C197" s="82">
        <f>'COMPOSIÇÃO DE VALORES'!C197</f>
        <v/>
      </c>
      <c r="D197" s="82">
        <f>'COMPOSIÇÃO DE VALORES'!D197</f>
        <v/>
      </c>
      <c r="E197" s="82">
        <f>'COMPOSIÇÃO DE VALORES'!G197</f>
        <v/>
      </c>
      <c r="F197" s="82">
        <f>'COMPOSIÇÃO DE VALORES'!H197</f>
        <v/>
      </c>
      <c r="G197" s="83">
        <f>'COMPOSIÇÃO DE VALORES'!L197</f>
        <v/>
      </c>
      <c r="H197" s="83">
        <f>G197*B197</f>
        <v/>
      </c>
      <c r="I197" s="82">
        <f>IF(('COMPOSIÇÃO DE VALORES'!M197)=0,"-",('COMPOSIÇÃO DE VALORES'!M197))</f>
        <v/>
      </c>
    </row>
    <row r="198" hidden="1">
      <c r="A198" s="81" t="n">
        <v>188</v>
      </c>
      <c r="B198" s="82">
        <f>'COMPOSIÇÃO DE VALORES'!B198</f>
        <v/>
      </c>
      <c r="C198" s="82">
        <f>'COMPOSIÇÃO DE VALORES'!C198</f>
        <v/>
      </c>
      <c r="D198" s="82">
        <f>'COMPOSIÇÃO DE VALORES'!D198</f>
        <v/>
      </c>
      <c r="E198" s="82">
        <f>'COMPOSIÇÃO DE VALORES'!G198</f>
        <v/>
      </c>
      <c r="F198" s="82">
        <f>'COMPOSIÇÃO DE VALORES'!H198</f>
        <v/>
      </c>
      <c r="G198" s="83">
        <f>'COMPOSIÇÃO DE VALORES'!L198</f>
        <v/>
      </c>
      <c r="H198" s="83">
        <f>G198*B198</f>
        <v/>
      </c>
      <c r="I198" s="82">
        <f>IF(('COMPOSIÇÃO DE VALORES'!M198)=0,"-",('COMPOSIÇÃO DE VALORES'!M198))</f>
        <v/>
      </c>
    </row>
    <row r="199" hidden="1">
      <c r="A199" s="81" t="n">
        <v>189</v>
      </c>
      <c r="B199" s="82">
        <f>'COMPOSIÇÃO DE VALORES'!B199</f>
        <v/>
      </c>
      <c r="C199" s="82">
        <f>'COMPOSIÇÃO DE VALORES'!C199</f>
        <v/>
      </c>
      <c r="D199" s="82">
        <f>'COMPOSIÇÃO DE VALORES'!D199</f>
        <v/>
      </c>
      <c r="E199" s="82">
        <f>'COMPOSIÇÃO DE VALORES'!G199</f>
        <v/>
      </c>
      <c r="F199" s="82">
        <f>'COMPOSIÇÃO DE VALORES'!H199</f>
        <v/>
      </c>
      <c r="G199" s="83">
        <f>'COMPOSIÇÃO DE VALORES'!L199</f>
        <v/>
      </c>
      <c r="H199" s="83">
        <f>G199*B199</f>
        <v/>
      </c>
      <c r="I199" s="82">
        <f>IF(('COMPOSIÇÃO DE VALORES'!M199)=0,"-",('COMPOSIÇÃO DE VALORES'!M199))</f>
        <v/>
      </c>
    </row>
    <row r="200" hidden="1">
      <c r="A200" s="81" t="n">
        <v>190</v>
      </c>
      <c r="B200" s="82">
        <f>'COMPOSIÇÃO DE VALORES'!B200</f>
        <v/>
      </c>
      <c r="C200" s="82">
        <f>'COMPOSIÇÃO DE VALORES'!C200</f>
        <v/>
      </c>
      <c r="D200" s="82">
        <f>'COMPOSIÇÃO DE VALORES'!D200</f>
        <v/>
      </c>
      <c r="E200" s="82">
        <f>'COMPOSIÇÃO DE VALORES'!G200</f>
        <v/>
      </c>
      <c r="F200" s="82">
        <f>'COMPOSIÇÃO DE VALORES'!H200</f>
        <v/>
      </c>
      <c r="G200" s="83">
        <f>'COMPOSIÇÃO DE VALORES'!L200</f>
        <v/>
      </c>
      <c r="H200" s="83">
        <f>G200*B200</f>
        <v/>
      </c>
      <c r="I200" s="82">
        <f>IF(('COMPOSIÇÃO DE VALORES'!M200)=0,"-",('COMPOSIÇÃO DE VALORES'!M200))</f>
        <v/>
      </c>
    </row>
    <row r="201" hidden="1">
      <c r="A201" s="81" t="n">
        <v>191</v>
      </c>
      <c r="B201" s="82">
        <f>'COMPOSIÇÃO DE VALORES'!B201</f>
        <v/>
      </c>
      <c r="C201" s="82">
        <f>'COMPOSIÇÃO DE VALORES'!C201</f>
        <v/>
      </c>
      <c r="D201" s="82">
        <f>'COMPOSIÇÃO DE VALORES'!D201</f>
        <v/>
      </c>
      <c r="E201" s="82">
        <f>'COMPOSIÇÃO DE VALORES'!G201</f>
        <v/>
      </c>
      <c r="F201" s="82">
        <f>'COMPOSIÇÃO DE VALORES'!H201</f>
        <v/>
      </c>
      <c r="G201" s="83">
        <f>'COMPOSIÇÃO DE VALORES'!L201</f>
        <v/>
      </c>
      <c r="H201" s="83">
        <f>G201*B201</f>
        <v/>
      </c>
      <c r="I201" s="82">
        <f>IF(('COMPOSIÇÃO DE VALORES'!M201)=0,"-",('COMPOSIÇÃO DE VALORES'!M201))</f>
        <v/>
      </c>
    </row>
    <row r="202" hidden="1">
      <c r="A202" s="81" t="n">
        <v>192</v>
      </c>
      <c r="B202" s="82">
        <f>'COMPOSIÇÃO DE VALORES'!B202</f>
        <v/>
      </c>
      <c r="C202" s="82">
        <f>'COMPOSIÇÃO DE VALORES'!C202</f>
        <v/>
      </c>
      <c r="D202" s="82">
        <f>'COMPOSIÇÃO DE VALORES'!D202</f>
        <v/>
      </c>
      <c r="E202" s="82">
        <f>'COMPOSIÇÃO DE VALORES'!G202</f>
        <v/>
      </c>
      <c r="F202" s="82">
        <f>'COMPOSIÇÃO DE VALORES'!H202</f>
        <v/>
      </c>
      <c r="G202" s="83">
        <f>'COMPOSIÇÃO DE VALORES'!L202</f>
        <v/>
      </c>
      <c r="H202" s="83">
        <f>G202*B202</f>
        <v/>
      </c>
      <c r="I202" s="82">
        <f>IF(('COMPOSIÇÃO DE VALORES'!M202)=0,"-",('COMPOSIÇÃO DE VALORES'!M202))</f>
        <v/>
      </c>
    </row>
    <row r="203" hidden="1">
      <c r="A203" s="81" t="n">
        <v>193</v>
      </c>
      <c r="B203" s="82">
        <f>'COMPOSIÇÃO DE VALORES'!B203</f>
        <v/>
      </c>
      <c r="C203" s="82">
        <f>'COMPOSIÇÃO DE VALORES'!C203</f>
        <v/>
      </c>
      <c r="D203" s="82">
        <f>'COMPOSIÇÃO DE VALORES'!D203</f>
        <v/>
      </c>
      <c r="E203" s="82">
        <f>'COMPOSIÇÃO DE VALORES'!G203</f>
        <v/>
      </c>
      <c r="F203" s="82">
        <f>'COMPOSIÇÃO DE VALORES'!H203</f>
        <v/>
      </c>
      <c r="G203" s="83">
        <f>'COMPOSIÇÃO DE VALORES'!L203</f>
        <v/>
      </c>
      <c r="H203" s="83">
        <f>G203*B203</f>
        <v/>
      </c>
      <c r="I203" s="82">
        <f>IF(('COMPOSIÇÃO DE VALORES'!M203)=0,"-",('COMPOSIÇÃO DE VALORES'!M203))</f>
        <v/>
      </c>
    </row>
    <row r="204" hidden="1">
      <c r="A204" s="81" t="n">
        <v>194</v>
      </c>
      <c r="B204" s="82">
        <f>'COMPOSIÇÃO DE VALORES'!B204</f>
        <v/>
      </c>
      <c r="C204" s="82">
        <f>'COMPOSIÇÃO DE VALORES'!C204</f>
        <v/>
      </c>
      <c r="D204" s="82">
        <f>'COMPOSIÇÃO DE VALORES'!D204</f>
        <v/>
      </c>
      <c r="E204" s="82">
        <f>'COMPOSIÇÃO DE VALORES'!G204</f>
        <v/>
      </c>
      <c r="F204" s="82">
        <f>'COMPOSIÇÃO DE VALORES'!H204</f>
        <v/>
      </c>
      <c r="G204" s="83">
        <f>'COMPOSIÇÃO DE VALORES'!L204</f>
        <v/>
      </c>
      <c r="H204" s="83">
        <f>G204*B204</f>
        <v/>
      </c>
      <c r="I204" s="82">
        <f>IF(('COMPOSIÇÃO DE VALORES'!M204)=0,"-",('COMPOSIÇÃO DE VALORES'!M204))</f>
        <v/>
      </c>
    </row>
    <row r="205" hidden="1">
      <c r="A205" s="81" t="n">
        <v>195</v>
      </c>
      <c r="B205" s="82">
        <f>'COMPOSIÇÃO DE VALORES'!B205</f>
        <v/>
      </c>
      <c r="C205" s="82">
        <f>'COMPOSIÇÃO DE VALORES'!C205</f>
        <v/>
      </c>
      <c r="D205" s="82">
        <f>'COMPOSIÇÃO DE VALORES'!D205</f>
        <v/>
      </c>
      <c r="E205" s="82">
        <f>'COMPOSIÇÃO DE VALORES'!G205</f>
        <v/>
      </c>
      <c r="F205" s="82">
        <f>'COMPOSIÇÃO DE VALORES'!H205</f>
        <v/>
      </c>
      <c r="G205" s="83">
        <f>'COMPOSIÇÃO DE VALORES'!L205</f>
        <v/>
      </c>
      <c r="H205" s="83">
        <f>G205*B205</f>
        <v/>
      </c>
      <c r="I205" s="82">
        <f>IF(('COMPOSIÇÃO DE VALORES'!M205)=0,"-",('COMPOSIÇÃO DE VALORES'!M205))</f>
        <v/>
      </c>
    </row>
    <row r="206" hidden="1">
      <c r="A206" s="81" t="n">
        <v>196</v>
      </c>
      <c r="B206" s="82">
        <f>'COMPOSIÇÃO DE VALORES'!B206</f>
        <v/>
      </c>
      <c r="C206" s="82">
        <f>'COMPOSIÇÃO DE VALORES'!C206</f>
        <v/>
      </c>
      <c r="D206" s="82">
        <f>'COMPOSIÇÃO DE VALORES'!D206</f>
        <v/>
      </c>
      <c r="E206" s="82">
        <f>'COMPOSIÇÃO DE VALORES'!G206</f>
        <v/>
      </c>
      <c r="F206" s="82">
        <f>'COMPOSIÇÃO DE VALORES'!H206</f>
        <v/>
      </c>
      <c r="G206" s="83">
        <f>'COMPOSIÇÃO DE VALORES'!L206</f>
        <v/>
      </c>
      <c r="H206" s="83">
        <f>G206*B206</f>
        <v/>
      </c>
      <c r="I206" s="82">
        <f>IF(('COMPOSIÇÃO DE VALORES'!M206)=0,"-",('COMPOSIÇÃO DE VALORES'!M206))</f>
        <v/>
      </c>
    </row>
    <row r="207" hidden="1">
      <c r="A207" s="81" t="n">
        <v>197</v>
      </c>
      <c r="B207" s="82">
        <f>'COMPOSIÇÃO DE VALORES'!B207</f>
        <v/>
      </c>
      <c r="C207" s="82">
        <f>'COMPOSIÇÃO DE VALORES'!C207</f>
        <v/>
      </c>
      <c r="D207" s="82">
        <f>'COMPOSIÇÃO DE VALORES'!D207</f>
        <v/>
      </c>
      <c r="E207" s="82">
        <f>'COMPOSIÇÃO DE VALORES'!G207</f>
        <v/>
      </c>
      <c r="F207" s="82">
        <f>'COMPOSIÇÃO DE VALORES'!H207</f>
        <v/>
      </c>
      <c r="G207" s="83">
        <f>'COMPOSIÇÃO DE VALORES'!L207</f>
        <v/>
      </c>
      <c r="H207" s="83">
        <f>G207*B207</f>
        <v/>
      </c>
      <c r="I207" s="82">
        <f>IF(('COMPOSIÇÃO DE VALORES'!M207)=0,"-",('COMPOSIÇÃO DE VALORES'!M207))</f>
        <v/>
      </c>
    </row>
    <row r="208" hidden="1">
      <c r="A208" s="81" t="n">
        <v>198</v>
      </c>
      <c r="B208" s="82">
        <f>'COMPOSIÇÃO DE VALORES'!B208</f>
        <v/>
      </c>
      <c r="C208" s="82">
        <f>'COMPOSIÇÃO DE VALORES'!C208</f>
        <v/>
      </c>
      <c r="D208" s="82">
        <f>'COMPOSIÇÃO DE VALORES'!D208</f>
        <v/>
      </c>
      <c r="E208" s="82">
        <f>'COMPOSIÇÃO DE VALORES'!G208</f>
        <v/>
      </c>
      <c r="F208" s="82">
        <f>'COMPOSIÇÃO DE VALORES'!H208</f>
        <v/>
      </c>
      <c r="G208" s="83">
        <f>'COMPOSIÇÃO DE VALORES'!L208</f>
        <v/>
      </c>
      <c r="H208" s="83">
        <f>G208*B208</f>
        <v/>
      </c>
      <c r="I208" s="82">
        <f>IF(('COMPOSIÇÃO DE VALORES'!M208)=0,"-",('COMPOSIÇÃO DE VALORES'!M208))</f>
        <v/>
      </c>
    </row>
    <row r="209" hidden="1">
      <c r="A209" s="81" t="n">
        <v>199</v>
      </c>
      <c r="B209" s="82">
        <f>'COMPOSIÇÃO DE VALORES'!B209</f>
        <v/>
      </c>
      <c r="C209" s="82">
        <f>'COMPOSIÇÃO DE VALORES'!C209</f>
        <v/>
      </c>
      <c r="D209" s="82">
        <f>'COMPOSIÇÃO DE VALORES'!D209</f>
        <v/>
      </c>
      <c r="E209" s="82">
        <f>'COMPOSIÇÃO DE VALORES'!G209</f>
        <v/>
      </c>
      <c r="F209" s="82">
        <f>'COMPOSIÇÃO DE VALORES'!H209</f>
        <v/>
      </c>
      <c r="G209" s="83">
        <f>'COMPOSIÇÃO DE VALORES'!L209</f>
        <v/>
      </c>
      <c r="H209" s="83">
        <f>G209*B209</f>
        <v/>
      </c>
      <c r="I209" s="82">
        <f>IF(('COMPOSIÇÃO DE VALORES'!M209)=0,"-",('COMPOSIÇÃO DE VALORES'!M209))</f>
        <v/>
      </c>
    </row>
    <row r="210" hidden="1">
      <c r="A210" s="81" t="n">
        <v>200</v>
      </c>
      <c r="B210" s="82">
        <f>'COMPOSIÇÃO DE VALORES'!B210</f>
        <v/>
      </c>
      <c r="C210" s="82">
        <f>'COMPOSIÇÃO DE VALORES'!C210</f>
        <v/>
      </c>
      <c r="D210" s="82">
        <f>'COMPOSIÇÃO DE VALORES'!D210</f>
        <v/>
      </c>
      <c r="E210" s="82">
        <f>'COMPOSIÇÃO DE VALORES'!G210</f>
        <v/>
      </c>
      <c r="F210" s="82">
        <f>'COMPOSIÇÃO DE VALORES'!H210</f>
        <v/>
      </c>
      <c r="G210" s="83">
        <f>'COMPOSIÇÃO DE VALORES'!L210</f>
        <v/>
      </c>
      <c r="H210" s="83">
        <f>G210*B210</f>
        <v/>
      </c>
      <c r="I210" s="82">
        <f>IF(('COMPOSIÇÃO DE VALORES'!M210)=0,"-",('COMPOSIÇÃO DE VALORES'!M210))</f>
        <v/>
      </c>
    </row>
    <row r="211" hidden="1">
      <c r="A211" s="81" t="n">
        <v>201</v>
      </c>
      <c r="B211" s="82">
        <f>'COMPOSIÇÃO DE VALORES'!B211</f>
        <v/>
      </c>
      <c r="C211" s="82">
        <f>'COMPOSIÇÃO DE VALORES'!C211</f>
        <v/>
      </c>
      <c r="D211" s="82">
        <f>'COMPOSIÇÃO DE VALORES'!D211</f>
        <v/>
      </c>
      <c r="E211" s="82">
        <f>'COMPOSIÇÃO DE VALORES'!G211</f>
        <v/>
      </c>
      <c r="F211" s="82">
        <f>'COMPOSIÇÃO DE VALORES'!H211</f>
        <v/>
      </c>
      <c r="G211" s="83">
        <f>'COMPOSIÇÃO DE VALORES'!L211</f>
        <v/>
      </c>
      <c r="H211" s="83">
        <f>G211*B211</f>
        <v/>
      </c>
      <c r="I211" s="82">
        <f>IF(('COMPOSIÇÃO DE VALORES'!M211)=0,"-",('COMPOSIÇÃO DE VALORES'!M211))</f>
        <v/>
      </c>
    </row>
    <row r="212" hidden="1">
      <c r="A212" s="81" t="n">
        <v>202</v>
      </c>
      <c r="B212" s="82">
        <f>'COMPOSIÇÃO DE VALORES'!B212</f>
        <v/>
      </c>
      <c r="C212" s="82">
        <f>'COMPOSIÇÃO DE VALORES'!C212</f>
        <v/>
      </c>
      <c r="D212" s="82">
        <f>'COMPOSIÇÃO DE VALORES'!D212</f>
        <v/>
      </c>
      <c r="E212" s="82">
        <f>'COMPOSIÇÃO DE VALORES'!G212</f>
        <v/>
      </c>
      <c r="F212" s="82">
        <f>'COMPOSIÇÃO DE VALORES'!H212</f>
        <v/>
      </c>
      <c r="G212" s="83">
        <f>'COMPOSIÇÃO DE VALORES'!L212</f>
        <v/>
      </c>
      <c r="H212" s="83">
        <f>G212*B212</f>
        <v/>
      </c>
      <c r="I212" s="82">
        <f>IF(('COMPOSIÇÃO DE VALORES'!M212)=0,"-",('COMPOSIÇÃO DE VALORES'!M212))</f>
        <v/>
      </c>
    </row>
    <row r="213" hidden="1">
      <c r="A213" s="81" t="n">
        <v>203</v>
      </c>
      <c r="B213" s="82">
        <f>'COMPOSIÇÃO DE VALORES'!B213</f>
        <v/>
      </c>
      <c r="C213" s="82">
        <f>'COMPOSIÇÃO DE VALORES'!C213</f>
        <v/>
      </c>
      <c r="D213" s="82">
        <f>'COMPOSIÇÃO DE VALORES'!D213</f>
        <v/>
      </c>
      <c r="E213" s="82">
        <f>'COMPOSIÇÃO DE VALORES'!G213</f>
        <v/>
      </c>
      <c r="F213" s="82">
        <f>'COMPOSIÇÃO DE VALORES'!H213</f>
        <v/>
      </c>
      <c r="G213" s="83">
        <f>'COMPOSIÇÃO DE VALORES'!L213</f>
        <v/>
      </c>
      <c r="H213" s="83">
        <f>G213*B213</f>
        <v/>
      </c>
      <c r="I213" s="82">
        <f>IF(('COMPOSIÇÃO DE VALORES'!M213)=0,"-",('COMPOSIÇÃO DE VALORES'!M213))</f>
        <v/>
      </c>
    </row>
    <row r="214" hidden="1">
      <c r="A214" s="81" t="n">
        <v>204</v>
      </c>
      <c r="B214" s="82">
        <f>'COMPOSIÇÃO DE VALORES'!B214</f>
        <v/>
      </c>
      <c r="C214" s="82">
        <f>'COMPOSIÇÃO DE VALORES'!C214</f>
        <v/>
      </c>
      <c r="D214" s="82">
        <f>'COMPOSIÇÃO DE VALORES'!D214</f>
        <v/>
      </c>
      <c r="E214" s="82">
        <f>'COMPOSIÇÃO DE VALORES'!G214</f>
        <v/>
      </c>
      <c r="F214" s="82">
        <f>'COMPOSIÇÃO DE VALORES'!H214</f>
        <v/>
      </c>
      <c r="G214" s="83">
        <f>'COMPOSIÇÃO DE VALORES'!L214</f>
        <v/>
      </c>
      <c r="H214" s="83">
        <f>G214*B214</f>
        <v/>
      </c>
      <c r="I214" s="82">
        <f>IF(('COMPOSIÇÃO DE VALORES'!M214)=0,"-",('COMPOSIÇÃO DE VALORES'!M214))</f>
        <v/>
      </c>
    </row>
    <row r="215" hidden="1">
      <c r="A215" s="81" t="n">
        <v>205</v>
      </c>
      <c r="B215" s="82">
        <f>'COMPOSIÇÃO DE VALORES'!B215</f>
        <v/>
      </c>
      <c r="C215" s="82">
        <f>'COMPOSIÇÃO DE VALORES'!C215</f>
        <v/>
      </c>
      <c r="D215" s="82">
        <f>'COMPOSIÇÃO DE VALORES'!D215</f>
        <v/>
      </c>
      <c r="E215" s="82">
        <f>'COMPOSIÇÃO DE VALORES'!G215</f>
        <v/>
      </c>
      <c r="F215" s="82">
        <f>'COMPOSIÇÃO DE VALORES'!H215</f>
        <v/>
      </c>
      <c r="G215" s="83">
        <f>'COMPOSIÇÃO DE VALORES'!L215</f>
        <v/>
      </c>
      <c r="H215" s="83">
        <f>G215*B215</f>
        <v/>
      </c>
      <c r="I215" s="82">
        <f>IF(('COMPOSIÇÃO DE VALORES'!M215)=0,"-",('COMPOSIÇÃO DE VALORES'!M215))</f>
        <v/>
      </c>
    </row>
    <row r="216" hidden="1">
      <c r="A216" s="81" t="n">
        <v>206</v>
      </c>
      <c r="B216" s="82">
        <f>'COMPOSIÇÃO DE VALORES'!B216</f>
        <v/>
      </c>
      <c r="C216" s="82">
        <f>'COMPOSIÇÃO DE VALORES'!C216</f>
        <v/>
      </c>
      <c r="D216" s="82">
        <f>'COMPOSIÇÃO DE VALORES'!D216</f>
        <v/>
      </c>
      <c r="E216" s="82">
        <f>'COMPOSIÇÃO DE VALORES'!G216</f>
        <v/>
      </c>
      <c r="F216" s="82">
        <f>'COMPOSIÇÃO DE VALORES'!H216</f>
        <v/>
      </c>
      <c r="G216" s="83">
        <f>'COMPOSIÇÃO DE VALORES'!L216</f>
        <v/>
      </c>
      <c r="H216" s="83">
        <f>G216*B216</f>
        <v/>
      </c>
      <c r="I216" s="82">
        <f>IF(('COMPOSIÇÃO DE VALORES'!M216)=0,"-",('COMPOSIÇÃO DE VALORES'!M216))</f>
        <v/>
      </c>
    </row>
    <row r="217" hidden="1">
      <c r="A217" s="81" t="n">
        <v>207</v>
      </c>
      <c r="B217" s="82">
        <f>'COMPOSIÇÃO DE VALORES'!B217</f>
        <v/>
      </c>
      <c r="C217" s="82">
        <f>'COMPOSIÇÃO DE VALORES'!C217</f>
        <v/>
      </c>
      <c r="D217" s="82">
        <f>'COMPOSIÇÃO DE VALORES'!D217</f>
        <v/>
      </c>
      <c r="E217" s="82">
        <f>'COMPOSIÇÃO DE VALORES'!G217</f>
        <v/>
      </c>
      <c r="F217" s="82">
        <f>'COMPOSIÇÃO DE VALORES'!H217</f>
        <v/>
      </c>
      <c r="G217" s="83">
        <f>'COMPOSIÇÃO DE VALORES'!L217</f>
        <v/>
      </c>
      <c r="H217" s="83">
        <f>G217*B217</f>
        <v/>
      </c>
      <c r="I217" s="82">
        <f>IF(('COMPOSIÇÃO DE VALORES'!M217)=0,"-",('COMPOSIÇÃO DE VALORES'!M217))</f>
        <v/>
      </c>
    </row>
    <row r="218" hidden="1">
      <c r="A218" s="81" t="n">
        <v>208</v>
      </c>
      <c r="B218" s="82">
        <f>'COMPOSIÇÃO DE VALORES'!B218</f>
        <v/>
      </c>
      <c r="C218" s="82">
        <f>'COMPOSIÇÃO DE VALORES'!C218</f>
        <v/>
      </c>
      <c r="D218" s="82">
        <f>'COMPOSIÇÃO DE VALORES'!D218</f>
        <v/>
      </c>
      <c r="E218" s="82">
        <f>'COMPOSIÇÃO DE VALORES'!G218</f>
        <v/>
      </c>
      <c r="F218" s="82">
        <f>'COMPOSIÇÃO DE VALORES'!H218</f>
        <v/>
      </c>
      <c r="G218" s="83">
        <f>'COMPOSIÇÃO DE VALORES'!L218</f>
        <v/>
      </c>
      <c r="H218" s="83">
        <f>G218*B218</f>
        <v/>
      </c>
      <c r="I218" s="82">
        <f>IF(('COMPOSIÇÃO DE VALORES'!M218)=0,"-",('COMPOSIÇÃO DE VALORES'!M218))</f>
        <v/>
      </c>
    </row>
    <row r="219" hidden="1">
      <c r="A219" s="81" t="n">
        <v>209</v>
      </c>
      <c r="B219" s="82">
        <f>'COMPOSIÇÃO DE VALORES'!B219</f>
        <v/>
      </c>
      <c r="C219" s="82">
        <f>'COMPOSIÇÃO DE VALORES'!C219</f>
        <v/>
      </c>
      <c r="D219" s="82">
        <f>'COMPOSIÇÃO DE VALORES'!D219</f>
        <v/>
      </c>
      <c r="E219" s="82">
        <f>'COMPOSIÇÃO DE VALORES'!G219</f>
        <v/>
      </c>
      <c r="F219" s="82">
        <f>'COMPOSIÇÃO DE VALORES'!H219</f>
        <v/>
      </c>
      <c r="G219" s="83">
        <f>'COMPOSIÇÃO DE VALORES'!L219</f>
        <v/>
      </c>
      <c r="H219" s="83">
        <f>G219*B219</f>
        <v/>
      </c>
      <c r="I219" s="82">
        <f>IF(('COMPOSIÇÃO DE VALORES'!M219)=0,"-",('COMPOSIÇÃO DE VALORES'!M219))</f>
        <v/>
      </c>
    </row>
    <row r="220" hidden="1">
      <c r="A220" s="81" t="n">
        <v>210</v>
      </c>
      <c r="B220" s="82">
        <f>'COMPOSIÇÃO DE VALORES'!B220</f>
        <v/>
      </c>
      <c r="C220" s="82">
        <f>'COMPOSIÇÃO DE VALORES'!C220</f>
        <v/>
      </c>
      <c r="D220" s="82">
        <f>'COMPOSIÇÃO DE VALORES'!D220</f>
        <v/>
      </c>
      <c r="E220" s="82">
        <f>'COMPOSIÇÃO DE VALORES'!G220</f>
        <v/>
      </c>
      <c r="F220" s="82">
        <f>'COMPOSIÇÃO DE VALORES'!H220</f>
        <v/>
      </c>
      <c r="G220" s="83">
        <f>'COMPOSIÇÃO DE VALORES'!L220</f>
        <v/>
      </c>
      <c r="H220" s="83">
        <f>G220*B220</f>
        <v/>
      </c>
      <c r="I220" s="82">
        <f>IF(('COMPOSIÇÃO DE VALORES'!M220)=0,"-",('COMPOSIÇÃO DE VALORES'!M220))</f>
        <v/>
      </c>
    </row>
    <row r="221" hidden="1">
      <c r="A221" s="81" t="n">
        <v>211</v>
      </c>
      <c r="B221" s="82">
        <f>'COMPOSIÇÃO DE VALORES'!B221</f>
        <v/>
      </c>
      <c r="C221" s="82">
        <f>'COMPOSIÇÃO DE VALORES'!C221</f>
        <v/>
      </c>
      <c r="D221" s="82">
        <f>'COMPOSIÇÃO DE VALORES'!D221</f>
        <v/>
      </c>
      <c r="E221" s="82">
        <f>'COMPOSIÇÃO DE VALORES'!G221</f>
        <v/>
      </c>
      <c r="F221" s="82">
        <f>'COMPOSIÇÃO DE VALORES'!H221</f>
        <v/>
      </c>
      <c r="G221" s="83">
        <f>'COMPOSIÇÃO DE VALORES'!L221</f>
        <v/>
      </c>
      <c r="H221" s="83">
        <f>G221*B221</f>
        <v/>
      </c>
      <c r="I221" s="82">
        <f>IF(('COMPOSIÇÃO DE VALORES'!M221)=0,"-",('COMPOSIÇÃO DE VALORES'!M221))</f>
        <v/>
      </c>
    </row>
    <row r="222" hidden="1">
      <c r="A222" s="81" t="n">
        <v>212</v>
      </c>
      <c r="B222" s="82">
        <f>'COMPOSIÇÃO DE VALORES'!B222</f>
        <v/>
      </c>
      <c r="C222" s="82">
        <f>'COMPOSIÇÃO DE VALORES'!C222</f>
        <v/>
      </c>
      <c r="D222" s="82">
        <f>'COMPOSIÇÃO DE VALORES'!D222</f>
        <v/>
      </c>
      <c r="E222" s="82">
        <f>'COMPOSIÇÃO DE VALORES'!G222</f>
        <v/>
      </c>
      <c r="F222" s="82">
        <f>'COMPOSIÇÃO DE VALORES'!H222</f>
        <v/>
      </c>
      <c r="G222" s="83">
        <f>'COMPOSIÇÃO DE VALORES'!L222</f>
        <v/>
      </c>
      <c r="H222" s="83">
        <f>G222*B222</f>
        <v/>
      </c>
      <c r="I222" s="82">
        <f>IF(('COMPOSIÇÃO DE VALORES'!M222)=0,"-",('COMPOSIÇÃO DE VALORES'!M222))</f>
        <v/>
      </c>
    </row>
    <row r="223" hidden="1">
      <c r="A223" s="81" t="n">
        <v>213</v>
      </c>
      <c r="B223" s="82">
        <f>'COMPOSIÇÃO DE VALORES'!B223</f>
        <v/>
      </c>
      <c r="C223" s="82">
        <f>'COMPOSIÇÃO DE VALORES'!C223</f>
        <v/>
      </c>
      <c r="D223" s="82">
        <f>'COMPOSIÇÃO DE VALORES'!D223</f>
        <v/>
      </c>
      <c r="E223" s="82">
        <f>'COMPOSIÇÃO DE VALORES'!G223</f>
        <v/>
      </c>
      <c r="F223" s="82">
        <f>'COMPOSIÇÃO DE VALORES'!H223</f>
        <v/>
      </c>
      <c r="G223" s="83">
        <f>'COMPOSIÇÃO DE VALORES'!L223</f>
        <v/>
      </c>
      <c r="H223" s="83">
        <f>G223*B223</f>
        <v/>
      </c>
      <c r="I223" s="82">
        <f>IF(('COMPOSIÇÃO DE VALORES'!M223)=0,"-",('COMPOSIÇÃO DE VALORES'!M223))</f>
        <v/>
      </c>
    </row>
    <row r="224" hidden="1">
      <c r="A224" s="81" t="n">
        <v>214</v>
      </c>
      <c r="B224" s="82">
        <f>'COMPOSIÇÃO DE VALORES'!B224</f>
        <v/>
      </c>
      <c r="C224" s="82">
        <f>'COMPOSIÇÃO DE VALORES'!C224</f>
        <v/>
      </c>
      <c r="D224" s="82">
        <f>'COMPOSIÇÃO DE VALORES'!D224</f>
        <v/>
      </c>
      <c r="E224" s="82">
        <f>'COMPOSIÇÃO DE VALORES'!G224</f>
        <v/>
      </c>
      <c r="F224" s="82">
        <f>'COMPOSIÇÃO DE VALORES'!H224</f>
        <v/>
      </c>
      <c r="G224" s="83">
        <f>'COMPOSIÇÃO DE VALORES'!L224</f>
        <v/>
      </c>
      <c r="H224" s="83">
        <f>G224*B224</f>
        <v/>
      </c>
      <c r="I224" s="82">
        <f>IF(('COMPOSIÇÃO DE VALORES'!M224)=0,"-",('COMPOSIÇÃO DE VALORES'!M224))</f>
        <v/>
      </c>
    </row>
    <row r="225" hidden="1">
      <c r="A225" s="81" t="n">
        <v>215</v>
      </c>
      <c r="B225" s="82">
        <f>'COMPOSIÇÃO DE VALORES'!B225</f>
        <v/>
      </c>
      <c r="C225" s="82">
        <f>'COMPOSIÇÃO DE VALORES'!C225</f>
        <v/>
      </c>
      <c r="D225" s="82">
        <f>'COMPOSIÇÃO DE VALORES'!D225</f>
        <v/>
      </c>
      <c r="E225" s="82">
        <f>'COMPOSIÇÃO DE VALORES'!G225</f>
        <v/>
      </c>
      <c r="F225" s="82">
        <f>'COMPOSIÇÃO DE VALORES'!H225</f>
        <v/>
      </c>
      <c r="G225" s="83">
        <f>'COMPOSIÇÃO DE VALORES'!L225</f>
        <v/>
      </c>
      <c r="H225" s="83">
        <f>G225*B225</f>
        <v/>
      </c>
      <c r="I225" s="82">
        <f>IF(('COMPOSIÇÃO DE VALORES'!M225)=0,"-",('COMPOSIÇÃO DE VALORES'!M225))</f>
        <v/>
      </c>
    </row>
    <row r="226" hidden="1">
      <c r="A226" s="81" t="n">
        <v>216</v>
      </c>
      <c r="B226" s="82">
        <f>'COMPOSIÇÃO DE VALORES'!B226</f>
        <v/>
      </c>
      <c r="C226" s="82">
        <f>'COMPOSIÇÃO DE VALORES'!C226</f>
        <v/>
      </c>
      <c r="D226" s="82">
        <f>'COMPOSIÇÃO DE VALORES'!D226</f>
        <v/>
      </c>
      <c r="E226" s="82">
        <f>'COMPOSIÇÃO DE VALORES'!G226</f>
        <v/>
      </c>
      <c r="F226" s="82">
        <f>'COMPOSIÇÃO DE VALORES'!H226</f>
        <v/>
      </c>
      <c r="G226" s="83">
        <f>'COMPOSIÇÃO DE VALORES'!L226</f>
        <v/>
      </c>
      <c r="H226" s="83">
        <f>G226*B226</f>
        <v/>
      </c>
      <c r="I226" s="82">
        <f>IF(('COMPOSIÇÃO DE VALORES'!M226)=0,"-",('COMPOSIÇÃO DE VALORES'!M226))</f>
        <v/>
      </c>
    </row>
    <row r="227" hidden="1">
      <c r="A227" s="81" t="n">
        <v>217</v>
      </c>
      <c r="B227" s="82">
        <f>'COMPOSIÇÃO DE VALORES'!B227</f>
        <v/>
      </c>
      <c r="C227" s="82">
        <f>'COMPOSIÇÃO DE VALORES'!C227</f>
        <v/>
      </c>
      <c r="D227" s="82">
        <f>'COMPOSIÇÃO DE VALORES'!D227</f>
        <v/>
      </c>
      <c r="E227" s="82">
        <f>'COMPOSIÇÃO DE VALORES'!G227</f>
        <v/>
      </c>
      <c r="F227" s="82">
        <f>'COMPOSIÇÃO DE VALORES'!H227</f>
        <v/>
      </c>
      <c r="G227" s="83">
        <f>'COMPOSIÇÃO DE VALORES'!L227</f>
        <v/>
      </c>
      <c r="H227" s="83">
        <f>G227*B227</f>
        <v/>
      </c>
      <c r="I227" s="82">
        <f>IF(('COMPOSIÇÃO DE VALORES'!M227)=0,"-",('COMPOSIÇÃO DE VALORES'!M227))</f>
        <v/>
      </c>
    </row>
    <row r="228" hidden="1">
      <c r="A228" s="81" t="n">
        <v>218</v>
      </c>
      <c r="B228" s="82">
        <f>'COMPOSIÇÃO DE VALORES'!B228</f>
        <v/>
      </c>
      <c r="C228" s="82">
        <f>'COMPOSIÇÃO DE VALORES'!C228</f>
        <v/>
      </c>
      <c r="D228" s="82">
        <f>'COMPOSIÇÃO DE VALORES'!D228</f>
        <v/>
      </c>
      <c r="E228" s="82">
        <f>'COMPOSIÇÃO DE VALORES'!G228</f>
        <v/>
      </c>
      <c r="F228" s="82">
        <f>'COMPOSIÇÃO DE VALORES'!H228</f>
        <v/>
      </c>
      <c r="G228" s="83">
        <f>'COMPOSIÇÃO DE VALORES'!L228</f>
        <v/>
      </c>
      <c r="H228" s="83">
        <f>G228*B228</f>
        <v/>
      </c>
      <c r="I228" s="82">
        <f>IF(('COMPOSIÇÃO DE VALORES'!M228)=0,"-",('COMPOSIÇÃO DE VALORES'!M228))</f>
        <v/>
      </c>
    </row>
    <row r="229" hidden="1">
      <c r="A229" s="81" t="n">
        <v>219</v>
      </c>
      <c r="B229" s="82">
        <f>'COMPOSIÇÃO DE VALORES'!B229</f>
        <v/>
      </c>
      <c r="C229" s="82">
        <f>'COMPOSIÇÃO DE VALORES'!C229</f>
        <v/>
      </c>
      <c r="D229" s="82">
        <f>'COMPOSIÇÃO DE VALORES'!D229</f>
        <v/>
      </c>
      <c r="E229" s="82">
        <f>'COMPOSIÇÃO DE VALORES'!G229</f>
        <v/>
      </c>
      <c r="F229" s="82">
        <f>'COMPOSIÇÃO DE VALORES'!H229</f>
        <v/>
      </c>
      <c r="G229" s="83">
        <f>'COMPOSIÇÃO DE VALORES'!L229</f>
        <v/>
      </c>
      <c r="H229" s="83">
        <f>G229*B229</f>
        <v/>
      </c>
      <c r="I229" s="82">
        <f>IF(('COMPOSIÇÃO DE VALORES'!M229)=0,"-",('COMPOSIÇÃO DE VALORES'!M229))</f>
        <v/>
      </c>
    </row>
    <row r="230" hidden="1">
      <c r="A230" s="81" t="n">
        <v>220</v>
      </c>
      <c r="B230" s="82">
        <f>'COMPOSIÇÃO DE VALORES'!B230</f>
        <v/>
      </c>
      <c r="C230" s="82">
        <f>'COMPOSIÇÃO DE VALORES'!C230</f>
        <v/>
      </c>
      <c r="D230" s="82">
        <f>'COMPOSIÇÃO DE VALORES'!D230</f>
        <v/>
      </c>
      <c r="E230" s="82">
        <f>'COMPOSIÇÃO DE VALORES'!G230</f>
        <v/>
      </c>
      <c r="F230" s="82">
        <f>'COMPOSIÇÃO DE VALORES'!H230</f>
        <v/>
      </c>
      <c r="G230" s="83">
        <f>'COMPOSIÇÃO DE VALORES'!L230</f>
        <v/>
      </c>
      <c r="H230" s="83">
        <f>G230*B230</f>
        <v/>
      </c>
      <c r="I230" s="82">
        <f>IF(('COMPOSIÇÃO DE VALORES'!M230)=0,"-",('COMPOSIÇÃO DE VALORES'!M230))</f>
        <v/>
      </c>
    </row>
    <row r="231" hidden="1">
      <c r="A231" s="81" t="n">
        <v>221</v>
      </c>
      <c r="B231" s="82">
        <f>'COMPOSIÇÃO DE VALORES'!B231</f>
        <v/>
      </c>
      <c r="C231" s="82">
        <f>'COMPOSIÇÃO DE VALORES'!C231</f>
        <v/>
      </c>
      <c r="D231" s="82">
        <f>'COMPOSIÇÃO DE VALORES'!D231</f>
        <v/>
      </c>
      <c r="E231" s="82">
        <f>'COMPOSIÇÃO DE VALORES'!G231</f>
        <v/>
      </c>
      <c r="F231" s="82">
        <f>'COMPOSIÇÃO DE VALORES'!H231</f>
        <v/>
      </c>
      <c r="G231" s="83">
        <f>'COMPOSIÇÃO DE VALORES'!L231</f>
        <v/>
      </c>
      <c r="H231" s="83">
        <f>G231*B231</f>
        <v/>
      </c>
      <c r="I231" s="82">
        <f>IF(('COMPOSIÇÃO DE VALORES'!M231)=0,"-",('COMPOSIÇÃO DE VALORES'!M231))</f>
        <v/>
      </c>
    </row>
    <row r="232" hidden="1">
      <c r="A232" s="81" t="n">
        <v>222</v>
      </c>
      <c r="B232" s="82">
        <f>'COMPOSIÇÃO DE VALORES'!B232</f>
        <v/>
      </c>
      <c r="C232" s="82">
        <f>'COMPOSIÇÃO DE VALORES'!C232</f>
        <v/>
      </c>
      <c r="D232" s="82">
        <f>'COMPOSIÇÃO DE VALORES'!D232</f>
        <v/>
      </c>
      <c r="E232" s="82">
        <f>'COMPOSIÇÃO DE VALORES'!G232</f>
        <v/>
      </c>
      <c r="F232" s="82">
        <f>'COMPOSIÇÃO DE VALORES'!H232</f>
        <v/>
      </c>
      <c r="G232" s="83">
        <f>'COMPOSIÇÃO DE VALORES'!L232</f>
        <v/>
      </c>
      <c r="H232" s="83">
        <f>G232*B232</f>
        <v/>
      </c>
      <c r="I232" s="82">
        <f>IF(('COMPOSIÇÃO DE VALORES'!M232)=0,"-",('COMPOSIÇÃO DE VALORES'!M232))</f>
        <v/>
      </c>
    </row>
    <row r="233" hidden="1">
      <c r="A233" s="81" t="n">
        <v>223</v>
      </c>
      <c r="B233" s="82">
        <f>'COMPOSIÇÃO DE VALORES'!B233</f>
        <v/>
      </c>
      <c r="C233" s="82">
        <f>'COMPOSIÇÃO DE VALORES'!C233</f>
        <v/>
      </c>
      <c r="D233" s="82">
        <f>'COMPOSIÇÃO DE VALORES'!D233</f>
        <v/>
      </c>
      <c r="E233" s="82">
        <f>'COMPOSIÇÃO DE VALORES'!G233</f>
        <v/>
      </c>
      <c r="F233" s="82">
        <f>'COMPOSIÇÃO DE VALORES'!H233</f>
        <v/>
      </c>
      <c r="G233" s="83">
        <f>'COMPOSIÇÃO DE VALORES'!L233</f>
        <v/>
      </c>
      <c r="H233" s="83">
        <f>G233*B233</f>
        <v/>
      </c>
      <c r="I233" s="82">
        <f>IF(('COMPOSIÇÃO DE VALORES'!M233)=0,"-",('COMPOSIÇÃO DE VALORES'!M233))</f>
        <v/>
      </c>
    </row>
    <row r="234" hidden="1">
      <c r="A234" s="81" t="n">
        <v>224</v>
      </c>
      <c r="B234" s="82">
        <f>'COMPOSIÇÃO DE VALORES'!B234</f>
        <v/>
      </c>
      <c r="C234" s="82">
        <f>'COMPOSIÇÃO DE VALORES'!C234</f>
        <v/>
      </c>
      <c r="D234" s="82">
        <f>'COMPOSIÇÃO DE VALORES'!D234</f>
        <v/>
      </c>
      <c r="E234" s="82">
        <f>'COMPOSIÇÃO DE VALORES'!G234</f>
        <v/>
      </c>
      <c r="F234" s="82">
        <f>'COMPOSIÇÃO DE VALORES'!H234</f>
        <v/>
      </c>
      <c r="G234" s="83">
        <f>'COMPOSIÇÃO DE VALORES'!L234</f>
        <v/>
      </c>
      <c r="H234" s="83">
        <f>G234*B234</f>
        <v/>
      </c>
      <c r="I234" s="82">
        <f>IF(('COMPOSIÇÃO DE VALORES'!M234)=0,"-",('COMPOSIÇÃO DE VALORES'!M234))</f>
        <v/>
      </c>
    </row>
    <row r="235" hidden="1">
      <c r="A235" s="81" t="n">
        <v>225</v>
      </c>
      <c r="B235" s="82">
        <f>'COMPOSIÇÃO DE VALORES'!B235</f>
        <v/>
      </c>
      <c r="C235" s="82">
        <f>'COMPOSIÇÃO DE VALORES'!C235</f>
        <v/>
      </c>
      <c r="D235" s="82">
        <f>'COMPOSIÇÃO DE VALORES'!D235</f>
        <v/>
      </c>
      <c r="E235" s="82">
        <f>'COMPOSIÇÃO DE VALORES'!G235</f>
        <v/>
      </c>
      <c r="F235" s="82">
        <f>'COMPOSIÇÃO DE VALORES'!H235</f>
        <v/>
      </c>
      <c r="G235" s="83">
        <f>'COMPOSIÇÃO DE VALORES'!L235</f>
        <v/>
      </c>
      <c r="H235" s="83">
        <f>G235*B235</f>
        <v/>
      </c>
      <c r="I235" s="82">
        <f>IF(('COMPOSIÇÃO DE VALORES'!M235)=0,"-",('COMPOSIÇÃO DE VALORES'!M235))</f>
        <v/>
      </c>
    </row>
    <row r="236" hidden="1">
      <c r="A236" s="81" t="n">
        <v>226</v>
      </c>
      <c r="B236" s="82">
        <f>'COMPOSIÇÃO DE VALORES'!B236</f>
        <v/>
      </c>
      <c r="C236" s="82">
        <f>'COMPOSIÇÃO DE VALORES'!C236</f>
        <v/>
      </c>
      <c r="D236" s="82">
        <f>'COMPOSIÇÃO DE VALORES'!D236</f>
        <v/>
      </c>
      <c r="E236" s="82">
        <f>'COMPOSIÇÃO DE VALORES'!G236</f>
        <v/>
      </c>
      <c r="F236" s="82">
        <f>'COMPOSIÇÃO DE VALORES'!H236</f>
        <v/>
      </c>
      <c r="G236" s="83">
        <f>'COMPOSIÇÃO DE VALORES'!L236</f>
        <v/>
      </c>
      <c r="H236" s="83">
        <f>G236*B236</f>
        <v/>
      </c>
      <c r="I236" s="82">
        <f>IF(('COMPOSIÇÃO DE VALORES'!M236)=0,"-",('COMPOSIÇÃO DE VALORES'!M236))</f>
        <v/>
      </c>
    </row>
    <row r="237" hidden="1">
      <c r="A237" s="81" t="n">
        <v>227</v>
      </c>
      <c r="B237" s="82">
        <f>'COMPOSIÇÃO DE VALORES'!B237</f>
        <v/>
      </c>
      <c r="C237" s="82">
        <f>'COMPOSIÇÃO DE VALORES'!C237</f>
        <v/>
      </c>
      <c r="D237" s="82">
        <f>'COMPOSIÇÃO DE VALORES'!D237</f>
        <v/>
      </c>
      <c r="E237" s="82">
        <f>'COMPOSIÇÃO DE VALORES'!G237</f>
        <v/>
      </c>
      <c r="F237" s="82">
        <f>'COMPOSIÇÃO DE VALORES'!H237</f>
        <v/>
      </c>
      <c r="G237" s="83">
        <f>'COMPOSIÇÃO DE VALORES'!L237</f>
        <v/>
      </c>
      <c r="H237" s="83">
        <f>G237*B237</f>
        <v/>
      </c>
      <c r="I237" s="82">
        <f>IF(('COMPOSIÇÃO DE VALORES'!M237)=0,"-",('COMPOSIÇÃO DE VALORES'!M237))</f>
        <v/>
      </c>
    </row>
    <row r="238" hidden="1">
      <c r="A238" s="81" t="n">
        <v>228</v>
      </c>
      <c r="B238" s="82">
        <f>'COMPOSIÇÃO DE VALORES'!B238</f>
        <v/>
      </c>
      <c r="C238" s="82">
        <f>'COMPOSIÇÃO DE VALORES'!C238</f>
        <v/>
      </c>
      <c r="D238" s="82">
        <f>'COMPOSIÇÃO DE VALORES'!D238</f>
        <v/>
      </c>
      <c r="E238" s="82">
        <f>'COMPOSIÇÃO DE VALORES'!G238</f>
        <v/>
      </c>
      <c r="F238" s="82">
        <f>'COMPOSIÇÃO DE VALORES'!H238</f>
        <v/>
      </c>
      <c r="G238" s="83">
        <f>'COMPOSIÇÃO DE VALORES'!L238</f>
        <v/>
      </c>
      <c r="H238" s="83">
        <f>G238*B238</f>
        <v/>
      </c>
      <c r="I238" s="82">
        <f>IF(('COMPOSIÇÃO DE VALORES'!M238)=0,"-",('COMPOSIÇÃO DE VALORES'!M238))</f>
        <v/>
      </c>
    </row>
    <row r="239" hidden="1">
      <c r="A239" s="81" t="n">
        <v>229</v>
      </c>
      <c r="B239" s="82">
        <f>'COMPOSIÇÃO DE VALORES'!B239</f>
        <v/>
      </c>
      <c r="C239" s="82">
        <f>'COMPOSIÇÃO DE VALORES'!C239</f>
        <v/>
      </c>
      <c r="D239" s="82">
        <f>'COMPOSIÇÃO DE VALORES'!D239</f>
        <v/>
      </c>
      <c r="E239" s="82">
        <f>'COMPOSIÇÃO DE VALORES'!G239</f>
        <v/>
      </c>
      <c r="F239" s="82">
        <f>'COMPOSIÇÃO DE VALORES'!H239</f>
        <v/>
      </c>
      <c r="G239" s="83">
        <f>'COMPOSIÇÃO DE VALORES'!L239</f>
        <v/>
      </c>
      <c r="H239" s="83">
        <f>G239*B239</f>
        <v/>
      </c>
      <c r="I239" s="82">
        <f>IF(('COMPOSIÇÃO DE VALORES'!M239)=0,"-",('COMPOSIÇÃO DE VALORES'!M239))</f>
        <v/>
      </c>
    </row>
    <row r="240" hidden="1">
      <c r="A240" s="81" t="n">
        <v>230</v>
      </c>
      <c r="B240" s="82">
        <f>'COMPOSIÇÃO DE VALORES'!B240</f>
        <v/>
      </c>
      <c r="C240" s="82">
        <f>'COMPOSIÇÃO DE VALORES'!C240</f>
        <v/>
      </c>
      <c r="D240" s="82">
        <f>'COMPOSIÇÃO DE VALORES'!D240</f>
        <v/>
      </c>
      <c r="E240" s="82">
        <f>'COMPOSIÇÃO DE VALORES'!G240</f>
        <v/>
      </c>
      <c r="F240" s="82">
        <f>'COMPOSIÇÃO DE VALORES'!H240</f>
        <v/>
      </c>
      <c r="G240" s="83">
        <f>'COMPOSIÇÃO DE VALORES'!L240</f>
        <v/>
      </c>
      <c r="H240" s="83">
        <f>G240*B240</f>
        <v/>
      </c>
      <c r="I240" s="82">
        <f>IF(('COMPOSIÇÃO DE VALORES'!M240)=0,"-",('COMPOSIÇÃO DE VALORES'!M240))</f>
        <v/>
      </c>
    </row>
    <row r="241" hidden="1">
      <c r="A241" s="81" t="n">
        <v>231</v>
      </c>
      <c r="B241" s="82">
        <f>'COMPOSIÇÃO DE VALORES'!B241</f>
        <v/>
      </c>
      <c r="C241" s="82">
        <f>'COMPOSIÇÃO DE VALORES'!C241</f>
        <v/>
      </c>
      <c r="D241" s="82">
        <f>'COMPOSIÇÃO DE VALORES'!D241</f>
        <v/>
      </c>
      <c r="E241" s="82">
        <f>'COMPOSIÇÃO DE VALORES'!G241</f>
        <v/>
      </c>
      <c r="F241" s="82">
        <f>'COMPOSIÇÃO DE VALORES'!H241</f>
        <v/>
      </c>
      <c r="G241" s="83">
        <f>'COMPOSIÇÃO DE VALORES'!L241</f>
        <v/>
      </c>
      <c r="H241" s="83">
        <f>G241*B241</f>
        <v/>
      </c>
      <c r="I241" s="82">
        <f>IF(('COMPOSIÇÃO DE VALORES'!M241)=0,"-",('COMPOSIÇÃO DE VALORES'!M241))</f>
        <v/>
      </c>
    </row>
    <row r="242" hidden="1">
      <c r="A242" s="81" t="n">
        <v>232</v>
      </c>
      <c r="B242" s="82">
        <f>'COMPOSIÇÃO DE VALORES'!B242</f>
        <v/>
      </c>
      <c r="C242" s="82">
        <f>'COMPOSIÇÃO DE VALORES'!C242</f>
        <v/>
      </c>
      <c r="D242" s="82">
        <f>'COMPOSIÇÃO DE VALORES'!D242</f>
        <v/>
      </c>
      <c r="E242" s="82">
        <f>'COMPOSIÇÃO DE VALORES'!G242</f>
        <v/>
      </c>
      <c r="F242" s="82">
        <f>'COMPOSIÇÃO DE VALORES'!H242</f>
        <v/>
      </c>
      <c r="G242" s="83">
        <f>'COMPOSIÇÃO DE VALORES'!L242</f>
        <v/>
      </c>
      <c r="H242" s="83">
        <f>G242*B242</f>
        <v/>
      </c>
      <c r="I242" s="82">
        <f>IF(('COMPOSIÇÃO DE VALORES'!M242)=0,"-",('COMPOSIÇÃO DE VALORES'!M242))</f>
        <v/>
      </c>
    </row>
    <row r="243" hidden="1">
      <c r="A243" s="81" t="n">
        <v>233</v>
      </c>
      <c r="B243" s="82">
        <f>'COMPOSIÇÃO DE VALORES'!B243</f>
        <v/>
      </c>
      <c r="C243" s="82">
        <f>'COMPOSIÇÃO DE VALORES'!C243</f>
        <v/>
      </c>
      <c r="D243" s="82">
        <f>'COMPOSIÇÃO DE VALORES'!D243</f>
        <v/>
      </c>
      <c r="E243" s="82">
        <f>'COMPOSIÇÃO DE VALORES'!G243</f>
        <v/>
      </c>
      <c r="F243" s="82">
        <f>'COMPOSIÇÃO DE VALORES'!H243</f>
        <v/>
      </c>
      <c r="G243" s="83">
        <f>'COMPOSIÇÃO DE VALORES'!L243</f>
        <v/>
      </c>
      <c r="H243" s="83">
        <f>G243*B243</f>
        <v/>
      </c>
      <c r="I243" s="82">
        <f>IF(('COMPOSIÇÃO DE VALORES'!M243)=0,"-",('COMPOSIÇÃO DE VALORES'!M243))</f>
        <v/>
      </c>
    </row>
    <row r="244" hidden="1">
      <c r="A244" s="81" t="n">
        <v>234</v>
      </c>
      <c r="B244" s="82">
        <f>'COMPOSIÇÃO DE VALORES'!B244</f>
        <v/>
      </c>
      <c r="C244" s="82">
        <f>'COMPOSIÇÃO DE VALORES'!C244</f>
        <v/>
      </c>
      <c r="D244" s="82">
        <f>'COMPOSIÇÃO DE VALORES'!D244</f>
        <v/>
      </c>
      <c r="E244" s="82">
        <f>'COMPOSIÇÃO DE VALORES'!G244</f>
        <v/>
      </c>
      <c r="F244" s="82">
        <f>'COMPOSIÇÃO DE VALORES'!H244</f>
        <v/>
      </c>
      <c r="G244" s="83">
        <f>'COMPOSIÇÃO DE VALORES'!L244</f>
        <v/>
      </c>
      <c r="H244" s="83">
        <f>G244*B244</f>
        <v/>
      </c>
      <c r="I244" s="82">
        <f>IF(('COMPOSIÇÃO DE VALORES'!M244)=0,"-",('COMPOSIÇÃO DE VALORES'!M244))</f>
        <v/>
      </c>
    </row>
    <row r="245" hidden="1">
      <c r="A245" s="81" t="n">
        <v>235</v>
      </c>
      <c r="B245" s="82">
        <f>'COMPOSIÇÃO DE VALORES'!B245</f>
        <v/>
      </c>
      <c r="C245" s="82">
        <f>'COMPOSIÇÃO DE VALORES'!C245</f>
        <v/>
      </c>
      <c r="D245" s="82">
        <f>'COMPOSIÇÃO DE VALORES'!D245</f>
        <v/>
      </c>
      <c r="E245" s="82">
        <f>'COMPOSIÇÃO DE VALORES'!G245</f>
        <v/>
      </c>
      <c r="F245" s="82">
        <f>'COMPOSIÇÃO DE VALORES'!H245</f>
        <v/>
      </c>
      <c r="G245" s="83">
        <f>'COMPOSIÇÃO DE VALORES'!L245</f>
        <v/>
      </c>
      <c r="H245" s="83">
        <f>G245*B245</f>
        <v/>
      </c>
      <c r="I245" s="82">
        <f>IF(('COMPOSIÇÃO DE VALORES'!M245)=0,"-",('COMPOSIÇÃO DE VALORES'!M245))</f>
        <v/>
      </c>
    </row>
    <row r="246" hidden="1">
      <c r="A246" s="81" t="n">
        <v>236</v>
      </c>
      <c r="B246" s="82">
        <f>'COMPOSIÇÃO DE VALORES'!B246</f>
        <v/>
      </c>
      <c r="C246" s="82">
        <f>'COMPOSIÇÃO DE VALORES'!C246</f>
        <v/>
      </c>
      <c r="D246" s="82">
        <f>'COMPOSIÇÃO DE VALORES'!D246</f>
        <v/>
      </c>
      <c r="E246" s="82">
        <f>'COMPOSIÇÃO DE VALORES'!G246</f>
        <v/>
      </c>
      <c r="F246" s="82">
        <f>'COMPOSIÇÃO DE VALORES'!H246</f>
        <v/>
      </c>
      <c r="G246" s="83">
        <f>'COMPOSIÇÃO DE VALORES'!L246</f>
        <v/>
      </c>
      <c r="H246" s="83">
        <f>G246*B246</f>
        <v/>
      </c>
      <c r="I246" s="82">
        <f>IF(('COMPOSIÇÃO DE VALORES'!M246)=0,"-",('COMPOSIÇÃO DE VALORES'!M246))</f>
        <v/>
      </c>
    </row>
    <row r="247" hidden="1">
      <c r="A247" s="81" t="n">
        <v>237</v>
      </c>
      <c r="B247" s="82">
        <f>'COMPOSIÇÃO DE VALORES'!B247</f>
        <v/>
      </c>
      <c r="C247" s="82">
        <f>'COMPOSIÇÃO DE VALORES'!C247</f>
        <v/>
      </c>
      <c r="D247" s="82">
        <f>'COMPOSIÇÃO DE VALORES'!D247</f>
        <v/>
      </c>
      <c r="E247" s="82">
        <f>'COMPOSIÇÃO DE VALORES'!G247</f>
        <v/>
      </c>
      <c r="F247" s="82">
        <f>'COMPOSIÇÃO DE VALORES'!H247</f>
        <v/>
      </c>
      <c r="G247" s="83">
        <f>'COMPOSIÇÃO DE VALORES'!L247</f>
        <v/>
      </c>
      <c r="H247" s="83">
        <f>G247*B247</f>
        <v/>
      </c>
      <c r="I247" s="82">
        <f>IF(('COMPOSIÇÃO DE VALORES'!M247)=0,"-",('COMPOSIÇÃO DE VALORES'!M247))</f>
        <v/>
      </c>
    </row>
    <row r="248" hidden="1">
      <c r="A248" s="81" t="n">
        <v>238</v>
      </c>
      <c r="B248" s="82">
        <f>'COMPOSIÇÃO DE VALORES'!B248</f>
        <v/>
      </c>
      <c r="C248" s="82">
        <f>'COMPOSIÇÃO DE VALORES'!C248</f>
        <v/>
      </c>
      <c r="D248" s="82">
        <f>'COMPOSIÇÃO DE VALORES'!D248</f>
        <v/>
      </c>
      <c r="E248" s="82">
        <f>'COMPOSIÇÃO DE VALORES'!G248</f>
        <v/>
      </c>
      <c r="F248" s="82">
        <f>'COMPOSIÇÃO DE VALORES'!H248</f>
        <v/>
      </c>
      <c r="G248" s="83">
        <f>'COMPOSIÇÃO DE VALORES'!L248</f>
        <v/>
      </c>
      <c r="H248" s="83">
        <f>G248*B248</f>
        <v/>
      </c>
      <c r="I248" s="82">
        <f>IF(('COMPOSIÇÃO DE VALORES'!M248)=0,"-",('COMPOSIÇÃO DE VALORES'!M248))</f>
        <v/>
      </c>
    </row>
    <row r="249" hidden="1">
      <c r="A249" s="81" t="n">
        <v>239</v>
      </c>
      <c r="B249" s="82">
        <f>'COMPOSIÇÃO DE VALORES'!B249</f>
        <v/>
      </c>
      <c r="C249" s="82">
        <f>'COMPOSIÇÃO DE VALORES'!C249</f>
        <v/>
      </c>
      <c r="D249" s="82">
        <f>'COMPOSIÇÃO DE VALORES'!D249</f>
        <v/>
      </c>
      <c r="E249" s="82">
        <f>'COMPOSIÇÃO DE VALORES'!G249</f>
        <v/>
      </c>
      <c r="F249" s="82">
        <f>'COMPOSIÇÃO DE VALORES'!H249</f>
        <v/>
      </c>
      <c r="G249" s="83">
        <f>'COMPOSIÇÃO DE VALORES'!L249</f>
        <v/>
      </c>
      <c r="H249" s="83">
        <f>G249*B249</f>
        <v/>
      </c>
      <c r="I249" s="82">
        <f>IF(('COMPOSIÇÃO DE VALORES'!M249)=0,"-",('COMPOSIÇÃO DE VALORES'!M249))</f>
        <v/>
      </c>
    </row>
    <row r="250" hidden="1">
      <c r="A250" s="81" t="n">
        <v>240</v>
      </c>
      <c r="B250" s="82">
        <f>'COMPOSIÇÃO DE VALORES'!B250</f>
        <v/>
      </c>
      <c r="C250" s="82">
        <f>'COMPOSIÇÃO DE VALORES'!C250</f>
        <v/>
      </c>
      <c r="D250" s="82">
        <f>'COMPOSIÇÃO DE VALORES'!D250</f>
        <v/>
      </c>
      <c r="E250" s="82">
        <f>'COMPOSIÇÃO DE VALORES'!G250</f>
        <v/>
      </c>
      <c r="F250" s="82">
        <f>'COMPOSIÇÃO DE VALORES'!H250</f>
        <v/>
      </c>
      <c r="G250" s="83">
        <f>'COMPOSIÇÃO DE VALORES'!L250</f>
        <v/>
      </c>
      <c r="H250" s="83">
        <f>G250*B250</f>
        <v/>
      </c>
      <c r="I250" s="82">
        <f>IF(('COMPOSIÇÃO DE VALORES'!M250)=0,"-",('COMPOSIÇÃO DE VALORES'!M250))</f>
        <v/>
      </c>
    </row>
    <row r="251" hidden="1">
      <c r="A251" s="81" t="n">
        <v>241</v>
      </c>
      <c r="B251" s="82">
        <f>'COMPOSIÇÃO DE VALORES'!B251</f>
        <v/>
      </c>
      <c r="C251" s="82">
        <f>'COMPOSIÇÃO DE VALORES'!C251</f>
        <v/>
      </c>
      <c r="D251" s="82">
        <f>'COMPOSIÇÃO DE VALORES'!D251</f>
        <v/>
      </c>
      <c r="E251" s="82">
        <f>'COMPOSIÇÃO DE VALORES'!G251</f>
        <v/>
      </c>
      <c r="F251" s="82">
        <f>'COMPOSIÇÃO DE VALORES'!H251</f>
        <v/>
      </c>
      <c r="G251" s="83">
        <f>'COMPOSIÇÃO DE VALORES'!L251</f>
        <v/>
      </c>
      <c r="H251" s="83">
        <f>G251*B251</f>
        <v/>
      </c>
      <c r="I251" s="82">
        <f>IF(('COMPOSIÇÃO DE VALORES'!M251)=0,"-",('COMPOSIÇÃO DE VALORES'!M251))</f>
        <v/>
      </c>
    </row>
    <row r="252" hidden="1">
      <c r="A252" s="81" t="n">
        <v>242</v>
      </c>
      <c r="B252" s="82">
        <f>'COMPOSIÇÃO DE VALORES'!B252</f>
        <v/>
      </c>
      <c r="C252" s="82">
        <f>'COMPOSIÇÃO DE VALORES'!C252</f>
        <v/>
      </c>
      <c r="D252" s="82">
        <f>'COMPOSIÇÃO DE VALORES'!D252</f>
        <v/>
      </c>
      <c r="E252" s="82">
        <f>'COMPOSIÇÃO DE VALORES'!G252</f>
        <v/>
      </c>
      <c r="F252" s="82">
        <f>'COMPOSIÇÃO DE VALORES'!H252</f>
        <v/>
      </c>
      <c r="G252" s="83">
        <f>'COMPOSIÇÃO DE VALORES'!L252</f>
        <v/>
      </c>
      <c r="H252" s="83">
        <f>G252*B252</f>
        <v/>
      </c>
      <c r="I252" s="82">
        <f>IF(('COMPOSIÇÃO DE VALORES'!M252)=0,"-",('COMPOSIÇÃO DE VALORES'!M252))</f>
        <v/>
      </c>
    </row>
    <row r="253" hidden="1">
      <c r="A253" s="81" t="n">
        <v>243</v>
      </c>
      <c r="B253" s="82">
        <f>'COMPOSIÇÃO DE VALORES'!B253</f>
        <v/>
      </c>
      <c r="C253" s="82">
        <f>'COMPOSIÇÃO DE VALORES'!C253</f>
        <v/>
      </c>
      <c r="D253" s="82">
        <f>'COMPOSIÇÃO DE VALORES'!D253</f>
        <v/>
      </c>
      <c r="E253" s="82">
        <f>'COMPOSIÇÃO DE VALORES'!G253</f>
        <v/>
      </c>
      <c r="F253" s="82">
        <f>'COMPOSIÇÃO DE VALORES'!H253</f>
        <v/>
      </c>
      <c r="G253" s="83">
        <f>'COMPOSIÇÃO DE VALORES'!L253</f>
        <v/>
      </c>
      <c r="H253" s="83">
        <f>G253*B253</f>
        <v/>
      </c>
      <c r="I253" s="82">
        <f>IF(('COMPOSIÇÃO DE VALORES'!M253)=0,"-",('COMPOSIÇÃO DE VALORES'!M253))</f>
        <v/>
      </c>
    </row>
    <row r="254" hidden="1">
      <c r="A254" s="81" t="n">
        <v>244</v>
      </c>
      <c r="B254" s="82">
        <f>'COMPOSIÇÃO DE VALORES'!B254</f>
        <v/>
      </c>
      <c r="C254" s="82">
        <f>'COMPOSIÇÃO DE VALORES'!C254</f>
        <v/>
      </c>
      <c r="D254" s="82">
        <f>'COMPOSIÇÃO DE VALORES'!D254</f>
        <v/>
      </c>
      <c r="E254" s="82">
        <f>'COMPOSIÇÃO DE VALORES'!G254</f>
        <v/>
      </c>
      <c r="F254" s="82">
        <f>'COMPOSIÇÃO DE VALORES'!H254</f>
        <v/>
      </c>
      <c r="G254" s="83">
        <f>'COMPOSIÇÃO DE VALORES'!L254</f>
        <v/>
      </c>
      <c r="H254" s="83">
        <f>G254*B254</f>
        <v/>
      </c>
      <c r="I254" s="82">
        <f>IF(('COMPOSIÇÃO DE VALORES'!M254)=0,"-",('COMPOSIÇÃO DE VALORES'!M254))</f>
        <v/>
      </c>
    </row>
    <row r="255" hidden="1">
      <c r="A255" s="81" t="n">
        <v>245</v>
      </c>
      <c r="B255" s="82">
        <f>'COMPOSIÇÃO DE VALORES'!B255</f>
        <v/>
      </c>
      <c r="C255" s="82">
        <f>'COMPOSIÇÃO DE VALORES'!C255</f>
        <v/>
      </c>
      <c r="D255" s="82">
        <f>'COMPOSIÇÃO DE VALORES'!D255</f>
        <v/>
      </c>
      <c r="E255" s="82">
        <f>'COMPOSIÇÃO DE VALORES'!G255</f>
        <v/>
      </c>
      <c r="F255" s="82">
        <f>'COMPOSIÇÃO DE VALORES'!H255</f>
        <v/>
      </c>
      <c r="G255" s="83">
        <f>'COMPOSIÇÃO DE VALORES'!L255</f>
        <v/>
      </c>
      <c r="H255" s="83">
        <f>G255*B255</f>
        <v/>
      </c>
      <c r="I255" s="82">
        <f>IF(('COMPOSIÇÃO DE VALORES'!M255)=0,"-",('COMPOSIÇÃO DE VALORES'!M255))</f>
        <v/>
      </c>
    </row>
    <row r="256" hidden="1">
      <c r="A256" s="81" t="n">
        <v>246</v>
      </c>
      <c r="B256" s="82">
        <f>'COMPOSIÇÃO DE VALORES'!B256</f>
        <v/>
      </c>
      <c r="C256" s="82">
        <f>'COMPOSIÇÃO DE VALORES'!C256</f>
        <v/>
      </c>
      <c r="D256" s="82">
        <f>'COMPOSIÇÃO DE VALORES'!D256</f>
        <v/>
      </c>
      <c r="E256" s="82">
        <f>'COMPOSIÇÃO DE VALORES'!G256</f>
        <v/>
      </c>
      <c r="F256" s="82">
        <f>'COMPOSIÇÃO DE VALORES'!H256</f>
        <v/>
      </c>
      <c r="G256" s="83">
        <f>'COMPOSIÇÃO DE VALORES'!L256</f>
        <v/>
      </c>
      <c r="H256" s="83">
        <f>G256*B256</f>
        <v/>
      </c>
      <c r="I256" s="82">
        <f>IF(('COMPOSIÇÃO DE VALORES'!M256)=0,"-",('COMPOSIÇÃO DE VALORES'!M256))</f>
        <v/>
      </c>
    </row>
    <row r="257" hidden="1">
      <c r="A257" s="81" t="n">
        <v>247</v>
      </c>
      <c r="B257" s="82">
        <f>'COMPOSIÇÃO DE VALORES'!B257</f>
        <v/>
      </c>
      <c r="C257" s="82">
        <f>'COMPOSIÇÃO DE VALORES'!C257</f>
        <v/>
      </c>
      <c r="D257" s="82">
        <f>'COMPOSIÇÃO DE VALORES'!D257</f>
        <v/>
      </c>
      <c r="E257" s="82">
        <f>'COMPOSIÇÃO DE VALORES'!G257</f>
        <v/>
      </c>
      <c r="F257" s="82">
        <f>'COMPOSIÇÃO DE VALORES'!H257</f>
        <v/>
      </c>
      <c r="G257" s="83">
        <f>'COMPOSIÇÃO DE VALORES'!L257</f>
        <v/>
      </c>
      <c r="H257" s="83">
        <f>G257*B257</f>
        <v/>
      </c>
      <c r="I257" s="82">
        <f>IF(('COMPOSIÇÃO DE VALORES'!M257)=0,"-",('COMPOSIÇÃO DE VALORES'!M257))</f>
        <v/>
      </c>
    </row>
    <row r="258" hidden="1">
      <c r="A258" s="81" t="n">
        <v>248</v>
      </c>
      <c r="B258" s="82">
        <f>'COMPOSIÇÃO DE VALORES'!B258</f>
        <v/>
      </c>
      <c r="C258" s="82">
        <f>'COMPOSIÇÃO DE VALORES'!C258</f>
        <v/>
      </c>
      <c r="D258" s="82">
        <f>'COMPOSIÇÃO DE VALORES'!D258</f>
        <v/>
      </c>
      <c r="E258" s="82">
        <f>'COMPOSIÇÃO DE VALORES'!G258</f>
        <v/>
      </c>
      <c r="F258" s="82">
        <f>'COMPOSIÇÃO DE VALORES'!H258</f>
        <v/>
      </c>
      <c r="G258" s="83">
        <f>'COMPOSIÇÃO DE VALORES'!L258</f>
        <v/>
      </c>
      <c r="H258" s="83">
        <f>G258*B258</f>
        <v/>
      </c>
      <c r="I258" s="82">
        <f>IF(('COMPOSIÇÃO DE VALORES'!M258)=0,"-",('COMPOSIÇÃO DE VALORES'!M258))</f>
        <v/>
      </c>
    </row>
    <row r="259" hidden="1">
      <c r="A259" s="81" t="n">
        <v>249</v>
      </c>
      <c r="B259" s="82">
        <f>'COMPOSIÇÃO DE VALORES'!B259</f>
        <v/>
      </c>
      <c r="C259" s="82">
        <f>'COMPOSIÇÃO DE VALORES'!C259</f>
        <v/>
      </c>
      <c r="D259" s="82">
        <f>'COMPOSIÇÃO DE VALORES'!D259</f>
        <v/>
      </c>
      <c r="E259" s="82">
        <f>'COMPOSIÇÃO DE VALORES'!G259</f>
        <v/>
      </c>
      <c r="F259" s="82">
        <f>'COMPOSIÇÃO DE VALORES'!H259</f>
        <v/>
      </c>
      <c r="G259" s="83">
        <f>'COMPOSIÇÃO DE VALORES'!L259</f>
        <v/>
      </c>
      <c r="H259" s="83">
        <f>G259*B259</f>
        <v/>
      </c>
      <c r="I259" s="82">
        <f>IF(('COMPOSIÇÃO DE VALORES'!M259)=0,"-",('COMPOSIÇÃO DE VALORES'!M259))</f>
        <v/>
      </c>
    </row>
    <row r="260" hidden="1">
      <c r="A260" s="81" t="n">
        <v>250</v>
      </c>
      <c r="B260" s="82">
        <f>'COMPOSIÇÃO DE VALORES'!B260</f>
        <v/>
      </c>
      <c r="C260" s="82">
        <f>'COMPOSIÇÃO DE VALORES'!C260</f>
        <v/>
      </c>
      <c r="D260" s="82">
        <f>'COMPOSIÇÃO DE VALORES'!D260</f>
        <v/>
      </c>
      <c r="E260" s="82">
        <f>'COMPOSIÇÃO DE VALORES'!G260</f>
        <v/>
      </c>
      <c r="F260" s="82">
        <f>'COMPOSIÇÃO DE VALORES'!H260</f>
        <v/>
      </c>
      <c r="G260" s="83">
        <f>'COMPOSIÇÃO DE VALORES'!L260</f>
        <v/>
      </c>
      <c r="H260" s="83">
        <f>G260*B260</f>
        <v/>
      </c>
      <c r="I260" s="82">
        <f>IF(('COMPOSIÇÃO DE VALORES'!M260)=0,"-",('COMPOSIÇÃO DE VALORES'!M260))</f>
        <v/>
      </c>
    </row>
    <row r="261" hidden="1">
      <c r="A261" s="81" t="n">
        <v>251</v>
      </c>
      <c r="B261" s="82">
        <f>'COMPOSIÇÃO DE VALORES'!B261</f>
        <v/>
      </c>
      <c r="C261" s="82">
        <f>'COMPOSIÇÃO DE VALORES'!C261</f>
        <v/>
      </c>
      <c r="D261" s="82">
        <f>'COMPOSIÇÃO DE VALORES'!D261</f>
        <v/>
      </c>
      <c r="E261" s="82">
        <f>'COMPOSIÇÃO DE VALORES'!G261</f>
        <v/>
      </c>
      <c r="F261" s="82">
        <f>'COMPOSIÇÃO DE VALORES'!H261</f>
        <v/>
      </c>
      <c r="G261" s="83">
        <f>'COMPOSIÇÃO DE VALORES'!L261</f>
        <v/>
      </c>
      <c r="H261" s="83">
        <f>G261*B261</f>
        <v/>
      </c>
      <c r="I261" s="82">
        <f>IF(('COMPOSIÇÃO DE VALORES'!M261)=0,"-",('COMPOSIÇÃO DE VALORES'!M261))</f>
        <v/>
      </c>
    </row>
    <row r="262" hidden="1">
      <c r="A262" s="81" t="n">
        <v>252</v>
      </c>
      <c r="B262" s="82">
        <f>'COMPOSIÇÃO DE VALORES'!B262</f>
        <v/>
      </c>
      <c r="C262" s="82">
        <f>'COMPOSIÇÃO DE VALORES'!C262</f>
        <v/>
      </c>
      <c r="D262" s="82">
        <f>'COMPOSIÇÃO DE VALORES'!D262</f>
        <v/>
      </c>
      <c r="E262" s="82">
        <f>'COMPOSIÇÃO DE VALORES'!G262</f>
        <v/>
      </c>
      <c r="F262" s="82">
        <f>'COMPOSIÇÃO DE VALORES'!H262</f>
        <v/>
      </c>
      <c r="G262" s="83">
        <f>'COMPOSIÇÃO DE VALORES'!L262</f>
        <v/>
      </c>
      <c r="H262" s="83">
        <f>G262*B262</f>
        <v/>
      </c>
      <c r="I262" s="82">
        <f>IF(('COMPOSIÇÃO DE VALORES'!M262)=0,"-",('COMPOSIÇÃO DE VALORES'!M262))</f>
        <v/>
      </c>
    </row>
    <row r="263" hidden="1">
      <c r="A263" s="81" t="n">
        <v>253</v>
      </c>
      <c r="B263" s="82">
        <f>'COMPOSIÇÃO DE VALORES'!B263</f>
        <v/>
      </c>
      <c r="C263" s="82">
        <f>'COMPOSIÇÃO DE VALORES'!C263</f>
        <v/>
      </c>
      <c r="D263" s="82">
        <f>'COMPOSIÇÃO DE VALORES'!D263</f>
        <v/>
      </c>
      <c r="E263" s="82">
        <f>'COMPOSIÇÃO DE VALORES'!G263</f>
        <v/>
      </c>
      <c r="F263" s="82">
        <f>'COMPOSIÇÃO DE VALORES'!H263</f>
        <v/>
      </c>
      <c r="G263" s="83">
        <f>'COMPOSIÇÃO DE VALORES'!L263</f>
        <v/>
      </c>
      <c r="H263" s="83">
        <f>G263*B263</f>
        <v/>
      </c>
      <c r="I263" s="82">
        <f>IF(('COMPOSIÇÃO DE VALORES'!M263)=0,"-",('COMPOSIÇÃO DE VALORES'!M263))</f>
        <v/>
      </c>
    </row>
    <row r="264" hidden="1">
      <c r="A264" s="81" t="n">
        <v>254</v>
      </c>
      <c r="B264" s="82">
        <f>'COMPOSIÇÃO DE VALORES'!B264</f>
        <v/>
      </c>
      <c r="C264" s="82">
        <f>'COMPOSIÇÃO DE VALORES'!C264</f>
        <v/>
      </c>
      <c r="D264" s="82">
        <f>'COMPOSIÇÃO DE VALORES'!D264</f>
        <v/>
      </c>
      <c r="E264" s="82">
        <f>'COMPOSIÇÃO DE VALORES'!G264</f>
        <v/>
      </c>
      <c r="F264" s="82">
        <f>'COMPOSIÇÃO DE VALORES'!H264</f>
        <v/>
      </c>
      <c r="G264" s="83">
        <f>'COMPOSIÇÃO DE VALORES'!L264</f>
        <v/>
      </c>
      <c r="H264" s="83">
        <f>G264*B264</f>
        <v/>
      </c>
      <c r="I264" s="82">
        <f>IF(('COMPOSIÇÃO DE VALORES'!M264)=0,"-",('COMPOSIÇÃO DE VALORES'!M264))</f>
        <v/>
      </c>
    </row>
    <row r="265" hidden="1">
      <c r="A265" s="81" t="n">
        <v>255</v>
      </c>
      <c r="B265" s="82">
        <f>'COMPOSIÇÃO DE VALORES'!B265</f>
        <v/>
      </c>
      <c r="C265" s="82">
        <f>'COMPOSIÇÃO DE VALORES'!C265</f>
        <v/>
      </c>
      <c r="D265" s="82">
        <f>'COMPOSIÇÃO DE VALORES'!D265</f>
        <v/>
      </c>
      <c r="E265" s="82">
        <f>'COMPOSIÇÃO DE VALORES'!G265</f>
        <v/>
      </c>
      <c r="F265" s="82">
        <f>'COMPOSIÇÃO DE VALORES'!H265</f>
        <v/>
      </c>
      <c r="G265" s="83">
        <f>'COMPOSIÇÃO DE VALORES'!L265</f>
        <v/>
      </c>
      <c r="H265" s="83">
        <f>G265*B265</f>
        <v/>
      </c>
      <c r="I265" s="82">
        <f>IF(('COMPOSIÇÃO DE VALORES'!M265)=0,"-",('COMPOSIÇÃO DE VALORES'!M265))</f>
        <v/>
      </c>
    </row>
    <row r="266" hidden="1">
      <c r="A266" s="81" t="n">
        <v>256</v>
      </c>
      <c r="B266" s="82">
        <f>'COMPOSIÇÃO DE VALORES'!B266</f>
        <v/>
      </c>
      <c r="C266" s="82">
        <f>'COMPOSIÇÃO DE VALORES'!C266</f>
        <v/>
      </c>
      <c r="D266" s="82">
        <f>'COMPOSIÇÃO DE VALORES'!D266</f>
        <v/>
      </c>
      <c r="E266" s="82">
        <f>'COMPOSIÇÃO DE VALORES'!G266</f>
        <v/>
      </c>
      <c r="F266" s="82">
        <f>'COMPOSIÇÃO DE VALORES'!H266</f>
        <v/>
      </c>
      <c r="G266" s="83">
        <f>'COMPOSIÇÃO DE VALORES'!L266</f>
        <v/>
      </c>
      <c r="H266" s="83">
        <f>G266*B266</f>
        <v/>
      </c>
      <c r="I266" s="82">
        <f>IF(('COMPOSIÇÃO DE VALORES'!M266)=0,"-",('COMPOSIÇÃO DE VALORES'!M266))</f>
        <v/>
      </c>
    </row>
    <row r="267" hidden="1">
      <c r="A267" s="81" t="n">
        <v>257</v>
      </c>
      <c r="B267" s="82">
        <f>'COMPOSIÇÃO DE VALORES'!B267</f>
        <v/>
      </c>
      <c r="C267" s="82">
        <f>'COMPOSIÇÃO DE VALORES'!C267</f>
        <v/>
      </c>
      <c r="D267" s="82">
        <f>'COMPOSIÇÃO DE VALORES'!D267</f>
        <v/>
      </c>
      <c r="E267" s="82">
        <f>'COMPOSIÇÃO DE VALORES'!G267</f>
        <v/>
      </c>
      <c r="F267" s="82">
        <f>'COMPOSIÇÃO DE VALORES'!H267</f>
        <v/>
      </c>
      <c r="G267" s="83">
        <f>'COMPOSIÇÃO DE VALORES'!L267</f>
        <v/>
      </c>
      <c r="H267" s="83">
        <f>G267*B267</f>
        <v/>
      </c>
      <c r="I267" s="82">
        <f>IF(('COMPOSIÇÃO DE VALORES'!M267)=0,"-",('COMPOSIÇÃO DE VALORES'!M267))</f>
        <v/>
      </c>
    </row>
    <row r="268" hidden="1">
      <c r="A268" s="81" t="n">
        <v>258</v>
      </c>
      <c r="B268" s="82">
        <f>'COMPOSIÇÃO DE VALORES'!B268</f>
        <v/>
      </c>
      <c r="C268" s="82">
        <f>'COMPOSIÇÃO DE VALORES'!C268</f>
        <v/>
      </c>
      <c r="D268" s="82">
        <f>'COMPOSIÇÃO DE VALORES'!D268</f>
        <v/>
      </c>
      <c r="E268" s="82">
        <f>'COMPOSIÇÃO DE VALORES'!G268</f>
        <v/>
      </c>
      <c r="F268" s="82">
        <f>'COMPOSIÇÃO DE VALORES'!H268</f>
        <v/>
      </c>
      <c r="G268" s="83">
        <f>'COMPOSIÇÃO DE VALORES'!L268</f>
        <v/>
      </c>
      <c r="H268" s="83">
        <f>G268*B268</f>
        <v/>
      </c>
      <c r="I268" s="82">
        <f>IF(('COMPOSIÇÃO DE VALORES'!M268)=0,"-",('COMPOSIÇÃO DE VALORES'!M268))</f>
        <v/>
      </c>
    </row>
    <row r="269" hidden="1">
      <c r="A269" s="81" t="n">
        <v>259</v>
      </c>
      <c r="B269" s="82">
        <f>'COMPOSIÇÃO DE VALORES'!B269</f>
        <v/>
      </c>
      <c r="C269" s="82">
        <f>'COMPOSIÇÃO DE VALORES'!C269</f>
        <v/>
      </c>
      <c r="D269" s="82">
        <f>'COMPOSIÇÃO DE VALORES'!D269</f>
        <v/>
      </c>
      <c r="E269" s="82">
        <f>'COMPOSIÇÃO DE VALORES'!G269</f>
        <v/>
      </c>
      <c r="F269" s="82">
        <f>'COMPOSIÇÃO DE VALORES'!H269</f>
        <v/>
      </c>
      <c r="G269" s="83">
        <f>'COMPOSIÇÃO DE VALORES'!L269</f>
        <v/>
      </c>
      <c r="H269" s="83">
        <f>G269*B269</f>
        <v/>
      </c>
      <c r="I269" s="82">
        <f>IF(('COMPOSIÇÃO DE VALORES'!M269)=0,"-",('COMPOSIÇÃO DE VALORES'!M269))</f>
        <v/>
      </c>
    </row>
    <row r="270" hidden="1">
      <c r="A270" s="81" t="n">
        <v>260</v>
      </c>
      <c r="B270" s="82">
        <f>'COMPOSIÇÃO DE VALORES'!B270</f>
        <v/>
      </c>
      <c r="C270" s="82">
        <f>'COMPOSIÇÃO DE VALORES'!C270</f>
        <v/>
      </c>
      <c r="D270" s="82">
        <f>'COMPOSIÇÃO DE VALORES'!D270</f>
        <v/>
      </c>
      <c r="E270" s="82">
        <f>'COMPOSIÇÃO DE VALORES'!G270</f>
        <v/>
      </c>
      <c r="F270" s="82">
        <f>'COMPOSIÇÃO DE VALORES'!H270</f>
        <v/>
      </c>
      <c r="G270" s="83">
        <f>'COMPOSIÇÃO DE VALORES'!L270</f>
        <v/>
      </c>
      <c r="H270" s="83">
        <f>G270*B270</f>
        <v/>
      </c>
      <c r="I270" s="82">
        <f>IF(('COMPOSIÇÃO DE VALORES'!M270)=0,"-",('COMPOSIÇÃO DE VALORES'!M270))</f>
        <v/>
      </c>
    </row>
    <row r="271" hidden="1">
      <c r="A271" s="81" t="n">
        <v>261</v>
      </c>
      <c r="B271" s="82">
        <f>'COMPOSIÇÃO DE VALORES'!B271</f>
        <v/>
      </c>
      <c r="C271" s="82">
        <f>'COMPOSIÇÃO DE VALORES'!C271</f>
        <v/>
      </c>
      <c r="D271" s="82">
        <f>'COMPOSIÇÃO DE VALORES'!D271</f>
        <v/>
      </c>
      <c r="E271" s="82">
        <f>'COMPOSIÇÃO DE VALORES'!G271</f>
        <v/>
      </c>
      <c r="F271" s="82">
        <f>'COMPOSIÇÃO DE VALORES'!H271</f>
        <v/>
      </c>
      <c r="G271" s="83">
        <f>'COMPOSIÇÃO DE VALORES'!L271</f>
        <v/>
      </c>
      <c r="H271" s="83">
        <f>G271*B271</f>
        <v/>
      </c>
      <c r="I271" s="82">
        <f>IF(('COMPOSIÇÃO DE VALORES'!M271)=0,"-",('COMPOSIÇÃO DE VALORES'!M271))</f>
        <v/>
      </c>
    </row>
    <row r="272" hidden="1">
      <c r="A272" s="81" t="n">
        <v>262</v>
      </c>
      <c r="B272" s="82">
        <f>'COMPOSIÇÃO DE VALORES'!B272</f>
        <v/>
      </c>
      <c r="C272" s="82">
        <f>'COMPOSIÇÃO DE VALORES'!C272</f>
        <v/>
      </c>
      <c r="D272" s="82">
        <f>'COMPOSIÇÃO DE VALORES'!D272</f>
        <v/>
      </c>
      <c r="E272" s="82">
        <f>'COMPOSIÇÃO DE VALORES'!G272</f>
        <v/>
      </c>
      <c r="F272" s="82">
        <f>'COMPOSIÇÃO DE VALORES'!H272</f>
        <v/>
      </c>
      <c r="G272" s="83">
        <f>'COMPOSIÇÃO DE VALORES'!L272</f>
        <v/>
      </c>
      <c r="H272" s="83">
        <f>G272*B272</f>
        <v/>
      </c>
      <c r="I272" s="82">
        <f>IF(('COMPOSIÇÃO DE VALORES'!M272)=0,"-",('COMPOSIÇÃO DE VALORES'!M272))</f>
        <v/>
      </c>
    </row>
    <row r="273" hidden="1">
      <c r="A273" s="81" t="n">
        <v>263</v>
      </c>
      <c r="B273" s="82">
        <f>'COMPOSIÇÃO DE VALORES'!B273</f>
        <v/>
      </c>
      <c r="C273" s="82">
        <f>'COMPOSIÇÃO DE VALORES'!C273</f>
        <v/>
      </c>
      <c r="D273" s="82">
        <f>'COMPOSIÇÃO DE VALORES'!D273</f>
        <v/>
      </c>
      <c r="E273" s="82">
        <f>'COMPOSIÇÃO DE VALORES'!G273</f>
        <v/>
      </c>
      <c r="F273" s="82">
        <f>'COMPOSIÇÃO DE VALORES'!H273</f>
        <v/>
      </c>
      <c r="G273" s="83">
        <f>'COMPOSIÇÃO DE VALORES'!L273</f>
        <v/>
      </c>
      <c r="H273" s="83">
        <f>G273*B273</f>
        <v/>
      </c>
      <c r="I273" s="82">
        <f>IF(('COMPOSIÇÃO DE VALORES'!M273)=0,"-",('COMPOSIÇÃO DE VALORES'!M273))</f>
        <v/>
      </c>
    </row>
    <row r="274" hidden="1">
      <c r="A274" s="81" t="n">
        <v>264</v>
      </c>
      <c r="B274" s="82">
        <f>'COMPOSIÇÃO DE VALORES'!B274</f>
        <v/>
      </c>
      <c r="C274" s="82">
        <f>'COMPOSIÇÃO DE VALORES'!C274</f>
        <v/>
      </c>
      <c r="D274" s="82">
        <f>'COMPOSIÇÃO DE VALORES'!D274</f>
        <v/>
      </c>
      <c r="E274" s="82">
        <f>'COMPOSIÇÃO DE VALORES'!G274</f>
        <v/>
      </c>
      <c r="F274" s="82">
        <f>'COMPOSIÇÃO DE VALORES'!H274</f>
        <v/>
      </c>
      <c r="G274" s="83">
        <f>'COMPOSIÇÃO DE VALORES'!L274</f>
        <v/>
      </c>
      <c r="H274" s="83">
        <f>G274*B274</f>
        <v/>
      </c>
      <c r="I274" s="82">
        <f>IF(('COMPOSIÇÃO DE VALORES'!M274)=0,"-",('COMPOSIÇÃO DE VALORES'!M274))</f>
        <v/>
      </c>
    </row>
    <row r="275" hidden="1">
      <c r="A275" s="81" t="n">
        <v>265</v>
      </c>
      <c r="B275" s="82">
        <f>'COMPOSIÇÃO DE VALORES'!B275</f>
        <v/>
      </c>
      <c r="C275" s="82">
        <f>'COMPOSIÇÃO DE VALORES'!C275</f>
        <v/>
      </c>
      <c r="D275" s="82">
        <f>'COMPOSIÇÃO DE VALORES'!D275</f>
        <v/>
      </c>
      <c r="E275" s="82">
        <f>'COMPOSIÇÃO DE VALORES'!G275</f>
        <v/>
      </c>
      <c r="F275" s="82">
        <f>'COMPOSIÇÃO DE VALORES'!H275</f>
        <v/>
      </c>
      <c r="G275" s="83">
        <f>'COMPOSIÇÃO DE VALORES'!L275</f>
        <v/>
      </c>
      <c r="H275" s="83">
        <f>G275*B275</f>
        <v/>
      </c>
      <c r="I275" s="82">
        <f>IF(('COMPOSIÇÃO DE VALORES'!M275)=0,"-",('COMPOSIÇÃO DE VALORES'!M275))</f>
        <v/>
      </c>
    </row>
    <row r="276" hidden="1">
      <c r="A276" s="81" t="n">
        <v>266</v>
      </c>
      <c r="B276" s="82">
        <f>'COMPOSIÇÃO DE VALORES'!B276</f>
        <v/>
      </c>
      <c r="C276" s="82">
        <f>'COMPOSIÇÃO DE VALORES'!C276</f>
        <v/>
      </c>
      <c r="D276" s="82">
        <f>'COMPOSIÇÃO DE VALORES'!D276</f>
        <v/>
      </c>
      <c r="E276" s="82">
        <f>'COMPOSIÇÃO DE VALORES'!G276</f>
        <v/>
      </c>
      <c r="F276" s="82">
        <f>'COMPOSIÇÃO DE VALORES'!H276</f>
        <v/>
      </c>
      <c r="G276" s="83">
        <f>'COMPOSIÇÃO DE VALORES'!L276</f>
        <v/>
      </c>
      <c r="H276" s="83">
        <f>G276*B276</f>
        <v/>
      </c>
      <c r="I276" s="82">
        <f>IF(('COMPOSIÇÃO DE VALORES'!M276)=0,"-",('COMPOSIÇÃO DE VALORES'!M276))</f>
        <v/>
      </c>
    </row>
    <row r="277" hidden="1">
      <c r="A277" s="81" t="n">
        <v>267</v>
      </c>
      <c r="B277" s="82">
        <f>'COMPOSIÇÃO DE VALORES'!B277</f>
        <v/>
      </c>
      <c r="C277" s="82">
        <f>'COMPOSIÇÃO DE VALORES'!C277</f>
        <v/>
      </c>
      <c r="D277" s="82">
        <f>'COMPOSIÇÃO DE VALORES'!D277</f>
        <v/>
      </c>
      <c r="E277" s="82">
        <f>'COMPOSIÇÃO DE VALORES'!G277</f>
        <v/>
      </c>
      <c r="F277" s="82">
        <f>'COMPOSIÇÃO DE VALORES'!H277</f>
        <v/>
      </c>
      <c r="G277" s="83">
        <f>'COMPOSIÇÃO DE VALORES'!L277</f>
        <v/>
      </c>
      <c r="H277" s="83">
        <f>G277*B277</f>
        <v/>
      </c>
      <c r="I277" s="82">
        <f>IF(('COMPOSIÇÃO DE VALORES'!M277)=0,"-",('COMPOSIÇÃO DE VALORES'!M277))</f>
        <v/>
      </c>
    </row>
    <row r="278" hidden="1">
      <c r="A278" s="81" t="n">
        <v>268</v>
      </c>
      <c r="B278" s="82">
        <f>'COMPOSIÇÃO DE VALORES'!B278</f>
        <v/>
      </c>
      <c r="C278" s="82">
        <f>'COMPOSIÇÃO DE VALORES'!C278</f>
        <v/>
      </c>
      <c r="D278" s="82">
        <f>'COMPOSIÇÃO DE VALORES'!D278</f>
        <v/>
      </c>
      <c r="E278" s="82">
        <f>'COMPOSIÇÃO DE VALORES'!G278</f>
        <v/>
      </c>
      <c r="F278" s="82">
        <f>'COMPOSIÇÃO DE VALORES'!H278</f>
        <v/>
      </c>
      <c r="G278" s="83">
        <f>'COMPOSIÇÃO DE VALORES'!L278</f>
        <v/>
      </c>
      <c r="H278" s="83">
        <f>G278*B278</f>
        <v/>
      </c>
      <c r="I278" s="82">
        <f>IF(('COMPOSIÇÃO DE VALORES'!M278)=0,"-",('COMPOSIÇÃO DE VALORES'!M278))</f>
        <v/>
      </c>
    </row>
    <row r="279" hidden="1">
      <c r="A279" s="81" t="n">
        <v>269</v>
      </c>
      <c r="B279" s="82">
        <f>'COMPOSIÇÃO DE VALORES'!B279</f>
        <v/>
      </c>
      <c r="C279" s="82">
        <f>'COMPOSIÇÃO DE VALORES'!C279</f>
        <v/>
      </c>
      <c r="D279" s="82">
        <f>'COMPOSIÇÃO DE VALORES'!D279</f>
        <v/>
      </c>
      <c r="E279" s="82">
        <f>'COMPOSIÇÃO DE VALORES'!G279</f>
        <v/>
      </c>
      <c r="F279" s="82">
        <f>'COMPOSIÇÃO DE VALORES'!H279</f>
        <v/>
      </c>
      <c r="G279" s="83">
        <f>'COMPOSIÇÃO DE VALORES'!L279</f>
        <v/>
      </c>
      <c r="H279" s="83">
        <f>G279*B279</f>
        <v/>
      </c>
      <c r="I279" s="82">
        <f>IF(('COMPOSIÇÃO DE VALORES'!M279)=0,"-",('COMPOSIÇÃO DE VALORES'!M279))</f>
        <v/>
      </c>
    </row>
    <row r="280" hidden="1">
      <c r="A280" s="81" t="n">
        <v>270</v>
      </c>
      <c r="B280" s="82">
        <f>'COMPOSIÇÃO DE VALORES'!B280</f>
        <v/>
      </c>
      <c r="C280" s="82">
        <f>'COMPOSIÇÃO DE VALORES'!C280</f>
        <v/>
      </c>
      <c r="D280" s="82">
        <f>'COMPOSIÇÃO DE VALORES'!D280</f>
        <v/>
      </c>
      <c r="E280" s="82">
        <f>'COMPOSIÇÃO DE VALORES'!G280</f>
        <v/>
      </c>
      <c r="F280" s="82">
        <f>'COMPOSIÇÃO DE VALORES'!H280</f>
        <v/>
      </c>
      <c r="G280" s="83">
        <f>'COMPOSIÇÃO DE VALORES'!L280</f>
        <v/>
      </c>
      <c r="H280" s="83">
        <f>G280*B280</f>
        <v/>
      </c>
      <c r="I280" s="82">
        <f>IF(('COMPOSIÇÃO DE VALORES'!M280)=0,"-",('COMPOSIÇÃO DE VALORES'!M280))</f>
        <v/>
      </c>
    </row>
    <row r="281" hidden="1">
      <c r="A281" s="81" t="n">
        <v>271</v>
      </c>
      <c r="B281" s="82">
        <f>'COMPOSIÇÃO DE VALORES'!B281</f>
        <v/>
      </c>
      <c r="C281" s="82">
        <f>'COMPOSIÇÃO DE VALORES'!C281</f>
        <v/>
      </c>
      <c r="D281" s="82">
        <f>'COMPOSIÇÃO DE VALORES'!D281</f>
        <v/>
      </c>
      <c r="E281" s="82">
        <f>'COMPOSIÇÃO DE VALORES'!G281</f>
        <v/>
      </c>
      <c r="F281" s="82">
        <f>'COMPOSIÇÃO DE VALORES'!H281</f>
        <v/>
      </c>
      <c r="G281" s="83">
        <f>'COMPOSIÇÃO DE VALORES'!L281</f>
        <v/>
      </c>
      <c r="H281" s="83">
        <f>G281*B281</f>
        <v/>
      </c>
      <c r="I281" s="82">
        <f>IF(('COMPOSIÇÃO DE VALORES'!M281)=0,"-",('COMPOSIÇÃO DE VALORES'!M281))</f>
        <v/>
      </c>
    </row>
    <row r="282" hidden="1">
      <c r="A282" s="81" t="n">
        <v>272</v>
      </c>
      <c r="B282" s="82">
        <f>'COMPOSIÇÃO DE VALORES'!B282</f>
        <v/>
      </c>
      <c r="C282" s="82">
        <f>'COMPOSIÇÃO DE VALORES'!C282</f>
        <v/>
      </c>
      <c r="D282" s="82">
        <f>'COMPOSIÇÃO DE VALORES'!D282</f>
        <v/>
      </c>
      <c r="E282" s="82">
        <f>'COMPOSIÇÃO DE VALORES'!G282</f>
        <v/>
      </c>
      <c r="F282" s="82">
        <f>'COMPOSIÇÃO DE VALORES'!H282</f>
        <v/>
      </c>
      <c r="G282" s="83">
        <f>'COMPOSIÇÃO DE VALORES'!L282</f>
        <v/>
      </c>
      <c r="H282" s="83">
        <f>G282*B282</f>
        <v/>
      </c>
      <c r="I282" s="82">
        <f>IF(('COMPOSIÇÃO DE VALORES'!M282)=0,"-",('COMPOSIÇÃO DE VALORES'!M282))</f>
        <v/>
      </c>
    </row>
    <row r="283" hidden="1">
      <c r="A283" s="81" t="n">
        <v>273</v>
      </c>
      <c r="B283" s="82">
        <f>'COMPOSIÇÃO DE VALORES'!B283</f>
        <v/>
      </c>
      <c r="C283" s="82">
        <f>'COMPOSIÇÃO DE VALORES'!C283</f>
        <v/>
      </c>
      <c r="D283" s="82">
        <f>'COMPOSIÇÃO DE VALORES'!D283</f>
        <v/>
      </c>
      <c r="E283" s="82">
        <f>'COMPOSIÇÃO DE VALORES'!G283</f>
        <v/>
      </c>
      <c r="F283" s="82">
        <f>'COMPOSIÇÃO DE VALORES'!H283</f>
        <v/>
      </c>
      <c r="G283" s="83">
        <f>'COMPOSIÇÃO DE VALORES'!L283</f>
        <v/>
      </c>
      <c r="H283" s="83">
        <f>G283*B283</f>
        <v/>
      </c>
      <c r="I283" s="82">
        <f>IF(('COMPOSIÇÃO DE VALORES'!M283)=0,"-",('COMPOSIÇÃO DE VALORES'!M283))</f>
        <v/>
      </c>
    </row>
    <row r="284" hidden="1">
      <c r="A284" s="81" t="n">
        <v>274</v>
      </c>
      <c r="B284" s="82">
        <f>'COMPOSIÇÃO DE VALORES'!B284</f>
        <v/>
      </c>
      <c r="C284" s="82">
        <f>'COMPOSIÇÃO DE VALORES'!C284</f>
        <v/>
      </c>
      <c r="D284" s="82">
        <f>'COMPOSIÇÃO DE VALORES'!D284</f>
        <v/>
      </c>
      <c r="E284" s="82">
        <f>'COMPOSIÇÃO DE VALORES'!G284</f>
        <v/>
      </c>
      <c r="F284" s="82">
        <f>'COMPOSIÇÃO DE VALORES'!H284</f>
        <v/>
      </c>
      <c r="G284" s="83">
        <f>'COMPOSIÇÃO DE VALORES'!L284</f>
        <v/>
      </c>
      <c r="H284" s="83">
        <f>G284*B284</f>
        <v/>
      </c>
      <c r="I284" s="82">
        <f>IF(('COMPOSIÇÃO DE VALORES'!M284)=0,"-",('COMPOSIÇÃO DE VALORES'!M284))</f>
        <v/>
      </c>
    </row>
    <row r="285" hidden="1">
      <c r="A285" s="81" t="n">
        <v>275</v>
      </c>
      <c r="B285" s="82">
        <f>'COMPOSIÇÃO DE VALORES'!B285</f>
        <v/>
      </c>
      <c r="C285" s="82">
        <f>'COMPOSIÇÃO DE VALORES'!C285</f>
        <v/>
      </c>
      <c r="D285" s="82">
        <f>'COMPOSIÇÃO DE VALORES'!D285</f>
        <v/>
      </c>
      <c r="E285" s="82">
        <f>'COMPOSIÇÃO DE VALORES'!G285</f>
        <v/>
      </c>
      <c r="F285" s="82">
        <f>'COMPOSIÇÃO DE VALORES'!H285</f>
        <v/>
      </c>
      <c r="G285" s="83">
        <f>'COMPOSIÇÃO DE VALORES'!L285</f>
        <v/>
      </c>
      <c r="H285" s="83">
        <f>G285*B285</f>
        <v/>
      </c>
      <c r="I285" s="82">
        <f>IF(('COMPOSIÇÃO DE VALORES'!M285)=0,"-",('COMPOSIÇÃO DE VALORES'!M285))</f>
        <v/>
      </c>
    </row>
    <row r="286" hidden="1">
      <c r="A286" s="81" t="n">
        <v>276</v>
      </c>
      <c r="B286" s="82">
        <f>'COMPOSIÇÃO DE VALORES'!B286</f>
        <v/>
      </c>
      <c r="C286" s="82">
        <f>'COMPOSIÇÃO DE VALORES'!C286</f>
        <v/>
      </c>
      <c r="D286" s="82">
        <f>'COMPOSIÇÃO DE VALORES'!D286</f>
        <v/>
      </c>
      <c r="E286" s="82">
        <f>'COMPOSIÇÃO DE VALORES'!G286</f>
        <v/>
      </c>
      <c r="F286" s="82">
        <f>'COMPOSIÇÃO DE VALORES'!H286</f>
        <v/>
      </c>
      <c r="G286" s="83">
        <f>'COMPOSIÇÃO DE VALORES'!L286</f>
        <v/>
      </c>
      <c r="H286" s="83">
        <f>G286*B286</f>
        <v/>
      </c>
      <c r="I286" s="82">
        <f>IF(('COMPOSIÇÃO DE VALORES'!M286)=0,"-",('COMPOSIÇÃO DE VALORES'!M286))</f>
        <v/>
      </c>
    </row>
    <row r="287" hidden="1">
      <c r="A287" s="81" t="n">
        <v>277</v>
      </c>
      <c r="B287" s="82">
        <f>'COMPOSIÇÃO DE VALORES'!B287</f>
        <v/>
      </c>
      <c r="C287" s="82">
        <f>'COMPOSIÇÃO DE VALORES'!C287</f>
        <v/>
      </c>
      <c r="D287" s="82">
        <f>'COMPOSIÇÃO DE VALORES'!D287</f>
        <v/>
      </c>
      <c r="E287" s="82">
        <f>'COMPOSIÇÃO DE VALORES'!G287</f>
        <v/>
      </c>
      <c r="F287" s="82">
        <f>'COMPOSIÇÃO DE VALORES'!H287</f>
        <v/>
      </c>
      <c r="G287" s="83">
        <f>'COMPOSIÇÃO DE VALORES'!L287</f>
        <v/>
      </c>
      <c r="H287" s="83">
        <f>G287*B287</f>
        <v/>
      </c>
      <c r="I287" s="82">
        <f>IF(('COMPOSIÇÃO DE VALORES'!M287)=0,"-",('COMPOSIÇÃO DE VALORES'!M287))</f>
        <v/>
      </c>
    </row>
    <row r="288" hidden="1">
      <c r="A288" s="81" t="n">
        <v>278</v>
      </c>
      <c r="B288" s="82">
        <f>'COMPOSIÇÃO DE VALORES'!B288</f>
        <v/>
      </c>
      <c r="C288" s="82">
        <f>'COMPOSIÇÃO DE VALORES'!C288</f>
        <v/>
      </c>
      <c r="D288" s="82">
        <f>'COMPOSIÇÃO DE VALORES'!D288</f>
        <v/>
      </c>
      <c r="E288" s="82">
        <f>'COMPOSIÇÃO DE VALORES'!G288</f>
        <v/>
      </c>
      <c r="F288" s="82">
        <f>'COMPOSIÇÃO DE VALORES'!H288</f>
        <v/>
      </c>
      <c r="G288" s="83">
        <f>'COMPOSIÇÃO DE VALORES'!L288</f>
        <v/>
      </c>
      <c r="H288" s="83">
        <f>G288*B288</f>
        <v/>
      </c>
      <c r="I288" s="82">
        <f>IF(('COMPOSIÇÃO DE VALORES'!M288)=0,"-",('COMPOSIÇÃO DE VALORES'!M288))</f>
        <v/>
      </c>
    </row>
    <row r="289" hidden="1">
      <c r="A289" s="81" t="n">
        <v>279</v>
      </c>
      <c r="B289" s="82">
        <f>'COMPOSIÇÃO DE VALORES'!B289</f>
        <v/>
      </c>
      <c r="C289" s="82">
        <f>'COMPOSIÇÃO DE VALORES'!C289</f>
        <v/>
      </c>
      <c r="D289" s="82">
        <f>'COMPOSIÇÃO DE VALORES'!D289</f>
        <v/>
      </c>
      <c r="E289" s="82">
        <f>'COMPOSIÇÃO DE VALORES'!G289</f>
        <v/>
      </c>
      <c r="F289" s="82">
        <f>'COMPOSIÇÃO DE VALORES'!H289</f>
        <v/>
      </c>
      <c r="G289" s="83">
        <f>'COMPOSIÇÃO DE VALORES'!L289</f>
        <v/>
      </c>
      <c r="H289" s="83">
        <f>G289*B289</f>
        <v/>
      </c>
      <c r="I289" s="82">
        <f>IF(('COMPOSIÇÃO DE VALORES'!M289)=0,"-",('COMPOSIÇÃO DE VALORES'!M289))</f>
        <v/>
      </c>
    </row>
    <row r="290" hidden="1">
      <c r="A290" s="81" t="n">
        <v>280</v>
      </c>
      <c r="B290" s="82">
        <f>'COMPOSIÇÃO DE VALORES'!B290</f>
        <v/>
      </c>
      <c r="C290" s="82">
        <f>'COMPOSIÇÃO DE VALORES'!C290</f>
        <v/>
      </c>
      <c r="D290" s="82">
        <f>'COMPOSIÇÃO DE VALORES'!D290</f>
        <v/>
      </c>
      <c r="E290" s="82">
        <f>'COMPOSIÇÃO DE VALORES'!G290</f>
        <v/>
      </c>
      <c r="F290" s="82">
        <f>'COMPOSIÇÃO DE VALORES'!H290</f>
        <v/>
      </c>
      <c r="G290" s="83">
        <f>'COMPOSIÇÃO DE VALORES'!L290</f>
        <v/>
      </c>
      <c r="H290" s="83">
        <f>G290*B290</f>
        <v/>
      </c>
      <c r="I290" s="82">
        <f>IF(('COMPOSIÇÃO DE VALORES'!M290)=0,"-",('COMPOSIÇÃO DE VALORES'!M290))</f>
        <v/>
      </c>
    </row>
    <row r="291" hidden="1">
      <c r="A291" s="81" t="n">
        <v>281</v>
      </c>
      <c r="B291" s="82">
        <f>'COMPOSIÇÃO DE VALORES'!B291</f>
        <v/>
      </c>
      <c r="C291" s="82">
        <f>'COMPOSIÇÃO DE VALORES'!C291</f>
        <v/>
      </c>
      <c r="D291" s="82">
        <f>'COMPOSIÇÃO DE VALORES'!D291</f>
        <v/>
      </c>
      <c r="E291" s="82">
        <f>'COMPOSIÇÃO DE VALORES'!G291</f>
        <v/>
      </c>
      <c r="F291" s="82">
        <f>'COMPOSIÇÃO DE VALORES'!H291</f>
        <v/>
      </c>
      <c r="G291" s="83">
        <f>'COMPOSIÇÃO DE VALORES'!L291</f>
        <v/>
      </c>
      <c r="H291" s="83">
        <f>G291*B291</f>
        <v/>
      </c>
      <c r="I291" s="82">
        <f>IF(('COMPOSIÇÃO DE VALORES'!M291)=0,"-",('COMPOSIÇÃO DE VALORES'!M291))</f>
        <v/>
      </c>
    </row>
    <row r="292" hidden="1">
      <c r="A292" s="81" t="n">
        <v>282</v>
      </c>
      <c r="B292" s="82">
        <f>'COMPOSIÇÃO DE VALORES'!B292</f>
        <v/>
      </c>
      <c r="C292" s="82">
        <f>'COMPOSIÇÃO DE VALORES'!C292</f>
        <v/>
      </c>
      <c r="D292" s="82">
        <f>'COMPOSIÇÃO DE VALORES'!D292</f>
        <v/>
      </c>
      <c r="E292" s="82">
        <f>'COMPOSIÇÃO DE VALORES'!G292</f>
        <v/>
      </c>
      <c r="F292" s="82">
        <f>'COMPOSIÇÃO DE VALORES'!H292</f>
        <v/>
      </c>
      <c r="G292" s="83">
        <f>'COMPOSIÇÃO DE VALORES'!L292</f>
        <v/>
      </c>
      <c r="H292" s="83">
        <f>G292*B292</f>
        <v/>
      </c>
      <c r="I292" s="82">
        <f>IF(('COMPOSIÇÃO DE VALORES'!M292)=0,"-",('COMPOSIÇÃO DE VALORES'!M292))</f>
        <v/>
      </c>
    </row>
    <row r="293" hidden="1">
      <c r="A293" s="81" t="n">
        <v>283</v>
      </c>
      <c r="B293" s="82">
        <f>'COMPOSIÇÃO DE VALORES'!B293</f>
        <v/>
      </c>
      <c r="C293" s="82">
        <f>'COMPOSIÇÃO DE VALORES'!C293</f>
        <v/>
      </c>
      <c r="D293" s="82">
        <f>'COMPOSIÇÃO DE VALORES'!D293</f>
        <v/>
      </c>
      <c r="E293" s="82">
        <f>'COMPOSIÇÃO DE VALORES'!G293</f>
        <v/>
      </c>
      <c r="F293" s="82">
        <f>'COMPOSIÇÃO DE VALORES'!H293</f>
        <v/>
      </c>
      <c r="G293" s="83">
        <f>'COMPOSIÇÃO DE VALORES'!L293</f>
        <v/>
      </c>
      <c r="H293" s="83">
        <f>G293*B293</f>
        <v/>
      </c>
      <c r="I293" s="82">
        <f>IF(('COMPOSIÇÃO DE VALORES'!M293)=0,"-",('COMPOSIÇÃO DE VALORES'!M293))</f>
        <v/>
      </c>
    </row>
    <row r="294" hidden="1">
      <c r="A294" s="81" t="n">
        <v>284</v>
      </c>
      <c r="B294" s="82">
        <f>'COMPOSIÇÃO DE VALORES'!B294</f>
        <v/>
      </c>
      <c r="C294" s="82">
        <f>'COMPOSIÇÃO DE VALORES'!C294</f>
        <v/>
      </c>
      <c r="D294" s="82">
        <f>'COMPOSIÇÃO DE VALORES'!D294</f>
        <v/>
      </c>
      <c r="E294" s="82">
        <f>'COMPOSIÇÃO DE VALORES'!G294</f>
        <v/>
      </c>
      <c r="F294" s="82">
        <f>'COMPOSIÇÃO DE VALORES'!H294</f>
        <v/>
      </c>
      <c r="G294" s="83">
        <f>'COMPOSIÇÃO DE VALORES'!L294</f>
        <v/>
      </c>
      <c r="H294" s="83">
        <f>G294*B294</f>
        <v/>
      </c>
      <c r="I294" s="82">
        <f>IF(('COMPOSIÇÃO DE VALORES'!M294)=0,"-",('COMPOSIÇÃO DE VALORES'!M294))</f>
        <v/>
      </c>
    </row>
    <row r="295" hidden="1">
      <c r="A295" s="81" t="n">
        <v>285</v>
      </c>
      <c r="B295" s="82">
        <f>'COMPOSIÇÃO DE VALORES'!B295</f>
        <v/>
      </c>
      <c r="C295" s="82">
        <f>'COMPOSIÇÃO DE VALORES'!C295</f>
        <v/>
      </c>
      <c r="D295" s="82">
        <f>'COMPOSIÇÃO DE VALORES'!D295</f>
        <v/>
      </c>
      <c r="E295" s="82">
        <f>'COMPOSIÇÃO DE VALORES'!G295</f>
        <v/>
      </c>
      <c r="F295" s="82">
        <f>'COMPOSIÇÃO DE VALORES'!H295</f>
        <v/>
      </c>
      <c r="G295" s="83">
        <f>'COMPOSIÇÃO DE VALORES'!L295</f>
        <v/>
      </c>
      <c r="H295" s="83">
        <f>G295*B295</f>
        <v/>
      </c>
      <c r="I295" s="82">
        <f>IF(('COMPOSIÇÃO DE VALORES'!M295)=0,"-",('COMPOSIÇÃO DE VALORES'!M295))</f>
        <v/>
      </c>
    </row>
    <row r="296" hidden="1">
      <c r="A296" s="81" t="n">
        <v>286</v>
      </c>
      <c r="B296" s="82">
        <f>'COMPOSIÇÃO DE VALORES'!B296</f>
        <v/>
      </c>
      <c r="C296" s="82">
        <f>'COMPOSIÇÃO DE VALORES'!C296</f>
        <v/>
      </c>
      <c r="D296" s="82">
        <f>'COMPOSIÇÃO DE VALORES'!D296</f>
        <v/>
      </c>
      <c r="E296" s="82">
        <f>'COMPOSIÇÃO DE VALORES'!G296</f>
        <v/>
      </c>
      <c r="F296" s="82">
        <f>'COMPOSIÇÃO DE VALORES'!H296</f>
        <v/>
      </c>
      <c r="G296" s="83">
        <f>'COMPOSIÇÃO DE VALORES'!L296</f>
        <v/>
      </c>
      <c r="H296" s="83">
        <f>G296*B296</f>
        <v/>
      </c>
      <c r="I296" s="82">
        <f>IF(('COMPOSIÇÃO DE VALORES'!M296)=0,"-",('COMPOSIÇÃO DE VALORES'!M296))</f>
        <v/>
      </c>
    </row>
    <row r="297" hidden="1">
      <c r="A297" s="81" t="n">
        <v>287</v>
      </c>
      <c r="B297" s="82">
        <f>'COMPOSIÇÃO DE VALORES'!B297</f>
        <v/>
      </c>
      <c r="C297" s="82">
        <f>'COMPOSIÇÃO DE VALORES'!C297</f>
        <v/>
      </c>
      <c r="D297" s="82">
        <f>'COMPOSIÇÃO DE VALORES'!D297</f>
        <v/>
      </c>
      <c r="E297" s="82">
        <f>'COMPOSIÇÃO DE VALORES'!G297</f>
        <v/>
      </c>
      <c r="F297" s="82">
        <f>'COMPOSIÇÃO DE VALORES'!H297</f>
        <v/>
      </c>
      <c r="G297" s="83">
        <f>'COMPOSIÇÃO DE VALORES'!L297</f>
        <v/>
      </c>
      <c r="H297" s="83">
        <f>G297*B297</f>
        <v/>
      </c>
      <c r="I297" s="82">
        <f>IF(('COMPOSIÇÃO DE VALORES'!M297)=0,"-",('COMPOSIÇÃO DE VALORES'!M297))</f>
        <v/>
      </c>
    </row>
    <row r="298" hidden="1">
      <c r="A298" s="81" t="n">
        <v>288</v>
      </c>
      <c r="B298" s="82">
        <f>'COMPOSIÇÃO DE VALORES'!B298</f>
        <v/>
      </c>
      <c r="C298" s="82">
        <f>'COMPOSIÇÃO DE VALORES'!C298</f>
        <v/>
      </c>
      <c r="D298" s="82">
        <f>'COMPOSIÇÃO DE VALORES'!D298</f>
        <v/>
      </c>
      <c r="E298" s="82">
        <f>'COMPOSIÇÃO DE VALORES'!G298</f>
        <v/>
      </c>
      <c r="F298" s="82">
        <f>'COMPOSIÇÃO DE VALORES'!H298</f>
        <v/>
      </c>
      <c r="G298" s="83">
        <f>'COMPOSIÇÃO DE VALORES'!L298</f>
        <v/>
      </c>
      <c r="H298" s="83">
        <f>G298*B298</f>
        <v/>
      </c>
      <c r="I298" s="82">
        <f>IF(('COMPOSIÇÃO DE VALORES'!M298)=0,"-",('COMPOSIÇÃO DE VALORES'!M298))</f>
        <v/>
      </c>
    </row>
    <row r="299" hidden="1">
      <c r="A299" s="81" t="n">
        <v>289</v>
      </c>
      <c r="B299" s="82">
        <f>'COMPOSIÇÃO DE VALORES'!B299</f>
        <v/>
      </c>
      <c r="C299" s="82">
        <f>'COMPOSIÇÃO DE VALORES'!C299</f>
        <v/>
      </c>
      <c r="D299" s="82">
        <f>'COMPOSIÇÃO DE VALORES'!D299</f>
        <v/>
      </c>
      <c r="E299" s="82">
        <f>'COMPOSIÇÃO DE VALORES'!G299</f>
        <v/>
      </c>
      <c r="F299" s="82">
        <f>'COMPOSIÇÃO DE VALORES'!H299</f>
        <v/>
      </c>
      <c r="G299" s="83">
        <f>'COMPOSIÇÃO DE VALORES'!L299</f>
        <v/>
      </c>
      <c r="H299" s="83">
        <f>G299*B299</f>
        <v/>
      </c>
      <c r="I299" s="82">
        <f>IF(('COMPOSIÇÃO DE VALORES'!M299)=0,"-",('COMPOSIÇÃO DE VALORES'!M299))</f>
        <v/>
      </c>
    </row>
    <row r="300" hidden="1">
      <c r="A300" s="81" t="n">
        <v>290</v>
      </c>
      <c r="B300" s="82">
        <f>'COMPOSIÇÃO DE VALORES'!B300</f>
        <v/>
      </c>
      <c r="C300" s="82">
        <f>'COMPOSIÇÃO DE VALORES'!C300</f>
        <v/>
      </c>
      <c r="D300" s="82">
        <f>'COMPOSIÇÃO DE VALORES'!D300</f>
        <v/>
      </c>
      <c r="E300" s="82">
        <f>'COMPOSIÇÃO DE VALORES'!G300</f>
        <v/>
      </c>
      <c r="F300" s="82">
        <f>'COMPOSIÇÃO DE VALORES'!H300</f>
        <v/>
      </c>
      <c r="G300" s="83">
        <f>'COMPOSIÇÃO DE VALORES'!L300</f>
        <v/>
      </c>
      <c r="H300" s="83">
        <f>G300*B300</f>
        <v/>
      </c>
      <c r="I300" s="82">
        <f>IF(('COMPOSIÇÃO DE VALORES'!M300)=0,"-",('COMPOSIÇÃO DE VALORES'!M300))</f>
        <v/>
      </c>
    </row>
    <row r="301" hidden="1">
      <c r="A301" s="81" t="n">
        <v>291</v>
      </c>
      <c r="B301" s="82">
        <f>'COMPOSIÇÃO DE VALORES'!B301</f>
        <v/>
      </c>
      <c r="C301" s="82">
        <f>'COMPOSIÇÃO DE VALORES'!C301</f>
        <v/>
      </c>
      <c r="D301" s="82">
        <f>'COMPOSIÇÃO DE VALORES'!D301</f>
        <v/>
      </c>
      <c r="E301" s="82">
        <f>'COMPOSIÇÃO DE VALORES'!G301</f>
        <v/>
      </c>
      <c r="F301" s="82">
        <f>'COMPOSIÇÃO DE VALORES'!H301</f>
        <v/>
      </c>
      <c r="G301" s="83">
        <f>'COMPOSIÇÃO DE VALORES'!L301</f>
        <v/>
      </c>
      <c r="H301" s="83">
        <f>G301*B301</f>
        <v/>
      </c>
      <c r="I301" s="82">
        <f>IF(('COMPOSIÇÃO DE VALORES'!M301)=0,"-",('COMPOSIÇÃO DE VALORES'!M301))</f>
        <v/>
      </c>
    </row>
    <row r="302" hidden="1">
      <c r="A302" s="81" t="n">
        <v>292</v>
      </c>
      <c r="B302" s="82">
        <f>'COMPOSIÇÃO DE VALORES'!B302</f>
        <v/>
      </c>
      <c r="C302" s="82">
        <f>'COMPOSIÇÃO DE VALORES'!C302</f>
        <v/>
      </c>
      <c r="D302" s="82">
        <f>'COMPOSIÇÃO DE VALORES'!D302</f>
        <v/>
      </c>
      <c r="E302" s="82">
        <f>'COMPOSIÇÃO DE VALORES'!G302</f>
        <v/>
      </c>
      <c r="F302" s="82">
        <f>'COMPOSIÇÃO DE VALORES'!H302</f>
        <v/>
      </c>
      <c r="G302" s="83">
        <f>'COMPOSIÇÃO DE VALORES'!L302</f>
        <v/>
      </c>
      <c r="H302" s="83">
        <f>G302*B302</f>
        <v/>
      </c>
      <c r="I302" s="82">
        <f>IF(('COMPOSIÇÃO DE VALORES'!M302)=0,"-",('COMPOSIÇÃO DE VALORES'!M302))</f>
        <v/>
      </c>
    </row>
    <row r="303" hidden="1">
      <c r="A303" s="81" t="n">
        <v>293</v>
      </c>
      <c r="B303" s="82">
        <f>'COMPOSIÇÃO DE VALORES'!B303</f>
        <v/>
      </c>
      <c r="C303" s="82">
        <f>'COMPOSIÇÃO DE VALORES'!C303</f>
        <v/>
      </c>
      <c r="D303" s="82">
        <f>'COMPOSIÇÃO DE VALORES'!D303</f>
        <v/>
      </c>
      <c r="E303" s="82">
        <f>'COMPOSIÇÃO DE VALORES'!G303</f>
        <v/>
      </c>
      <c r="F303" s="82">
        <f>'COMPOSIÇÃO DE VALORES'!H303</f>
        <v/>
      </c>
      <c r="G303" s="83">
        <f>'COMPOSIÇÃO DE VALORES'!L303</f>
        <v/>
      </c>
      <c r="H303" s="83">
        <f>G303*B303</f>
        <v/>
      </c>
      <c r="I303" s="82">
        <f>IF(('COMPOSIÇÃO DE VALORES'!M303)=0,"-",('COMPOSIÇÃO DE VALORES'!M303))</f>
        <v/>
      </c>
    </row>
    <row r="304" hidden="1">
      <c r="A304" s="81" t="n">
        <v>294</v>
      </c>
      <c r="B304" s="82">
        <f>'COMPOSIÇÃO DE VALORES'!B304</f>
        <v/>
      </c>
      <c r="C304" s="82">
        <f>'COMPOSIÇÃO DE VALORES'!C304</f>
        <v/>
      </c>
      <c r="D304" s="82">
        <f>'COMPOSIÇÃO DE VALORES'!D304</f>
        <v/>
      </c>
      <c r="E304" s="82">
        <f>'COMPOSIÇÃO DE VALORES'!G304</f>
        <v/>
      </c>
      <c r="F304" s="82">
        <f>'COMPOSIÇÃO DE VALORES'!H304</f>
        <v/>
      </c>
      <c r="G304" s="83">
        <f>'COMPOSIÇÃO DE VALORES'!L304</f>
        <v/>
      </c>
      <c r="H304" s="83">
        <f>G304*B304</f>
        <v/>
      </c>
      <c r="I304" s="82">
        <f>IF(('COMPOSIÇÃO DE VALORES'!M304)=0,"-",('COMPOSIÇÃO DE VALORES'!M304))</f>
        <v/>
      </c>
    </row>
    <row r="305" hidden="1">
      <c r="A305" s="81" t="n">
        <v>295</v>
      </c>
      <c r="B305" s="82">
        <f>'COMPOSIÇÃO DE VALORES'!B305</f>
        <v/>
      </c>
      <c r="C305" s="82">
        <f>'COMPOSIÇÃO DE VALORES'!C305</f>
        <v/>
      </c>
      <c r="D305" s="82">
        <f>'COMPOSIÇÃO DE VALORES'!D305</f>
        <v/>
      </c>
      <c r="E305" s="82">
        <f>'COMPOSIÇÃO DE VALORES'!G305</f>
        <v/>
      </c>
      <c r="F305" s="82">
        <f>'COMPOSIÇÃO DE VALORES'!H305</f>
        <v/>
      </c>
      <c r="G305" s="83">
        <f>'COMPOSIÇÃO DE VALORES'!L305</f>
        <v/>
      </c>
      <c r="H305" s="83">
        <f>G305*B305</f>
        <v/>
      </c>
      <c r="I305" s="82">
        <f>IF(('COMPOSIÇÃO DE VALORES'!M305)=0,"-",('COMPOSIÇÃO DE VALORES'!M305))</f>
        <v/>
      </c>
    </row>
    <row r="306" hidden="1">
      <c r="A306" s="81" t="n">
        <v>296</v>
      </c>
      <c r="B306" s="82">
        <f>'COMPOSIÇÃO DE VALORES'!B306</f>
        <v/>
      </c>
      <c r="C306" s="82">
        <f>'COMPOSIÇÃO DE VALORES'!C306</f>
        <v/>
      </c>
      <c r="D306" s="82">
        <f>'COMPOSIÇÃO DE VALORES'!D306</f>
        <v/>
      </c>
      <c r="E306" s="82">
        <f>'COMPOSIÇÃO DE VALORES'!G306</f>
        <v/>
      </c>
      <c r="F306" s="82">
        <f>'COMPOSIÇÃO DE VALORES'!H306</f>
        <v/>
      </c>
      <c r="G306" s="83">
        <f>'COMPOSIÇÃO DE VALORES'!L306</f>
        <v/>
      </c>
      <c r="H306" s="83">
        <f>G306*B306</f>
        <v/>
      </c>
      <c r="I306" s="82">
        <f>IF(('COMPOSIÇÃO DE VALORES'!M306)=0,"-",('COMPOSIÇÃO DE VALORES'!M306))</f>
        <v/>
      </c>
    </row>
    <row r="307" hidden="1">
      <c r="A307" s="81" t="n">
        <v>297</v>
      </c>
      <c r="B307" s="82">
        <f>'COMPOSIÇÃO DE VALORES'!B307</f>
        <v/>
      </c>
      <c r="C307" s="82">
        <f>'COMPOSIÇÃO DE VALORES'!C307</f>
        <v/>
      </c>
      <c r="D307" s="82">
        <f>'COMPOSIÇÃO DE VALORES'!D307</f>
        <v/>
      </c>
      <c r="E307" s="82">
        <f>'COMPOSIÇÃO DE VALORES'!G307</f>
        <v/>
      </c>
      <c r="F307" s="82">
        <f>'COMPOSIÇÃO DE VALORES'!H307</f>
        <v/>
      </c>
      <c r="G307" s="83">
        <f>'COMPOSIÇÃO DE VALORES'!L307</f>
        <v/>
      </c>
      <c r="H307" s="83">
        <f>G307*B307</f>
        <v/>
      </c>
      <c r="I307" s="82">
        <f>IF(('COMPOSIÇÃO DE VALORES'!M307)=0,"-",('COMPOSIÇÃO DE VALORES'!M307))</f>
        <v/>
      </c>
    </row>
    <row r="308" hidden="1">
      <c r="A308" s="81" t="n">
        <v>298</v>
      </c>
      <c r="B308" s="82">
        <f>'COMPOSIÇÃO DE VALORES'!B308</f>
        <v/>
      </c>
      <c r="C308" s="82">
        <f>'COMPOSIÇÃO DE VALORES'!C308</f>
        <v/>
      </c>
      <c r="D308" s="82">
        <f>'COMPOSIÇÃO DE VALORES'!D308</f>
        <v/>
      </c>
      <c r="E308" s="82">
        <f>'COMPOSIÇÃO DE VALORES'!G308</f>
        <v/>
      </c>
      <c r="F308" s="82">
        <f>'COMPOSIÇÃO DE VALORES'!H308</f>
        <v/>
      </c>
      <c r="G308" s="83">
        <f>'COMPOSIÇÃO DE VALORES'!L308</f>
        <v/>
      </c>
      <c r="H308" s="83">
        <f>G308*B308</f>
        <v/>
      </c>
      <c r="I308" s="82">
        <f>IF(('COMPOSIÇÃO DE VALORES'!M308)=0,"-",('COMPOSIÇÃO DE VALORES'!M308))</f>
        <v/>
      </c>
    </row>
    <row r="309" hidden="1">
      <c r="A309" s="81" t="n">
        <v>299</v>
      </c>
      <c r="B309" s="82">
        <f>'COMPOSIÇÃO DE VALORES'!B309</f>
        <v/>
      </c>
      <c r="C309" s="82">
        <f>'COMPOSIÇÃO DE VALORES'!C309</f>
        <v/>
      </c>
      <c r="D309" s="82">
        <f>'COMPOSIÇÃO DE VALORES'!D309</f>
        <v/>
      </c>
      <c r="E309" s="82">
        <f>'COMPOSIÇÃO DE VALORES'!G309</f>
        <v/>
      </c>
      <c r="F309" s="82">
        <f>'COMPOSIÇÃO DE VALORES'!H309</f>
        <v/>
      </c>
      <c r="G309" s="83">
        <f>'COMPOSIÇÃO DE VALORES'!L309</f>
        <v/>
      </c>
      <c r="H309" s="83">
        <f>G309*B309</f>
        <v/>
      </c>
      <c r="I309" s="82">
        <f>IF(('COMPOSIÇÃO DE VALORES'!M309)=0,"-",('COMPOSIÇÃO DE VALORES'!M309))</f>
        <v/>
      </c>
    </row>
    <row r="310" hidden="1">
      <c r="A310" s="81" t="n">
        <v>300</v>
      </c>
      <c r="B310" s="82">
        <f>'COMPOSIÇÃO DE VALORES'!B310</f>
        <v/>
      </c>
      <c r="C310" s="82">
        <f>'COMPOSIÇÃO DE VALORES'!C310</f>
        <v/>
      </c>
      <c r="D310" s="82">
        <f>'COMPOSIÇÃO DE VALORES'!D310</f>
        <v/>
      </c>
      <c r="E310" s="82">
        <f>'COMPOSIÇÃO DE VALORES'!G310</f>
        <v/>
      </c>
      <c r="F310" s="82">
        <f>'COMPOSIÇÃO DE VALORES'!H310</f>
        <v/>
      </c>
      <c r="G310" s="83">
        <f>'COMPOSIÇÃO DE VALORES'!L310</f>
        <v/>
      </c>
      <c r="H310" s="83">
        <f>G310*B310</f>
        <v/>
      </c>
      <c r="I310" s="82">
        <f>IF(('COMPOSIÇÃO DE VALORES'!M310)=0,"-",('COMPOSIÇÃO DE VALORES'!M310))</f>
        <v/>
      </c>
    </row>
    <row r="311" hidden="1">
      <c r="A311" s="81" t="n">
        <v>301</v>
      </c>
      <c r="B311" s="82">
        <f>'COMPOSIÇÃO DE VALORES'!B311</f>
        <v/>
      </c>
      <c r="C311" s="82">
        <f>'COMPOSIÇÃO DE VALORES'!C311</f>
        <v/>
      </c>
      <c r="D311" s="82">
        <f>'COMPOSIÇÃO DE VALORES'!D311</f>
        <v/>
      </c>
      <c r="E311" s="82">
        <f>'COMPOSIÇÃO DE VALORES'!G311</f>
        <v/>
      </c>
      <c r="F311" s="82">
        <f>'COMPOSIÇÃO DE VALORES'!H311</f>
        <v/>
      </c>
      <c r="G311" s="83">
        <f>'COMPOSIÇÃO DE VALORES'!L311</f>
        <v/>
      </c>
      <c r="H311" s="83">
        <f>G311*B311</f>
        <v/>
      </c>
      <c r="I311" s="82">
        <f>IF(('COMPOSIÇÃO DE VALORES'!M311)=0,"-",('COMPOSIÇÃO DE VALORES'!M311))</f>
        <v/>
      </c>
    </row>
    <row r="312" hidden="1">
      <c r="A312" s="81" t="n">
        <v>302</v>
      </c>
      <c r="B312" s="82">
        <f>'COMPOSIÇÃO DE VALORES'!B312</f>
        <v/>
      </c>
      <c r="C312" s="82">
        <f>'COMPOSIÇÃO DE VALORES'!C312</f>
        <v/>
      </c>
      <c r="D312" s="82">
        <f>'COMPOSIÇÃO DE VALORES'!D312</f>
        <v/>
      </c>
      <c r="E312" s="82">
        <f>'COMPOSIÇÃO DE VALORES'!G312</f>
        <v/>
      </c>
      <c r="F312" s="82">
        <f>'COMPOSIÇÃO DE VALORES'!H312</f>
        <v/>
      </c>
      <c r="G312" s="83">
        <f>'COMPOSIÇÃO DE VALORES'!L312</f>
        <v/>
      </c>
      <c r="H312" s="83">
        <f>G312*B312</f>
        <v/>
      </c>
      <c r="I312" s="82">
        <f>IF(('COMPOSIÇÃO DE VALORES'!M312)=0,"-",('COMPOSIÇÃO DE VALORES'!M312))</f>
        <v/>
      </c>
    </row>
    <row r="313" hidden="1">
      <c r="A313" s="81" t="n">
        <v>303</v>
      </c>
      <c r="B313" s="82">
        <f>'COMPOSIÇÃO DE VALORES'!B313</f>
        <v/>
      </c>
      <c r="C313" s="82">
        <f>'COMPOSIÇÃO DE VALORES'!C313</f>
        <v/>
      </c>
      <c r="D313" s="82">
        <f>'COMPOSIÇÃO DE VALORES'!D313</f>
        <v/>
      </c>
      <c r="E313" s="82">
        <f>'COMPOSIÇÃO DE VALORES'!G313</f>
        <v/>
      </c>
      <c r="F313" s="82">
        <f>'COMPOSIÇÃO DE VALORES'!H313</f>
        <v/>
      </c>
      <c r="G313" s="83">
        <f>'COMPOSIÇÃO DE VALORES'!L313</f>
        <v/>
      </c>
      <c r="H313" s="83">
        <f>G313*B313</f>
        <v/>
      </c>
      <c r="I313" s="82">
        <f>IF(('COMPOSIÇÃO DE VALORES'!M313)=0,"-",('COMPOSIÇÃO DE VALORES'!M313))</f>
        <v/>
      </c>
    </row>
    <row r="314" hidden="1">
      <c r="A314" s="81" t="n">
        <v>304</v>
      </c>
      <c r="B314" s="82">
        <f>'COMPOSIÇÃO DE VALORES'!B314</f>
        <v/>
      </c>
      <c r="C314" s="82">
        <f>'COMPOSIÇÃO DE VALORES'!C314</f>
        <v/>
      </c>
      <c r="D314" s="82">
        <f>'COMPOSIÇÃO DE VALORES'!D314</f>
        <v/>
      </c>
      <c r="E314" s="82">
        <f>'COMPOSIÇÃO DE VALORES'!G314</f>
        <v/>
      </c>
      <c r="F314" s="82">
        <f>'COMPOSIÇÃO DE VALORES'!H314</f>
        <v/>
      </c>
      <c r="G314" s="83">
        <f>'COMPOSIÇÃO DE VALORES'!L314</f>
        <v/>
      </c>
      <c r="H314" s="83">
        <f>G314*B314</f>
        <v/>
      </c>
      <c r="I314" s="82">
        <f>IF(('COMPOSIÇÃO DE VALORES'!M314)=0,"-",('COMPOSIÇÃO DE VALORES'!M314))</f>
        <v/>
      </c>
    </row>
    <row r="315" hidden="1">
      <c r="A315" s="81" t="n">
        <v>305</v>
      </c>
      <c r="B315" s="82">
        <f>'COMPOSIÇÃO DE VALORES'!B315</f>
        <v/>
      </c>
      <c r="C315" s="82">
        <f>'COMPOSIÇÃO DE VALORES'!C315</f>
        <v/>
      </c>
      <c r="D315" s="82">
        <f>'COMPOSIÇÃO DE VALORES'!D315</f>
        <v/>
      </c>
      <c r="E315" s="82">
        <f>'COMPOSIÇÃO DE VALORES'!G315</f>
        <v/>
      </c>
      <c r="F315" s="82">
        <f>'COMPOSIÇÃO DE VALORES'!H315</f>
        <v/>
      </c>
      <c r="G315" s="83">
        <f>'COMPOSIÇÃO DE VALORES'!L315</f>
        <v/>
      </c>
      <c r="H315" s="83">
        <f>G315*B315</f>
        <v/>
      </c>
      <c r="I315" s="82">
        <f>IF(('COMPOSIÇÃO DE VALORES'!M315)=0,"-",('COMPOSIÇÃO DE VALORES'!M315))</f>
        <v/>
      </c>
    </row>
    <row r="316" hidden="1">
      <c r="A316" s="81" t="n">
        <v>306</v>
      </c>
      <c r="B316" s="82">
        <f>'COMPOSIÇÃO DE VALORES'!B316</f>
        <v/>
      </c>
      <c r="C316" s="82">
        <f>'COMPOSIÇÃO DE VALORES'!C316</f>
        <v/>
      </c>
      <c r="D316" s="82">
        <f>'COMPOSIÇÃO DE VALORES'!D316</f>
        <v/>
      </c>
      <c r="E316" s="82">
        <f>'COMPOSIÇÃO DE VALORES'!G316</f>
        <v/>
      </c>
      <c r="F316" s="82">
        <f>'COMPOSIÇÃO DE VALORES'!H316</f>
        <v/>
      </c>
      <c r="G316" s="83">
        <f>'COMPOSIÇÃO DE VALORES'!L316</f>
        <v/>
      </c>
      <c r="H316" s="83">
        <f>G316*B316</f>
        <v/>
      </c>
      <c r="I316" s="82">
        <f>IF(('COMPOSIÇÃO DE VALORES'!M316)=0,"-",('COMPOSIÇÃO DE VALORES'!M316))</f>
        <v/>
      </c>
    </row>
    <row r="317" hidden="1">
      <c r="A317" s="81" t="n">
        <v>307</v>
      </c>
      <c r="B317" s="82">
        <f>'COMPOSIÇÃO DE VALORES'!B317</f>
        <v/>
      </c>
      <c r="C317" s="82">
        <f>'COMPOSIÇÃO DE VALORES'!C317</f>
        <v/>
      </c>
      <c r="D317" s="82">
        <f>'COMPOSIÇÃO DE VALORES'!D317</f>
        <v/>
      </c>
      <c r="E317" s="82">
        <f>'COMPOSIÇÃO DE VALORES'!G317</f>
        <v/>
      </c>
      <c r="F317" s="82">
        <f>'COMPOSIÇÃO DE VALORES'!H317</f>
        <v/>
      </c>
      <c r="G317" s="83">
        <f>'COMPOSIÇÃO DE VALORES'!L317</f>
        <v/>
      </c>
      <c r="H317" s="83">
        <f>G317*B317</f>
        <v/>
      </c>
      <c r="I317" s="82">
        <f>IF(('COMPOSIÇÃO DE VALORES'!M317)=0,"-",('COMPOSIÇÃO DE VALORES'!M317))</f>
        <v/>
      </c>
    </row>
    <row r="318" hidden="1">
      <c r="A318" s="81" t="n">
        <v>308</v>
      </c>
      <c r="B318" s="82">
        <f>'COMPOSIÇÃO DE VALORES'!B318</f>
        <v/>
      </c>
      <c r="C318" s="82">
        <f>'COMPOSIÇÃO DE VALORES'!C318</f>
        <v/>
      </c>
      <c r="D318" s="82">
        <f>'COMPOSIÇÃO DE VALORES'!D318</f>
        <v/>
      </c>
      <c r="E318" s="82">
        <f>'COMPOSIÇÃO DE VALORES'!G318</f>
        <v/>
      </c>
      <c r="F318" s="82">
        <f>'COMPOSIÇÃO DE VALORES'!H318</f>
        <v/>
      </c>
      <c r="G318" s="83">
        <f>'COMPOSIÇÃO DE VALORES'!L318</f>
        <v/>
      </c>
      <c r="H318" s="83">
        <f>G318*B318</f>
        <v/>
      </c>
      <c r="I318" s="82">
        <f>IF(('COMPOSIÇÃO DE VALORES'!M318)=0,"-",('COMPOSIÇÃO DE VALORES'!M318))</f>
        <v/>
      </c>
    </row>
    <row r="319" hidden="1">
      <c r="A319" s="81" t="n">
        <v>309</v>
      </c>
      <c r="B319" s="82">
        <f>'COMPOSIÇÃO DE VALORES'!B319</f>
        <v/>
      </c>
      <c r="C319" s="82">
        <f>'COMPOSIÇÃO DE VALORES'!C319</f>
        <v/>
      </c>
      <c r="D319" s="82">
        <f>'COMPOSIÇÃO DE VALORES'!D319</f>
        <v/>
      </c>
      <c r="E319" s="82">
        <f>'COMPOSIÇÃO DE VALORES'!G319</f>
        <v/>
      </c>
      <c r="F319" s="82">
        <f>'COMPOSIÇÃO DE VALORES'!H319</f>
        <v/>
      </c>
      <c r="G319" s="83">
        <f>'COMPOSIÇÃO DE VALORES'!L319</f>
        <v/>
      </c>
      <c r="H319" s="83">
        <f>G319*B319</f>
        <v/>
      </c>
      <c r="I319" s="82">
        <f>IF(('COMPOSIÇÃO DE VALORES'!M319)=0,"-",('COMPOSIÇÃO DE VALORES'!M319))</f>
        <v/>
      </c>
    </row>
    <row r="320" hidden="1">
      <c r="A320" s="81" t="n">
        <v>310</v>
      </c>
      <c r="B320" s="82">
        <f>'COMPOSIÇÃO DE VALORES'!B320</f>
        <v/>
      </c>
      <c r="C320" s="82">
        <f>'COMPOSIÇÃO DE VALORES'!C320</f>
        <v/>
      </c>
      <c r="D320" s="82">
        <f>'COMPOSIÇÃO DE VALORES'!D320</f>
        <v/>
      </c>
      <c r="E320" s="82">
        <f>'COMPOSIÇÃO DE VALORES'!G320</f>
        <v/>
      </c>
      <c r="F320" s="82">
        <f>'COMPOSIÇÃO DE VALORES'!H320</f>
        <v/>
      </c>
      <c r="G320" s="83">
        <f>'COMPOSIÇÃO DE VALORES'!L320</f>
        <v/>
      </c>
      <c r="H320" s="83">
        <f>G320*B320</f>
        <v/>
      </c>
      <c r="I320" s="82">
        <f>IF(('COMPOSIÇÃO DE VALORES'!M320)=0,"-",('COMPOSIÇÃO DE VALORES'!M320))</f>
        <v/>
      </c>
    </row>
    <row r="321" hidden="1">
      <c r="A321" s="81" t="n">
        <v>311</v>
      </c>
      <c r="B321" s="82">
        <f>'COMPOSIÇÃO DE VALORES'!B321</f>
        <v/>
      </c>
      <c r="C321" s="82">
        <f>'COMPOSIÇÃO DE VALORES'!C321</f>
        <v/>
      </c>
      <c r="D321" s="82">
        <f>'COMPOSIÇÃO DE VALORES'!D321</f>
        <v/>
      </c>
      <c r="E321" s="82">
        <f>'COMPOSIÇÃO DE VALORES'!G321</f>
        <v/>
      </c>
      <c r="F321" s="82">
        <f>'COMPOSIÇÃO DE VALORES'!H321</f>
        <v/>
      </c>
      <c r="G321" s="83">
        <f>'COMPOSIÇÃO DE VALORES'!L321</f>
        <v/>
      </c>
      <c r="H321" s="83">
        <f>G321*B321</f>
        <v/>
      </c>
      <c r="I321" s="82">
        <f>IF(('COMPOSIÇÃO DE VALORES'!M321)=0,"-",('COMPOSIÇÃO DE VALORES'!M321))</f>
        <v/>
      </c>
    </row>
    <row r="322" hidden="1">
      <c r="A322" s="81" t="n">
        <v>312</v>
      </c>
      <c r="B322" s="82">
        <f>'COMPOSIÇÃO DE VALORES'!B322</f>
        <v/>
      </c>
      <c r="C322" s="82">
        <f>'COMPOSIÇÃO DE VALORES'!C322</f>
        <v/>
      </c>
      <c r="D322" s="82">
        <f>'COMPOSIÇÃO DE VALORES'!D322</f>
        <v/>
      </c>
      <c r="E322" s="82">
        <f>'COMPOSIÇÃO DE VALORES'!G322</f>
        <v/>
      </c>
      <c r="F322" s="82">
        <f>'COMPOSIÇÃO DE VALORES'!H322</f>
        <v/>
      </c>
      <c r="G322" s="83">
        <f>'COMPOSIÇÃO DE VALORES'!L322</f>
        <v/>
      </c>
      <c r="H322" s="83">
        <f>G322*B322</f>
        <v/>
      </c>
      <c r="I322" s="82">
        <f>IF(('COMPOSIÇÃO DE VALORES'!M322)=0,"-",('COMPOSIÇÃO DE VALORES'!M322))</f>
        <v/>
      </c>
    </row>
    <row r="323" hidden="1">
      <c r="A323" s="81" t="n">
        <v>313</v>
      </c>
      <c r="B323" s="82">
        <f>'COMPOSIÇÃO DE VALORES'!B323</f>
        <v/>
      </c>
      <c r="C323" s="82">
        <f>'COMPOSIÇÃO DE VALORES'!C323</f>
        <v/>
      </c>
      <c r="D323" s="82">
        <f>'COMPOSIÇÃO DE VALORES'!D323</f>
        <v/>
      </c>
      <c r="E323" s="82">
        <f>'COMPOSIÇÃO DE VALORES'!G323</f>
        <v/>
      </c>
      <c r="F323" s="82">
        <f>'COMPOSIÇÃO DE VALORES'!H323</f>
        <v/>
      </c>
      <c r="G323" s="83">
        <f>'COMPOSIÇÃO DE VALORES'!L323</f>
        <v/>
      </c>
      <c r="H323" s="83">
        <f>G323*B323</f>
        <v/>
      </c>
      <c r="I323" s="82">
        <f>IF(('COMPOSIÇÃO DE VALORES'!M323)=0,"-",('COMPOSIÇÃO DE VALORES'!M323))</f>
        <v/>
      </c>
    </row>
    <row r="324" hidden="1">
      <c r="A324" s="81" t="n">
        <v>314</v>
      </c>
      <c r="B324" s="82">
        <f>'COMPOSIÇÃO DE VALORES'!B324</f>
        <v/>
      </c>
      <c r="C324" s="82">
        <f>'COMPOSIÇÃO DE VALORES'!C324</f>
        <v/>
      </c>
      <c r="D324" s="82">
        <f>'COMPOSIÇÃO DE VALORES'!D324</f>
        <v/>
      </c>
      <c r="E324" s="82">
        <f>'COMPOSIÇÃO DE VALORES'!G324</f>
        <v/>
      </c>
      <c r="F324" s="82">
        <f>'COMPOSIÇÃO DE VALORES'!H324</f>
        <v/>
      </c>
      <c r="G324" s="83">
        <f>'COMPOSIÇÃO DE VALORES'!L324</f>
        <v/>
      </c>
      <c r="H324" s="83">
        <f>G324*B324</f>
        <v/>
      </c>
      <c r="I324" s="82">
        <f>IF(('COMPOSIÇÃO DE VALORES'!M324)=0,"-",('COMPOSIÇÃO DE VALORES'!M324))</f>
        <v/>
      </c>
    </row>
    <row r="325" hidden="1">
      <c r="A325" s="81" t="n">
        <v>315</v>
      </c>
      <c r="B325" s="82">
        <f>'COMPOSIÇÃO DE VALORES'!B325</f>
        <v/>
      </c>
      <c r="C325" s="82">
        <f>'COMPOSIÇÃO DE VALORES'!C325</f>
        <v/>
      </c>
      <c r="D325" s="82">
        <f>'COMPOSIÇÃO DE VALORES'!D325</f>
        <v/>
      </c>
      <c r="E325" s="82">
        <f>'COMPOSIÇÃO DE VALORES'!G325</f>
        <v/>
      </c>
      <c r="F325" s="82">
        <f>'COMPOSIÇÃO DE VALORES'!H325</f>
        <v/>
      </c>
      <c r="G325" s="83">
        <f>'COMPOSIÇÃO DE VALORES'!L325</f>
        <v/>
      </c>
      <c r="H325" s="83">
        <f>G325*B325</f>
        <v/>
      </c>
      <c r="I325" s="82">
        <f>IF(('COMPOSIÇÃO DE VALORES'!M325)=0,"-",('COMPOSIÇÃO DE VALORES'!M325))</f>
        <v/>
      </c>
    </row>
    <row r="326" hidden="1">
      <c r="A326" s="81" t="n">
        <v>316</v>
      </c>
      <c r="B326" s="82">
        <f>'COMPOSIÇÃO DE VALORES'!B326</f>
        <v/>
      </c>
      <c r="C326" s="82">
        <f>'COMPOSIÇÃO DE VALORES'!C326</f>
        <v/>
      </c>
      <c r="D326" s="82">
        <f>'COMPOSIÇÃO DE VALORES'!D326</f>
        <v/>
      </c>
      <c r="E326" s="82">
        <f>'COMPOSIÇÃO DE VALORES'!G326</f>
        <v/>
      </c>
      <c r="F326" s="82">
        <f>'COMPOSIÇÃO DE VALORES'!H326</f>
        <v/>
      </c>
      <c r="G326" s="83">
        <f>'COMPOSIÇÃO DE VALORES'!L326</f>
        <v/>
      </c>
      <c r="H326" s="83">
        <f>G326*B326</f>
        <v/>
      </c>
      <c r="I326" s="82">
        <f>IF(('COMPOSIÇÃO DE VALORES'!M326)=0,"-",('COMPOSIÇÃO DE VALORES'!M326))</f>
        <v/>
      </c>
    </row>
    <row r="327" hidden="1">
      <c r="A327" s="81" t="n">
        <v>317</v>
      </c>
      <c r="B327" s="82">
        <f>'COMPOSIÇÃO DE VALORES'!B327</f>
        <v/>
      </c>
      <c r="C327" s="82">
        <f>'COMPOSIÇÃO DE VALORES'!C327</f>
        <v/>
      </c>
      <c r="D327" s="82">
        <f>'COMPOSIÇÃO DE VALORES'!D327</f>
        <v/>
      </c>
      <c r="E327" s="82">
        <f>'COMPOSIÇÃO DE VALORES'!G327</f>
        <v/>
      </c>
      <c r="F327" s="82">
        <f>'COMPOSIÇÃO DE VALORES'!H327</f>
        <v/>
      </c>
      <c r="G327" s="83">
        <f>'COMPOSIÇÃO DE VALORES'!L327</f>
        <v/>
      </c>
      <c r="H327" s="83">
        <f>G327*B327</f>
        <v/>
      </c>
      <c r="I327" s="82">
        <f>IF(('COMPOSIÇÃO DE VALORES'!M327)=0,"-",('COMPOSIÇÃO DE VALORES'!M327))</f>
        <v/>
      </c>
    </row>
    <row r="328" hidden="1">
      <c r="A328" s="81" t="n">
        <v>318</v>
      </c>
      <c r="B328" s="82">
        <f>'COMPOSIÇÃO DE VALORES'!B328</f>
        <v/>
      </c>
      <c r="C328" s="82">
        <f>'COMPOSIÇÃO DE VALORES'!C328</f>
        <v/>
      </c>
      <c r="D328" s="82">
        <f>'COMPOSIÇÃO DE VALORES'!D328</f>
        <v/>
      </c>
      <c r="E328" s="82">
        <f>'COMPOSIÇÃO DE VALORES'!G328</f>
        <v/>
      </c>
      <c r="F328" s="82">
        <f>'COMPOSIÇÃO DE VALORES'!H328</f>
        <v/>
      </c>
      <c r="G328" s="83">
        <f>'COMPOSIÇÃO DE VALORES'!L328</f>
        <v/>
      </c>
      <c r="H328" s="83">
        <f>G328*B328</f>
        <v/>
      </c>
      <c r="I328" s="82">
        <f>IF(('COMPOSIÇÃO DE VALORES'!M328)=0,"-",('COMPOSIÇÃO DE VALORES'!M328))</f>
        <v/>
      </c>
    </row>
    <row r="329" hidden="1">
      <c r="A329" s="81" t="n">
        <v>319</v>
      </c>
      <c r="B329" s="82">
        <f>'COMPOSIÇÃO DE VALORES'!B329</f>
        <v/>
      </c>
      <c r="C329" s="82">
        <f>'COMPOSIÇÃO DE VALORES'!C329</f>
        <v/>
      </c>
      <c r="D329" s="82">
        <f>'COMPOSIÇÃO DE VALORES'!D329</f>
        <v/>
      </c>
      <c r="E329" s="82">
        <f>'COMPOSIÇÃO DE VALORES'!G329</f>
        <v/>
      </c>
      <c r="F329" s="82">
        <f>'COMPOSIÇÃO DE VALORES'!H329</f>
        <v/>
      </c>
      <c r="G329" s="83">
        <f>'COMPOSIÇÃO DE VALORES'!L329</f>
        <v/>
      </c>
      <c r="H329" s="83">
        <f>G329*B329</f>
        <v/>
      </c>
      <c r="I329" s="82">
        <f>IF(('COMPOSIÇÃO DE VALORES'!M329)=0,"-",('COMPOSIÇÃO DE VALORES'!M329))</f>
        <v/>
      </c>
    </row>
    <row r="330" hidden="1">
      <c r="A330" s="81" t="n">
        <v>320</v>
      </c>
      <c r="B330" s="82">
        <f>'COMPOSIÇÃO DE VALORES'!B330</f>
        <v/>
      </c>
      <c r="C330" s="82">
        <f>'COMPOSIÇÃO DE VALORES'!C330</f>
        <v/>
      </c>
      <c r="D330" s="82">
        <f>'COMPOSIÇÃO DE VALORES'!D330</f>
        <v/>
      </c>
      <c r="E330" s="82">
        <f>'COMPOSIÇÃO DE VALORES'!G330</f>
        <v/>
      </c>
      <c r="F330" s="82">
        <f>'COMPOSIÇÃO DE VALORES'!H330</f>
        <v/>
      </c>
      <c r="G330" s="83">
        <f>'COMPOSIÇÃO DE VALORES'!L330</f>
        <v/>
      </c>
      <c r="H330" s="83">
        <f>G330*B330</f>
        <v/>
      </c>
      <c r="I330" s="82">
        <f>IF(('COMPOSIÇÃO DE VALORES'!M330)=0,"-",('COMPOSIÇÃO DE VALORES'!M330))</f>
        <v/>
      </c>
    </row>
    <row r="331" hidden="1">
      <c r="A331" s="81" t="n">
        <v>321</v>
      </c>
      <c r="B331" s="82">
        <f>'COMPOSIÇÃO DE VALORES'!B331</f>
        <v/>
      </c>
      <c r="C331" s="82">
        <f>'COMPOSIÇÃO DE VALORES'!C331</f>
        <v/>
      </c>
      <c r="D331" s="82">
        <f>'COMPOSIÇÃO DE VALORES'!D331</f>
        <v/>
      </c>
      <c r="E331" s="82">
        <f>'COMPOSIÇÃO DE VALORES'!G331</f>
        <v/>
      </c>
      <c r="F331" s="82">
        <f>'COMPOSIÇÃO DE VALORES'!H331</f>
        <v/>
      </c>
      <c r="G331" s="83">
        <f>'COMPOSIÇÃO DE VALORES'!L331</f>
        <v/>
      </c>
      <c r="H331" s="83">
        <f>G331*B331</f>
        <v/>
      </c>
      <c r="I331" s="82">
        <f>IF(('COMPOSIÇÃO DE VALORES'!M331)=0,"-",('COMPOSIÇÃO DE VALORES'!M331))</f>
        <v/>
      </c>
    </row>
    <row r="332" hidden="1">
      <c r="A332" s="81" t="n">
        <v>322</v>
      </c>
      <c r="B332" s="82">
        <f>'COMPOSIÇÃO DE VALORES'!B332</f>
        <v/>
      </c>
      <c r="C332" s="82">
        <f>'COMPOSIÇÃO DE VALORES'!C332</f>
        <v/>
      </c>
      <c r="D332" s="82">
        <f>'COMPOSIÇÃO DE VALORES'!D332</f>
        <v/>
      </c>
      <c r="E332" s="82">
        <f>'COMPOSIÇÃO DE VALORES'!G332</f>
        <v/>
      </c>
      <c r="F332" s="82">
        <f>'COMPOSIÇÃO DE VALORES'!H332</f>
        <v/>
      </c>
      <c r="G332" s="83">
        <f>'COMPOSIÇÃO DE VALORES'!L332</f>
        <v/>
      </c>
      <c r="H332" s="83">
        <f>G332*B332</f>
        <v/>
      </c>
      <c r="I332" s="82">
        <f>IF(('COMPOSIÇÃO DE VALORES'!M332)=0,"-",('COMPOSIÇÃO DE VALORES'!M332))</f>
        <v/>
      </c>
    </row>
    <row r="333" hidden="1">
      <c r="A333" s="81" t="n">
        <v>323</v>
      </c>
      <c r="B333" s="82">
        <f>'COMPOSIÇÃO DE VALORES'!B333</f>
        <v/>
      </c>
      <c r="C333" s="82">
        <f>'COMPOSIÇÃO DE VALORES'!C333</f>
        <v/>
      </c>
      <c r="D333" s="82">
        <f>'COMPOSIÇÃO DE VALORES'!D333</f>
        <v/>
      </c>
      <c r="E333" s="82">
        <f>'COMPOSIÇÃO DE VALORES'!G333</f>
        <v/>
      </c>
      <c r="F333" s="82">
        <f>'COMPOSIÇÃO DE VALORES'!H333</f>
        <v/>
      </c>
      <c r="G333" s="83">
        <f>'COMPOSIÇÃO DE VALORES'!L333</f>
        <v/>
      </c>
      <c r="H333" s="83">
        <f>G333*B333</f>
        <v/>
      </c>
      <c r="I333" s="82">
        <f>IF(('COMPOSIÇÃO DE VALORES'!M333)=0,"-",('COMPOSIÇÃO DE VALORES'!M333))</f>
        <v/>
      </c>
    </row>
    <row r="334" hidden="1">
      <c r="A334" s="81" t="n">
        <v>324</v>
      </c>
      <c r="B334" s="82">
        <f>'COMPOSIÇÃO DE VALORES'!B334</f>
        <v/>
      </c>
      <c r="C334" s="82">
        <f>'COMPOSIÇÃO DE VALORES'!C334</f>
        <v/>
      </c>
      <c r="D334" s="82">
        <f>'COMPOSIÇÃO DE VALORES'!D334</f>
        <v/>
      </c>
      <c r="E334" s="82">
        <f>'COMPOSIÇÃO DE VALORES'!G334</f>
        <v/>
      </c>
      <c r="F334" s="82">
        <f>'COMPOSIÇÃO DE VALORES'!H334</f>
        <v/>
      </c>
      <c r="G334" s="83">
        <f>'COMPOSIÇÃO DE VALORES'!L334</f>
        <v/>
      </c>
      <c r="H334" s="83">
        <f>G334*B334</f>
        <v/>
      </c>
      <c r="I334" s="82">
        <f>IF(('COMPOSIÇÃO DE VALORES'!M334)=0,"-",('COMPOSIÇÃO DE VALORES'!M334))</f>
        <v/>
      </c>
    </row>
    <row r="335" hidden="1">
      <c r="A335" s="81" t="n">
        <v>325</v>
      </c>
      <c r="B335" s="82">
        <f>'COMPOSIÇÃO DE VALORES'!B335</f>
        <v/>
      </c>
      <c r="C335" s="82">
        <f>'COMPOSIÇÃO DE VALORES'!C335</f>
        <v/>
      </c>
      <c r="D335" s="82">
        <f>'COMPOSIÇÃO DE VALORES'!D335</f>
        <v/>
      </c>
      <c r="E335" s="82">
        <f>'COMPOSIÇÃO DE VALORES'!G335</f>
        <v/>
      </c>
      <c r="F335" s="82">
        <f>'COMPOSIÇÃO DE VALORES'!H335</f>
        <v/>
      </c>
      <c r="G335" s="83">
        <f>'COMPOSIÇÃO DE VALORES'!L335</f>
        <v/>
      </c>
      <c r="H335" s="83">
        <f>G335*B335</f>
        <v/>
      </c>
      <c r="I335" s="82">
        <f>IF(('COMPOSIÇÃO DE VALORES'!M335)=0,"-",('COMPOSIÇÃO DE VALORES'!M335))</f>
        <v/>
      </c>
    </row>
    <row r="336" hidden="1">
      <c r="A336" s="81" t="n">
        <v>326</v>
      </c>
      <c r="B336" s="82">
        <f>'COMPOSIÇÃO DE VALORES'!B336</f>
        <v/>
      </c>
      <c r="C336" s="82">
        <f>'COMPOSIÇÃO DE VALORES'!C336</f>
        <v/>
      </c>
      <c r="D336" s="82">
        <f>'COMPOSIÇÃO DE VALORES'!D336</f>
        <v/>
      </c>
      <c r="E336" s="82">
        <f>'COMPOSIÇÃO DE VALORES'!G336</f>
        <v/>
      </c>
      <c r="F336" s="82">
        <f>'COMPOSIÇÃO DE VALORES'!H336</f>
        <v/>
      </c>
      <c r="G336" s="83">
        <f>'COMPOSIÇÃO DE VALORES'!L336</f>
        <v/>
      </c>
      <c r="H336" s="83">
        <f>G336*B336</f>
        <v/>
      </c>
      <c r="I336" s="82">
        <f>IF(('COMPOSIÇÃO DE VALORES'!M336)=0,"-",('COMPOSIÇÃO DE VALORES'!M336))</f>
        <v/>
      </c>
    </row>
    <row r="337" hidden="1">
      <c r="A337" s="81" t="n">
        <v>327</v>
      </c>
      <c r="B337" s="82">
        <f>'COMPOSIÇÃO DE VALORES'!B337</f>
        <v/>
      </c>
      <c r="C337" s="82">
        <f>'COMPOSIÇÃO DE VALORES'!C337</f>
        <v/>
      </c>
      <c r="D337" s="82">
        <f>'COMPOSIÇÃO DE VALORES'!D337</f>
        <v/>
      </c>
      <c r="E337" s="82">
        <f>'COMPOSIÇÃO DE VALORES'!G337</f>
        <v/>
      </c>
      <c r="F337" s="82">
        <f>'COMPOSIÇÃO DE VALORES'!H337</f>
        <v/>
      </c>
      <c r="G337" s="83">
        <f>'COMPOSIÇÃO DE VALORES'!L337</f>
        <v/>
      </c>
      <c r="H337" s="83">
        <f>G337*B337</f>
        <v/>
      </c>
      <c r="I337" s="82">
        <f>IF(('COMPOSIÇÃO DE VALORES'!M337)=0,"-",('COMPOSIÇÃO DE VALORES'!M337))</f>
        <v/>
      </c>
    </row>
    <row r="338" hidden="1">
      <c r="A338" s="81" t="n">
        <v>328</v>
      </c>
      <c r="B338" s="82">
        <f>'COMPOSIÇÃO DE VALORES'!B338</f>
        <v/>
      </c>
      <c r="C338" s="82">
        <f>'COMPOSIÇÃO DE VALORES'!C338</f>
        <v/>
      </c>
      <c r="D338" s="82">
        <f>'COMPOSIÇÃO DE VALORES'!D338</f>
        <v/>
      </c>
      <c r="E338" s="82">
        <f>'COMPOSIÇÃO DE VALORES'!G338</f>
        <v/>
      </c>
      <c r="F338" s="82">
        <f>'COMPOSIÇÃO DE VALORES'!H338</f>
        <v/>
      </c>
      <c r="G338" s="83">
        <f>'COMPOSIÇÃO DE VALORES'!L338</f>
        <v/>
      </c>
      <c r="H338" s="83">
        <f>G338*B338</f>
        <v/>
      </c>
      <c r="I338" s="82">
        <f>IF(('COMPOSIÇÃO DE VALORES'!M338)=0,"-",('COMPOSIÇÃO DE VALORES'!M338))</f>
        <v/>
      </c>
    </row>
    <row r="339" hidden="1">
      <c r="A339" s="81" t="n">
        <v>329</v>
      </c>
      <c r="B339" s="82">
        <f>'COMPOSIÇÃO DE VALORES'!B339</f>
        <v/>
      </c>
      <c r="C339" s="82">
        <f>'COMPOSIÇÃO DE VALORES'!C339</f>
        <v/>
      </c>
      <c r="D339" s="82">
        <f>'COMPOSIÇÃO DE VALORES'!D339</f>
        <v/>
      </c>
      <c r="E339" s="82">
        <f>'COMPOSIÇÃO DE VALORES'!G339</f>
        <v/>
      </c>
      <c r="F339" s="82">
        <f>'COMPOSIÇÃO DE VALORES'!H339</f>
        <v/>
      </c>
      <c r="G339" s="83">
        <f>'COMPOSIÇÃO DE VALORES'!L339</f>
        <v/>
      </c>
      <c r="H339" s="83">
        <f>G339*B339</f>
        <v/>
      </c>
      <c r="I339" s="82">
        <f>IF(('COMPOSIÇÃO DE VALORES'!M339)=0,"-",('COMPOSIÇÃO DE VALORES'!M339))</f>
        <v/>
      </c>
    </row>
    <row r="340" hidden="1">
      <c r="A340" s="81" t="n">
        <v>330</v>
      </c>
      <c r="B340" s="82">
        <f>'COMPOSIÇÃO DE VALORES'!B340</f>
        <v/>
      </c>
      <c r="C340" s="82">
        <f>'COMPOSIÇÃO DE VALORES'!C340</f>
        <v/>
      </c>
      <c r="D340" s="82">
        <f>'COMPOSIÇÃO DE VALORES'!D340</f>
        <v/>
      </c>
      <c r="E340" s="82">
        <f>'COMPOSIÇÃO DE VALORES'!G340</f>
        <v/>
      </c>
      <c r="F340" s="82">
        <f>'COMPOSIÇÃO DE VALORES'!H340</f>
        <v/>
      </c>
      <c r="G340" s="83">
        <f>'COMPOSIÇÃO DE VALORES'!L340</f>
        <v/>
      </c>
      <c r="H340" s="83">
        <f>G340*B340</f>
        <v/>
      </c>
      <c r="I340" s="82">
        <f>IF(('COMPOSIÇÃO DE VALORES'!M340)=0,"-",('COMPOSIÇÃO DE VALORES'!M340))</f>
        <v/>
      </c>
    </row>
    <row r="341" hidden="1">
      <c r="A341" s="81" t="n">
        <v>331</v>
      </c>
      <c r="B341" s="82">
        <f>'COMPOSIÇÃO DE VALORES'!B341</f>
        <v/>
      </c>
      <c r="C341" s="82">
        <f>'COMPOSIÇÃO DE VALORES'!C341</f>
        <v/>
      </c>
      <c r="D341" s="82">
        <f>'COMPOSIÇÃO DE VALORES'!D341</f>
        <v/>
      </c>
      <c r="E341" s="82">
        <f>'COMPOSIÇÃO DE VALORES'!G341</f>
        <v/>
      </c>
      <c r="F341" s="82">
        <f>'COMPOSIÇÃO DE VALORES'!H341</f>
        <v/>
      </c>
      <c r="G341" s="83">
        <f>'COMPOSIÇÃO DE VALORES'!L341</f>
        <v/>
      </c>
      <c r="H341" s="83">
        <f>G341*B341</f>
        <v/>
      </c>
      <c r="I341" s="82">
        <f>IF(('COMPOSIÇÃO DE VALORES'!M341)=0,"-",('COMPOSIÇÃO DE VALORES'!M341))</f>
        <v/>
      </c>
    </row>
    <row r="342" hidden="1">
      <c r="A342" s="81" t="n">
        <v>332</v>
      </c>
      <c r="B342" s="82">
        <f>'COMPOSIÇÃO DE VALORES'!B342</f>
        <v/>
      </c>
      <c r="C342" s="82">
        <f>'COMPOSIÇÃO DE VALORES'!C342</f>
        <v/>
      </c>
      <c r="D342" s="82">
        <f>'COMPOSIÇÃO DE VALORES'!D342</f>
        <v/>
      </c>
      <c r="E342" s="82">
        <f>'COMPOSIÇÃO DE VALORES'!G342</f>
        <v/>
      </c>
      <c r="F342" s="82">
        <f>'COMPOSIÇÃO DE VALORES'!H342</f>
        <v/>
      </c>
      <c r="G342" s="83">
        <f>'COMPOSIÇÃO DE VALORES'!L342</f>
        <v/>
      </c>
      <c r="H342" s="83">
        <f>G342*B342</f>
        <v/>
      </c>
      <c r="I342" s="82">
        <f>IF(('COMPOSIÇÃO DE VALORES'!M342)=0,"-",('COMPOSIÇÃO DE VALORES'!M342))</f>
        <v/>
      </c>
    </row>
    <row r="343" hidden="1">
      <c r="A343" s="81" t="n">
        <v>333</v>
      </c>
      <c r="B343" s="82">
        <f>'COMPOSIÇÃO DE VALORES'!B343</f>
        <v/>
      </c>
      <c r="C343" s="82">
        <f>'COMPOSIÇÃO DE VALORES'!C343</f>
        <v/>
      </c>
      <c r="D343" s="82">
        <f>'COMPOSIÇÃO DE VALORES'!D343</f>
        <v/>
      </c>
      <c r="E343" s="82">
        <f>'COMPOSIÇÃO DE VALORES'!G343</f>
        <v/>
      </c>
      <c r="F343" s="82">
        <f>'COMPOSIÇÃO DE VALORES'!H343</f>
        <v/>
      </c>
      <c r="G343" s="83">
        <f>'COMPOSIÇÃO DE VALORES'!L343</f>
        <v/>
      </c>
      <c r="H343" s="83">
        <f>G343*B343</f>
        <v/>
      </c>
      <c r="I343" s="82">
        <f>IF(('COMPOSIÇÃO DE VALORES'!M343)=0,"-",('COMPOSIÇÃO DE VALORES'!M343))</f>
        <v/>
      </c>
    </row>
    <row r="344" hidden="1">
      <c r="A344" s="81" t="n">
        <v>334</v>
      </c>
      <c r="B344" s="82">
        <f>'COMPOSIÇÃO DE VALORES'!B344</f>
        <v/>
      </c>
      <c r="C344" s="82">
        <f>'COMPOSIÇÃO DE VALORES'!C344</f>
        <v/>
      </c>
      <c r="D344" s="82">
        <f>'COMPOSIÇÃO DE VALORES'!D344</f>
        <v/>
      </c>
      <c r="E344" s="82">
        <f>'COMPOSIÇÃO DE VALORES'!G344</f>
        <v/>
      </c>
      <c r="F344" s="82">
        <f>'COMPOSIÇÃO DE VALORES'!H344</f>
        <v/>
      </c>
      <c r="G344" s="83">
        <f>'COMPOSIÇÃO DE VALORES'!L344</f>
        <v/>
      </c>
      <c r="H344" s="83">
        <f>G344*B344</f>
        <v/>
      </c>
      <c r="I344" s="82">
        <f>IF(('COMPOSIÇÃO DE VALORES'!M344)=0,"-",('COMPOSIÇÃO DE VALORES'!M344))</f>
        <v/>
      </c>
    </row>
    <row r="345" hidden="1">
      <c r="A345" s="81" t="n">
        <v>335</v>
      </c>
      <c r="B345" s="82">
        <f>'COMPOSIÇÃO DE VALORES'!B345</f>
        <v/>
      </c>
      <c r="C345" s="82">
        <f>'COMPOSIÇÃO DE VALORES'!C345</f>
        <v/>
      </c>
      <c r="D345" s="82">
        <f>'COMPOSIÇÃO DE VALORES'!D345</f>
        <v/>
      </c>
      <c r="E345" s="82">
        <f>'COMPOSIÇÃO DE VALORES'!G345</f>
        <v/>
      </c>
      <c r="F345" s="82">
        <f>'COMPOSIÇÃO DE VALORES'!H345</f>
        <v/>
      </c>
      <c r="G345" s="83">
        <f>'COMPOSIÇÃO DE VALORES'!L345</f>
        <v/>
      </c>
      <c r="H345" s="83">
        <f>G345*B345</f>
        <v/>
      </c>
      <c r="I345" s="82">
        <f>IF(('COMPOSIÇÃO DE VALORES'!M345)=0,"-",('COMPOSIÇÃO DE VALORES'!M345))</f>
        <v/>
      </c>
    </row>
    <row r="346" hidden="1">
      <c r="A346" s="81" t="n">
        <v>336</v>
      </c>
      <c r="B346" s="82">
        <f>'COMPOSIÇÃO DE VALORES'!B346</f>
        <v/>
      </c>
      <c r="C346" s="82">
        <f>'COMPOSIÇÃO DE VALORES'!C346</f>
        <v/>
      </c>
      <c r="D346" s="82">
        <f>'COMPOSIÇÃO DE VALORES'!D346</f>
        <v/>
      </c>
      <c r="E346" s="82">
        <f>'COMPOSIÇÃO DE VALORES'!G346</f>
        <v/>
      </c>
      <c r="F346" s="82">
        <f>'COMPOSIÇÃO DE VALORES'!H346</f>
        <v/>
      </c>
      <c r="G346" s="83">
        <f>'COMPOSIÇÃO DE VALORES'!L346</f>
        <v/>
      </c>
      <c r="H346" s="83">
        <f>G346*B346</f>
        <v/>
      </c>
      <c r="I346" s="82">
        <f>IF(('COMPOSIÇÃO DE VALORES'!M346)=0,"-",('COMPOSIÇÃO DE VALORES'!M346))</f>
        <v/>
      </c>
    </row>
    <row r="347" hidden="1">
      <c r="A347" s="81" t="n">
        <v>337</v>
      </c>
      <c r="B347" s="82">
        <f>'COMPOSIÇÃO DE VALORES'!B347</f>
        <v/>
      </c>
      <c r="C347" s="82">
        <f>'COMPOSIÇÃO DE VALORES'!C347</f>
        <v/>
      </c>
      <c r="D347" s="82">
        <f>'COMPOSIÇÃO DE VALORES'!D347</f>
        <v/>
      </c>
      <c r="E347" s="82">
        <f>'COMPOSIÇÃO DE VALORES'!G347</f>
        <v/>
      </c>
      <c r="F347" s="82">
        <f>'COMPOSIÇÃO DE VALORES'!H347</f>
        <v/>
      </c>
      <c r="G347" s="83">
        <f>'COMPOSIÇÃO DE VALORES'!L347</f>
        <v/>
      </c>
      <c r="H347" s="83">
        <f>G347*B347</f>
        <v/>
      </c>
      <c r="I347" s="82">
        <f>IF(('COMPOSIÇÃO DE VALORES'!M347)=0,"-",('COMPOSIÇÃO DE VALORES'!M347))</f>
        <v/>
      </c>
    </row>
    <row r="348" hidden="1">
      <c r="A348" s="81" t="n">
        <v>338</v>
      </c>
      <c r="B348" s="82">
        <f>'COMPOSIÇÃO DE VALORES'!B348</f>
        <v/>
      </c>
      <c r="C348" s="82">
        <f>'COMPOSIÇÃO DE VALORES'!C348</f>
        <v/>
      </c>
      <c r="D348" s="82">
        <f>'COMPOSIÇÃO DE VALORES'!D348</f>
        <v/>
      </c>
      <c r="E348" s="82">
        <f>'COMPOSIÇÃO DE VALORES'!G348</f>
        <v/>
      </c>
      <c r="F348" s="82">
        <f>'COMPOSIÇÃO DE VALORES'!H348</f>
        <v/>
      </c>
      <c r="G348" s="83">
        <f>'COMPOSIÇÃO DE VALORES'!L348</f>
        <v/>
      </c>
      <c r="H348" s="83">
        <f>G348*B348</f>
        <v/>
      </c>
      <c r="I348" s="82">
        <f>IF(('COMPOSIÇÃO DE VALORES'!M348)=0,"-",('COMPOSIÇÃO DE VALORES'!M348))</f>
        <v/>
      </c>
    </row>
    <row r="349" hidden="1">
      <c r="A349" s="81" t="n">
        <v>339</v>
      </c>
      <c r="B349" s="82">
        <f>'COMPOSIÇÃO DE VALORES'!B349</f>
        <v/>
      </c>
      <c r="C349" s="82">
        <f>'COMPOSIÇÃO DE VALORES'!C349</f>
        <v/>
      </c>
      <c r="D349" s="82">
        <f>'COMPOSIÇÃO DE VALORES'!D349</f>
        <v/>
      </c>
      <c r="E349" s="82">
        <f>'COMPOSIÇÃO DE VALORES'!G349</f>
        <v/>
      </c>
      <c r="F349" s="82">
        <f>'COMPOSIÇÃO DE VALORES'!H349</f>
        <v/>
      </c>
      <c r="G349" s="83">
        <f>'COMPOSIÇÃO DE VALORES'!L349</f>
        <v/>
      </c>
      <c r="H349" s="83">
        <f>G349*B349</f>
        <v/>
      </c>
      <c r="I349" s="82">
        <f>IF(('COMPOSIÇÃO DE VALORES'!M349)=0,"-",('COMPOSIÇÃO DE VALORES'!M349))</f>
        <v/>
      </c>
    </row>
    <row r="350" hidden="1">
      <c r="A350" s="81" t="n">
        <v>340</v>
      </c>
      <c r="B350" s="82">
        <f>'COMPOSIÇÃO DE VALORES'!B350</f>
        <v/>
      </c>
      <c r="C350" s="82">
        <f>'COMPOSIÇÃO DE VALORES'!C350</f>
        <v/>
      </c>
      <c r="D350" s="82">
        <f>'COMPOSIÇÃO DE VALORES'!D350</f>
        <v/>
      </c>
      <c r="E350" s="82">
        <f>'COMPOSIÇÃO DE VALORES'!G350</f>
        <v/>
      </c>
      <c r="F350" s="82">
        <f>'COMPOSIÇÃO DE VALORES'!H350</f>
        <v/>
      </c>
      <c r="G350" s="83">
        <f>'COMPOSIÇÃO DE VALORES'!L350</f>
        <v/>
      </c>
      <c r="H350" s="83">
        <f>G350*B350</f>
        <v/>
      </c>
      <c r="I350" s="82">
        <f>IF(('COMPOSIÇÃO DE VALORES'!M350)=0,"-",('COMPOSIÇÃO DE VALORES'!M350))</f>
        <v/>
      </c>
    </row>
    <row r="351" hidden="1">
      <c r="A351" s="81" t="n">
        <v>341</v>
      </c>
      <c r="B351" s="82">
        <f>'COMPOSIÇÃO DE VALORES'!B351</f>
        <v/>
      </c>
      <c r="C351" s="82">
        <f>'COMPOSIÇÃO DE VALORES'!C351</f>
        <v/>
      </c>
      <c r="D351" s="82">
        <f>'COMPOSIÇÃO DE VALORES'!D351</f>
        <v/>
      </c>
      <c r="E351" s="82">
        <f>'COMPOSIÇÃO DE VALORES'!G351</f>
        <v/>
      </c>
      <c r="F351" s="82">
        <f>'COMPOSIÇÃO DE VALORES'!H351</f>
        <v/>
      </c>
      <c r="G351" s="83">
        <f>'COMPOSIÇÃO DE VALORES'!L351</f>
        <v/>
      </c>
      <c r="H351" s="83">
        <f>G351*B351</f>
        <v/>
      </c>
      <c r="I351" s="82">
        <f>IF(('COMPOSIÇÃO DE VALORES'!M351)=0,"-",('COMPOSIÇÃO DE VALORES'!M351))</f>
        <v/>
      </c>
    </row>
    <row r="352" hidden="1">
      <c r="A352" s="81" t="n">
        <v>342</v>
      </c>
      <c r="B352" s="82">
        <f>'COMPOSIÇÃO DE VALORES'!B352</f>
        <v/>
      </c>
      <c r="C352" s="82">
        <f>'COMPOSIÇÃO DE VALORES'!C352</f>
        <v/>
      </c>
      <c r="D352" s="82">
        <f>'COMPOSIÇÃO DE VALORES'!D352</f>
        <v/>
      </c>
      <c r="E352" s="82">
        <f>'COMPOSIÇÃO DE VALORES'!G352</f>
        <v/>
      </c>
      <c r="F352" s="82">
        <f>'COMPOSIÇÃO DE VALORES'!H352</f>
        <v/>
      </c>
      <c r="G352" s="83">
        <f>'COMPOSIÇÃO DE VALORES'!L352</f>
        <v/>
      </c>
      <c r="H352" s="83">
        <f>G352*B352</f>
        <v/>
      </c>
      <c r="I352" s="82">
        <f>IF(('COMPOSIÇÃO DE VALORES'!M352)=0,"-",('COMPOSIÇÃO DE VALORES'!M352))</f>
        <v/>
      </c>
    </row>
    <row r="353" hidden="1">
      <c r="A353" s="81" t="n">
        <v>343</v>
      </c>
      <c r="B353" s="82">
        <f>'COMPOSIÇÃO DE VALORES'!B353</f>
        <v/>
      </c>
      <c r="C353" s="82">
        <f>'COMPOSIÇÃO DE VALORES'!C353</f>
        <v/>
      </c>
      <c r="D353" s="82">
        <f>'COMPOSIÇÃO DE VALORES'!D353</f>
        <v/>
      </c>
      <c r="E353" s="82">
        <f>'COMPOSIÇÃO DE VALORES'!G353</f>
        <v/>
      </c>
      <c r="F353" s="82">
        <f>'COMPOSIÇÃO DE VALORES'!H353</f>
        <v/>
      </c>
      <c r="G353" s="83">
        <f>'COMPOSIÇÃO DE VALORES'!L353</f>
        <v/>
      </c>
      <c r="H353" s="83">
        <f>G353*B353</f>
        <v/>
      </c>
      <c r="I353" s="82">
        <f>IF(('COMPOSIÇÃO DE VALORES'!M353)=0,"-",('COMPOSIÇÃO DE VALORES'!M353))</f>
        <v/>
      </c>
    </row>
    <row r="354" hidden="1">
      <c r="A354" s="81" t="n">
        <v>344</v>
      </c>
      <c r="B354" s="82">
        <f>'COMPOSIÇÃO DE VALORES'!B354</f>
        <v/>
      </c>
      <c r="C354" s="82">
        <f>'COMPOSIÇÃO DE VALORES'!C354</f>
        <v/>
      </c>
      <c r="D354" s="82">
        <f>'COMPOSIÇÃO DE VALORES'!D354</f>
        <v/>
      </c>
      <c r="E354" s="82">
        <f>'COMPOSIÇÃO DE VALORES'!G354</f>
        <v/>
      </c>
      <c r="F354" s="82">
        <f>'COMPOSIÇÃO DE VALORES'!H354</f>
        <v/>
      </c>
      <c r="G354" s="83">
        <f>'COMPOSIÇÃO DE VALORES'!L354</f>
        <v/>
      </c>
      <c r="H354" s="83">
        <f>G354*B354</f>
        <v/>
      </c>
      <c r="I354" s="82">
        <f>IF(('COMPOSIÇÃO DE VALORES'!M354)=0,"-",('COMPOSIÇÃO DE VALORES'!M354))</f>
        <v/>
      </c>
    </row>
    <row r="355" hidden="1">
      <c r="A355" s="81" t="n">
        <v>345</v>
      </c>
      <c r="B355" s="82">
        <f>'COMPOSIÇÃO DE VALORES'!B355</f>
        <v/>
      </c>
      <c r="C355" s="82">
        <f>'COMPOSIÇÃO DE VALORES'!C355</f>
        <v/>
      </c>
      <c r="D355" s="82">
        <f>'COMPOSIÇÃO DE VALORES'!D355</f>
        <v/>
      </c>
      <c r="E355" s="82">
        <f>'COMPOSIÇÃO DE VALORES'!G355</f>
        <v/>
      </c>
      <c r="F355" s="82">
        <f>'COMPOSIÇÃO DE VALORES'!H355</f>
        <v/>
      </c>
      <c r="G355" s="83">
        <f>'COMPOSIÇÃO DE VALORES'!L355</f>
        <v/>
      </c>
      <c r="H355" s="83">
        <f>G355*B355</f>
        <v/>
      </c>
      <c r="I355" s="82">
        <f>IF(('COMPOSIÇÃO DE VALORES'!M355)=0,"-",('COMPOSIÇÃO DE VALORES'!M355))</f>
        <v/>
      </c>
    </row>
    <row r="356" hidden="1">
      <c r="A356" s="81" t="n">
        <v>346</v>
      </c>
      <c r="B356" s="82">
        <f>'COMPOSIÇÃO DE VALORES'!B356</f>
        <v/>
      </c>
      <c r="C356" s="82">
        <f>'COMPOSIÇÃO DE VALORES'!C356</f>
        <v/>
      </c>
      <c r="D356" s="82">
        <f>'COMPOSIÇÃO DE VALORES'!D356</f>
        <v/>
      </c>
      <c r="E356" s="82">
        <f>'COMPOSIÇÃO DE VALORES'!G356</f>
        <v/>
      </c>
      <c r="F356" s="82">
        <f>'COMPOSIÇÃO DE VALORES'!H356</f>
        <v/>
      </c>
      <c r="G356" s="83">
        <f>'COMPOSIÇÃO DE VALORES'!L356</f>
        <v/>
      </c>
      <c r="H356" s="83">
        <f>G356*B356</f>
        <v/>
      </c>
      <c r="I356" s="82">
        <f>IF(('COMPOSIÇÃO DE VALORES'!M356)=0,"-",('COMPOSIÇÃO DE VALORES'!M356))</f>
        <v/>
      </c>
    </row>
    <row r="357" hidden="1">
      <c r="A357" s="81" t="n">
        <v>347</v>
      </c>
      <c r="B357" s="82">
        <f>'COMPOSIÇÃO DE VALORES'!B357</f>
        <v/>
      </c>
      <c r="C357" s="82">
        <f>'COMPOSIÇÃO DE VALORES'!C357</f>
        <v/>
      </c>
      <c r="D357" s="82">
        <f>'COMPOSIÇÃO DE VALORES'!D357</f>
        <v/>
      </c>
      <c r="E357" s="82">
        <f>'COMPOSIÇÃO DE VALORES'!G357</f>
        <v/>
      </c>
      <c r="F357" s="82">
        <f>'COMPOSIÇÃO DE VALORES'!H357</f>
        <v/>
      </c>
      <c r="G357" s="83">
        <f>'COMPOSIÇÃO DE VALORES'!L357</f>
        <v/>
      </c>
      <c r="H357" s="83">
        <f>G357*B357</f>
        <v/>
      </c>
      <c r="I357" s="82">
        <f>IF(('COMPOSIÇÃO DE VALORES'!M357)=0,"-",('COMPOSIÇÃO DE VALORES'!M357))</f>
        <v/>
      </c>
    </row>
    <row r="358" hidden="1">
      <c r="A358" s="81" t="n">
        <v>348</v>
      </c>
      <c r="B358" s="82">
        <f>'COMPOSIÇÃO DE VALORES'!B358</f>
        <v/>
      </c>
      <c r="C358" s="82">
        <f>'COMPOSIÇÃO DE VALORES'!C358</f>
        <v/>
      </c>
      <c r="D358" s="82">
        <f>'COMPOSIÇÃO DE VALORES'!D358</f>
        <v/>
      </c>
      <c r="E358" s="82">
        <f>'COMPOSIÇÃO DE VALORES'!G358</f>
        <v/>
      </c>
      <c r="F358" s="82">
        <f>'COMPOSIÇÃO DE VALORES'!H358</f>
        <v/>
      </c>
      <c r="G358" s="83">
        <f>'COMPOSIÇÃO DE VALORES'!L358</f>
        <v/>
      </c>
      <c r="H358" s="83">
        <f>G358*B358</f>
        <v/>
      </c>
      <c r="I358" s="82">
        <f>IF(('COMPOSIÇÃO DE VALORES'!M358)=0,"-",('COMPOSIÇÃO DE VALORES'!M358))</f>
        <v/>
      </c>
    </row>
    <row r="359" hidden="1">
      <c r="A359" s="81" t="n">
        <v>349</v>
      </c>
      <c r="B359" s="82">
        <f>'COMPOSIÇÃO DE VALORES'!B359</f>
        <v/>
      </c>
      <c r="C359" s="82">
        <f>'COMPOSIÇÃO DE VALORES'!C359</f>
        <v/>
      </c>
      <c r="D359" s="82">
        <f>'COMPOSIÇÃO DE VALORES'!D359</f>
        <v/>
      </c>
      <c r="E359" s="82">
        <f>'COMPOSIÇÃO DE VALORES'!G359</f>
        <v/>
      </c>
      <c r="F359" s="82">
        <f>'COMPOSIÇÃO DE VALORES'!H359</f>
        <v/>
      </c>
      <c r="G359" s="83">
        <f>'COMPOSIÇÃO DE VALORES'!L359</f>
        <v/>
      </c>
      <c r="H359" s="83">
        <f>G359*B359</f>
        <v/>
      </c>
      <c r="I359" s="82">
        <f>IF(('COMPOSIÇÃO DE VALORES'!M359)=0,"-",('COMPOSIÇÃO DE VALORES'!M359))</f>
        <v/>
      </c>
    </row>
    <row r="360" hidden="1">
      <c r="A360" s="81" t="n">
        <v>350</v>
      </c>
      <c r="B360" s="82">
        <f>'COMPOSIÇÃO DE VALORES'!B360</f>
        <v/>
      </c>
      <c r="C360" s="82">
        <f>'COMPOSIÇÃO DE VALORES'!C360</f>
        <v/>
      </c>
      <c r="D360" s="82">
        <f>'COMPOSIÇÃO DE VALORES'!D360</f>
        <v/>
      </c>
      <c r="E360" s="82">
        <f>'COMPOSIÇÃO DE VALORES'!G360</f>
        <v/>
      </c>
      <c r="F360" s="82">
        <f>'COMPOSIÇÃO DE VALORES'!H360</f>
        <v/>
      </c>
      <c r="G360" s="83">
        <f>'COMPOSIÇÃO DE VALORES'!L360</f>
        <v/>
      </c>
      <c r="H360" s="83">
        <f>G360*B360</f>
        <v/>
      </c>
      <c r="I360" s="82">
        <f>IF(('COMPOSIÇÃO DE VALORES'!M360)=0,"-",('COMPOSIÇÃO DE VALORES'!M360))</f>
        <v/>
      </c>
    </row>
    <row r="361" hidden="1">
      <c r="A361" s="81" t="n">
        <v>351</v>
      </c>
      <c r="B361" s="82">
        <f>'COMPOSIÇÃO DE VALORES'!B361</f>
        <v/>
      </c>
      <c r="C361" s="82">
        <f>'COMPOSIÇÃO DE VALORES'!C361</f>
        <v/>
      </c>
      <c r="D361" s="82">
        <f>'COMPOSIÇÃO DE VALORES'!D361</f>
        <v/>
      </c>
      <c r="E361" s="82">
        <f>'COMPOSIÇÃO DE VALORES'!G361</f>
        <v/>
      </c>
      <c r="F361" s="82">
        <f>'COMPOSIÇÃO DE VALORES'!H361</f>
        <v/>
      </c>
      <c r="G361" s="83">
        <f>'COMPOSIÇÃO DE VALORES'!L361</f>
        <v/>
      </c>
      <c r="H361" s="83">
        <f>G361*B361</f>
        <v/>
      </c>
      <c r="I361" s="82">
        <f>IF(('COMPOSIÇÃO DE VALORES'!M361)=0,"-",('COMPOSIÇÃO DE VALORES'!M361))</f>
        <v/>
      </c>
    </row>
    <row r="362" hidden="1">
      <c r="A362" s="81" t="n">
        <v>352</v>
      </c>
      <c r="B362" s="82">
        <f>'COMPOSIÇÃO DE VALORES'!B362</f>
        <v/>
      </c>
      <c r="C362" s="82">
        <f>'COMPOSIÇÃO DE VALORES'!C362</f>
        <v/>
      </c>
      <c r="D362" s="82">
        <f>'COMPOSIÇÃO DE VALORES'!D362</f>
        <v/>
      </c>
      <c r="E362" s="82">
        <f>'COMPOSIÇÃO DE VALORES'!G362</f>
        <v/>
      </c>
      <c r="F362" s="82">
        <f>'COMPOSIÇÃO DE VALORES'!H362</f>
        <v/>
      </c>
      <c r="G362" s="83">
        <f>'COMPOSIÇÃO DE VALORES'!L362</f>
        <v/>
      </c>
      <c r="H362" s="83">
        <f>G362*B362</f>
        <v/>
      </c>
      <c r="I362" s="82">
        <f>IF(('COMPOSIÇÃO DE VALORES'!M362)=0,"-",('COMPOSIÇÃO DE VALORES'!M362))</f>
        <v/>
      </c>
    </row>
    <row r="363" hidden="1">
      <c r="A363" s="81" t="n">
        <v>353</v>
      </c>
      <c r="B363" s="82">
        <f>'COMPOSIÇÃO DE VALORES'!B363</f>
        <v/>
      </c>
      <c r="C363" s="82">
        <f>'COMPOSIÇÃO DE VALORES'!C363</f>
        <v/>
      </c>
      <c r="D363" s="82">
        <f>'COMPOSIÇÃO DE VALORES'!D363</f>
        <v/>
      </c>
      <c r="E363" s="82">
        <f>'COMPOSIÇÃO DE VALORES'!G363</f>
        <v/>
      </c>
      <c r="F363" s="82">
        <f>'COMPOSIÇÃO DE VALORES'!H363</f>
        <v/>
      </c>
      <c r="G363" s="83">
        <f>'COMPOSIÇÃO DE VALORES'!L363</f>
        <v/>
      </c>
      <c r="H363" s="83">
        <f>G363*B363</f>
        <v/>
      </c>
      <c r="I363" s="82">
        <f>IF(('COMPOSIÇÃO DE VALORES'!M363)=0,"-",('COMPOSIÇÃO DE VALORES'!M363))</f>
        <v/>
      </c>
    </row>
    <row r="364" hidden="1">
      <c r="A364" s="81" t="n">
        <v>354</v>
      </c>
      <c r="B364" s="82">
        <f>'COMPOSIÇÃO DE VALORES'!B364</f>
        <v/>
      </c>
      <c r="C364" s="82">
        <f>'COMPOSIÇÃO DE VALORES'!C364</f>
        <v/>
      </c>
      <c r="D364" s="82">
        <f>'COMPOSIÇÃO DE VALORES'!D364</f>
        <v/>
      </c>
      <c r="E364" s="82">
        <f>'COMPOSIÇÃO DE VALORES'!G364</f>
        <v/>
      </c>
      <c r="F364" s="82">
        <f>'COMPOSIÇÃO DE VALORES'!H364</f>
        <v/>
      </c>
      <c r="G364" s="83">
        <f>'COMPOSIÇÃO DE VALORES'!L364</f>
        <v/>
      </c>
      <c r="H364" s="83">
        <f>G364*B364</f>
        <v/>
      </c>
      <c r="I364" s="82">
        <f>IF(('COMPOSIÇÃO DE VALORES'!M364)=0,"-",('COMPOSIÇÃO DE VALORES'!M364))</f>
        <v/>
      </c>
    </row>
    <row r="365" hidden="1">
      <c r="A365" s="81" t="n">
        <v>355</v>
      </c>
      <c r="B365" s="82">
        <f>'COMPOSIÇÃO DE VALORES'!B365</f>
        <v/>
      </c>
      <c r="C365" s="82">
        <f>'COMPOSIÇÃO DE VALORES'!C365</f>
        <v/>
      </c>
      <c r="D365" s="82">
        <f>'COMPOSIÇÃO DE VALORES'!D365</f>
        <v/>
      </c>
      <c r="E365" s="82">
        <f>'COMPOSIÇÃO DE VALORES'!G365</f>
        <v/>
      </c>
      <c r="F365" s="82">
        <f>'COMPOSIÇÃO DE VALORES'!H365</f>
        <v/>
      </c>
      <c r="G365" s="83">
        <f>'COMPOSIÇÃO DE VALORES'!L365</f>
        <v/>
      </c>
      <c r="H365" s="83">
        <f>G365*B365</f>
        <v/>
      </c>
      <c r="I365" s="82">
        <f>IF(('COMPOSIÇÃO DE VALORES'!M365)=0,"-",('COMPOSIÇÃO DE VALORES'!M365))</f>
        <v/>
      </c>
    </row>
    <row r="366" hidden="1">
      <c r="A366" s="81" t="n">
        <v>356</v>
      </c>
      <c r="B366" s="82">
        <f>'COMPOSIÇÃO DE VALORES'!B366</f>
        <v/>
      </c>
      <c r="C366" s="82">
        <f>'COMPOSIÇÃO DE VALORES'!C366</f>
        <v/>
      </c>
      <c r="D366" s="82">
        <f>'COMPOSIÇÃO DE VALORES'!D366</f>
        <v/>
      </c>
      <c r="E366" s="82">
        <f>'COMPOSIÇÃO DE VALORES'!G366</f>
        <v/>
      </c>
      <c r="F366" s="82">
        <f>'COMPOSIÇÃO DE VALORES'!H366</f>
        <v/>
      </c>
      <c r="G366" s="83">
        <f>'COMPOSIÇÃO DE VALORES'!L366</f>
        <v/>
      </c>
      <c r="H366" s="83">
        <f>G366*B366</f>
        <v/>
      </c>
      <c r="I366" s="82">
        <f>IF(('COMPOSIÇÃO DE VALORES'!M366)=0,"-",('COMPOSIÇÃO DE VALORES'!M366))</f>
        <v/>
      </c>
    </row>
    <row r="367" hidden="1">
      <c r="A367" s="81" t="n">
        <v>357</v>
      </c>
      <c r="B367" s="82">
        <f>'COMPOSIÇÃO DE VALORES'!B367</f>
        <v/>
      </c>
      <c r="C367" s="82">
        <f>'COMPOSIÇÃO DE VALORES'!C367</f>
        <v/>
      </c>
      <c r="D367" s="82">
        <f>'COMPOSIÇÃO DE VALORES'!D367</f>
        <v/>
      </c>
      <c r="E367" s="82">
        <f>'COMPOSIÇÃO DE VALORES'!G367</f>
        <v/>
      </c>
      <c r="F367" s="82">
        <f>'COMPOSIÇÃO DE VALORES'!H367</f>
        <v/>
      </c>
      <c r="G367" s="83">
        <f>'COMPOSIÇÃO DE VALORES'!L367</f>
        <v/>
      </c>
      <c r="H367" s="83">
        <f>G367*B367</f>
        <v/>
      </c>
      <c r="I367" s="82">
        <f>IF(('COMPOSIÇÃO DE VALORES'!M367)=0,"-",('COMPOSIÇÃO DE VALORES'!M367))</f>
        <v/>
      </c>
    </row>
    <row r="368" hidden="1">
      <c r="A368" s="81" t="n">
        <v>358</v>
      </c>
      <c r="B368" s="82">
        <f>'COMPOSIÇÃO DE VALORES'!B368</f>
        <v/>
      </c>
      <c r="C368" s="82">
        <f>'COMPOSIÇÃO DE VALORES'!C368</f>
        <v/>
      </c>
      <c r="D368" s="82">
        <f>'COMPOSIÇÃO DE VALORES'!D368</f>
        <v/>
      </c>
      <c r="E368" s="82">
        <f>'COMPOSIÇÃO DE VALORES'!G368</f>
        <v/>
      </c>
      <c r="F368" s="82">
        <f>'COMPOSIÇÃO DE VALORES'!H368</f>
        <v/>
      </c>
      <c r="G368" s="83">
        <f>'COMPOSIÇÃO DE VALORES'!L368</f>
        <v/>
      </c>
      <c r="H368" s="83">
        <f>G368*B368</f>
        <v/>
      </c>
      <c r="I368" s="82">
        <f>IF(('COMPOSIÇÃO DE VALORES'!M368)=0,"-",('COMPOSIÇÃO DE VALORES'!M368))</f>
        <v/>
      </c>
    </row>
    <row r="369" hidden="1">
      <c r="A369" s="81" t="n">
        <v>359</v>
      </c>
      <c r="B369" s="82">
        <f>'COMPOSIÇÃO DE VALORES'!B369</f>
        <v/>
      </c>
      <c r="C369" s="82">
        <f>'COMPOSIÇÃO DE VALORES'!C369</f>
        <v/>
      </c>
      <c r="D369" s="82">
        <f>'COMPOSIÇÃO DE VALORES'!D369</f>
        <v/>
      </c>
      <c r="E369" s="82">
        <f>'COMPOSIÇÃO DE VALORES'!G369</f>
        <v/>
      </c>
      <c r="F369" s="82">
        <f>'COMPOSIÇÃO DE VALORES'!H369</f>
        <v/>
      </c>
      <c r="G369" s="83">
        <f>'COMPOSIÇÃO DE VALORES'!L369</f>
        <v/>
      </c>
      <c r="H369" s="83">
        <f>G369*B369</f>
        <v/>
      </c>
      <c r="I369" s="82">
        <f>IF(('COMPOSIÇÃO DE VALORES'!M369)=0,"-",('COMPOSIÇÃO DE VALORES'!M369))</f>
        <v/>
      </c>
    </row>
    <row r="370" hidden="1">
      <c r="A370" s="81" t="n">
        <v>360</v>
      </c>
      <c r="B370" s="82">
        <f>'COMPOSIÇÃO DE VALORES'!B370</f>
        <v/>
      </c>
      <c r="C370" s="82">
        <f>'COMPOSIÇÃO DE VALORES'!C370</f>
        <v/>
      </c>
      <c r="D370" s="82">
        <f>'COMPOSIÇÃO DE VALORES'!D370</f>
        <v/>
      </c>
      <c r="E370" s="82">
        <f>'COMPOSIÇÃO DE VALORES'!G370</f>
        <v/>
      </c>
      <c r="F370" s="82">
        <f>'COMPOSIÇÃO DE VALORES'!H370</f>
        <v/>
      </c>
      <c r="G370" s="83">
        <f>'COMPOSIÇÃO DE VALORES'!L370</f>
        <v/>
      </c>
      <c r="H370" s="83">
        <f>G370*B370</f>
        <v/>
      </c>
      <c r="I370" s="82">
        <f>IF(('COMPOSIÇÃO DE VALORES'!M370)=0,"-",('COMPOSIÇÃO DE VALORES'!M370))</f>
        <v/>
      </c>
    </row>
    <row r="371" hidden="1">
      <c r="A371" s="81" t="n">
        <v>361</v>
      </c>
      <c r="B371" s="82">
        <f>'COMPOSIÇÃO DE VALORES'!B371</f>
        <v/>
      </c>
      <c r="C371" s="82">
        <f>'COMPOSIÇÃO DE VALORES'!C371</f>
        <v/>
      </c>
      <c r="D371" s="82">
        <f>'COMPOSIÇÃO DE VALORES'!D371</f>
        <v/>
      </c>
      <c r="E371" s="82">
        <f>'COMPOSIÇÃO DE VALORES'!G371</f>
        <v/>
      </c>
      <c r="F371" s="82">
        <f>'COMPOSIÇÃO DE VALORES'!H371</f>
        <v/>
      </c>
      <c r="G371" s="83">
        <f>'COMPOSIÇÃO DE VALORES'!L371</f>
        <v/>
      </c>
      <c r="H371" s="83">
        <f>G371*B371</f>
        <v/>
      </c>
      <c r="I371" s="82">
        <f>IF(('COMPOSIÇÃO DE VALORES'!M371)=0,"-",('COMPOSIÇÃO DE VALORES'!M371))</f>
        <v/>
      </c>
    </row>
    <row r="372" hidden="1">
      <c r="A372" s="81" t="n">
        <v>362</v>
      </c>
      <c r="B372" s="82">
        <f>'COMPOSIÇÃO DE VALORES'!B372</f>
        <v/>
      </c>
      <c r="C372" s="82">
        <f>'COMPOSIÇÃO DE VALORES'!C372</f>
        <v/>
      </c>
      <c r="D372" s="82">
        <f>'COMPOSIÇÃO DE VALORES'!D372</f>
        <v/>
      </c>
      <c r="E372" s="82">
        <f>'COMPOSIÇÃO DE VALORES'!G372</f>
        <v/>
      </c>
      <c r="F372" s="82">
        <f>'COMPOSIÇÃO DE VALORES'!H372</f>
        <v/>
      </c>
      <c r="G372" s="83">
        <f>'COMPOSIÇÃO DE VALORES'!L372</f>
        <v/>
      </c>
      <c r="H372" s="83">
        <f>G372*B372</f>
        <v/>
      </c>
      <c r="I372" s="82">
        <f>IF(('COMPOSIÇÃO DE VALORES'!M372)=0,"-",('COMPOSIÇÃO DE VALORES'!M372))</f>
        <v/>
      </c>
    </row>
    <row r="373" hidden="1">
      <c r="A373" s="81" t="n">
        <v>363</v>
      </c>
      <c r="B373" s="82">
        <f>'COMPOSIÇÃO DE VALORES'!B373</f>
        <v/>
      </c>
      <c r="C373" s="82">
        <f>'COMPOSIÇÃO DE VALORES'!C373</f>
        <v/>
      </c>
      <c r="D373" s="82">
        <f>'COMPOSIÇÃO DE VALORES'!D373</f>
        <v/>
      </c>
      <c r="E373" s="82">
        <f>'COMPOSIÇÃO DE VALORES'!G373</f>
        <v/>
      </c>
      <c r="F373" s="82">
        <f>'COMPOSIÇÃO DE VALORES'!H373</f>
        <v/>
      </c>
      <c r="G373" s="83">
        <f>'COMPOSIÇÃO DE VALORES'!L373</f>
        <v/>
      </c>
      <c r="H373" s="83">
        <f>G373*B373</f>
        <v/>
      </c>
      <c r="I373" s="82">
        <f>IF(('COMPOSIÇÃO DE VALORES'!M373)=0,"-",('COMPOSIÇÃO DE VALORES'!M373))</f>
        <v/>
      </c>
    </row>
    <row r="374" hidden="1">
      <c r="A374" s="81" t="n">
        <v>364</v>
      </c>
      <c r="B374" s="82">
        <f>'COMPOSIÇÃO DE VALORES'!B374</f>
        <v/>
      </c>
      <c r="C374" s="82">
        <f>'COMPOSIÇÃO DE VALORES'!C374</f>
        <v/>
      </c>
      <c r="D374" s="82">
        <f>'COMPOSIÇÃO DE VALORES'!D374</f>
        <v/>
      </c>
      <c r="E374" s="82">
        <f>'COMPOSIÇÃO DE VALORES'!G374</f>
        <v/>
      </c>
      <c r="F374" s="82">
        <f>'COMPOSIÇÃO DE VALORES'!H374</f>
        <v/>
      </c>
      <c r="G374" s="83">
        <f>'COMPOSIÇÃO DE VALORES'!L374</f>
        <v/>
      </c>
      <c r="H374" s="83">
        <f>G374*B374</f>
        <v/>
      </c>
      <c r="I374" s="82">
        <f>IF(('COMPOSIÇÃO DE VALORES'!M374)=0,"-",('COMPOSIÇÃO DE VALORES'!M374))</f>
        <v/>
      </c>
    </row>
    <row r="375" hidden="1">
      <c r="A375" s="81" t="n">
        <v>365</v>
      </c>
      <c r="B375" s="82">
        <f>'COMPOSIÇÃO DE VALORES'!B375</f>
        <v/>
      </c>
      <c r="C375" s="82">
        <f>'COMPOSIÇÃO DE VALORES'!C375</f>
        <v/>
      </c>
      <c r="D375" s="82">
        <f>'COMPOSIÇÃO DE VALORES'!D375</f>
        <v/>
      </c>
      <c r="E375" s="82">
        <f>'COMPOSIÇÃO DE VALORES'!G375</f>
        <v/>
      </c>
      <c r="F375" s="82">
        <f>'COMPOSIÇÃO DE VALORES'!H375</f>
        <v/>
      </c>
      <c r="G375" s="83">
        <f>'COMPOSIÇÃO DE VALORES'!L375</f>
        <v/>
      </c>
      <c r="H375" s="83">
        <f>G375*B375</f>
        <v/>
      </c>
      <c r="I375" s="82">
        <f>IF(('COMPOSIÇÃO DE VALORES'!M375)=0,"-",('COMPOSIÇÃO DE VALORES'!M375))</f>
        <v/>
      </c>
    </row>
    <row r="376" hidden="1">
      <c r="A376" s="81" t="n">
        <v>366</v>
      </c>
      <c r="B376" s="82">
        <f>'COMPOSIÇÃO DE VALORES'!B376</f>
        <v/>
      </c>
      <c r="C376" s="82">
        <f>'COMPOSIÇÃO DE VALORES'!C376</f>
        <v/>
      </c>
      <c r="D376" s="82">
        <f>'COMPOSIÇÃO DE VALORES'!D376</f>
        <v/>
      </c>
      <c r="E376" s="82">
        <f>'COMPOSIÇÃO DE VALORES'!G376</f>
        <v/>
      </c>
      <c r="F376" s="82">
        <f>'COMPOSIÇÃO DE VALORES'!H376</f>
        <v/>
      </c>
      <c r="G376" s="83">
        <f>'COMPOSIÇÃO DE VALORES'!L376</f>
        <v/>
      </c>
      <c r="H376" s="83">
        <f>G376*B376</f>
        <v/>
      </c>
      <c r="I376" s="82">
        <f>IF(('COMPOSIÇÃO DE VALORES'!M376)=0,"-",('COMPOSIÇÃO DE VALORES'!M376))</f>
        <v/>
      </c>
    </row>
    <row r="377" hidden="1">
      <c r="A377" s="81" t="n">
        <v>367</v>
      </c>
      <c r="B377" s="82">
        <f>'COMPOSIÇÃO DE VALORES'!B377</f>
        <v/>
      </c>
      <c r="C377" s="82">
        <f>'COMPOSIÇÃO DE VALORES'!C377</f>
        <v/>
      </c>
      <c r="D377" s="82">
        <f>'COMPOSIÇÃO DE VALORES'!D377</f>
        <v/>
      </c>
      <c r="E377" s="82">
        <f>'COMPOSIÇÃO DE VALORES'!G377</f>
        <v/>
      </c>
      <c r="F377" s="82">
        <f>'COMPOSIÇÃO DE VALORES'!H377</f>
        <v/>
      </c>
      <c r="G377" s="83">
        <f>'COMPOSIÇÃO DE VALORES'!L377</f>
        <v/>
      </c>
      <c r="H377" s="83">
        <f>G377*B377</f>
        <v/>
      </c>
      <c r="I377" s="82">
        <f>IF(('COMPOSIÇÃO DE VALORES'!M377)=0,"-",('COMPOSIÇÃO DE VALORES'!M377))</f>
        <v/>
      </c>
    </row>
    <row r="378" hidden="1">
      <c r="A378" s="81" t="n">
        <v>368</v>
      </c>
      <c r="B378" s="82">
        <f>'COMPOSIÇÃO DE VALORES'!B378</f>
        <v/>
      </c>
      <c r="C378" s="82">
        <f>'COMPOSIÇÃO DE VALORES'!C378</f>
        <v/>
      </c>
      <c r="D378" s="82">
        <f>'COMPOSIÇÃO DE VALORES'!D378</f>
        <v/>
      </c>
      <c r="E378" s="82">
        <f>'COMPOSIÇÃO DE VALORES'!G378</f>
        <v/>
      </c>
      <c r="F378" s="82">
        <f>'COMPOSIÇÃO DE VALORES'!H378</f>
        <v/>
      </c>
      <c r="G378" s="83">
        <f>'COMPOSIÇÃO DE VALORES'!L378</f>
        <v/>
      </c>
      <c r="H378" s="83">
        <f>G378*B378</f>
        <v/>
      </c>
      <c r="I378" s="82">
        <f>IF(('COMPOSIÇÃO DE VALORES'!M378)=0,"-",('COMPOSIÇÃO DE VALORES'!M378))</f>
        <v/>
      </c>
    </row>
    <row r="379" hidden="1">
      <c r="A379" s="81" t="n">
        <v>369</v>
      </c>
      <c r="B379" s="82">
        <f>'COMPOSIÇÃO DE VALORES'!B379</f>
        <v/>
      </c>
      <c r="C379" s="82">
        <f>'COMPOSIÇÃO DE VALORES'!C379</f>
        <v/>
      </c>
      <c r="D379" s="82">
        <f>'COMPOSIÇÃO DE VALORES'!D379</f>
        <v/>
      </c>
      <c r="E379" s="82">
        <f>'COMPOSIÇÃO DE VALORES'!G379</f>
        <v/>
      </c>
      <c r="F379" s="82">
        <f>'COMPOSIÇÃO DE VALORES'!H379</f>
        <v/>
      </c>
      <c r="G379" s="83">
        <f>'COMPOSIÇÃO DE VALORES'!L379</f>
        <v/>
      </c>
      <c r="H379" s="83">
        <f>G379*B379</f>
        <v/>
      </c>
      <c r="I379" s="82">
        <f>IF(('COMPOSIÇÃO DE VALORES'!M379)=0,"-",('COMPOSIÇÃO DE VALORES'!M379))</f>
        <v/>
      </c>
    </row>
    <row r="380" hidden="1">
      <c r="A380" s="81" t="n">
        <v>370</v>
      </c>
      <c r="B380" s="82">
        <f>'COMPOSIÇÃO DE VALORES'!B380</f>
        <v/>
      </c>
      <c r="C380" s="82">
        <f>'COMPOSIÇÃO DE VALORES'!C380</f>
        <v/>
      </c>
      <c r="D380" s="82">
        <f>'COMPOSIÇÃO DE VALORES'!D380</f>
        <v/>
      </c>
      <c r="E380" s="82">
        <f>'COMPOSIÇÃO DE VALORES'!G380</f>
        <v/>
      </c>
      <c r="F380" s="82">
        <f>'COMPOSIÇÃO DE VALORES'!H380</f>
        <v/>
      </c>
      <c r="G380" s="83">
        <f>'COMPOSIÇÃO DE VALORES'!L380</f>
        <v/>
      </c>
      <c r="H380" s="83">
        <f>G380*B380</f>
        <v/>
      </c>
      <c r="I380" s="82">
        <f>IF(('COMPOSIÇÃO DE VALORES'!M380)=0,"-",('COMPOSIÇÃO DE VALORES'!M380))</f>
        <v/>
      </c>
    </row>
    <row r="381" hidden="1">
      <c r="A381" s="81" t="n">
        <v>371</v>
      </c>
      <c r="B381" s="82">
        <f>'COMPOSIÇÃO DE VALORES'!B381</f>
        <v/>
      </c>
      <c r="C381" s="82">
        <f>'COMPOSIÇÃO DE VALORES'!C381</f>
        <v/>
      </c>
      <c r="D381" s="82">
        <f>'COMPOSIÇÃO DE VALORES'!D381</f>
        <v/>
      </c>
      <c r="E381" s="82">
        <f>'COMPOSIÇÃO DE VALORES'!G381</f>
        <v/>
      </c>
      <c r="F381" s="82">
        <f>'COMPOSIÇÃO DE VALORES'!H381</f>
        <v/>
      </c>
      <c r="G381" s="83">
        <f>'COMPOSIÇÃO DE VALORES'!L381</f>
        <v/>
      </c>
      <c r="H381" s="83">
        <f>G381*B381</f>
        <v/>
      </c>
      <c r="I381" s="82">
        <f>IF(('COMPOSIÇÃO DE VALORES'!M381)=0,"-",('COMPOSIÇÃO DE VALORES'!M381))</f>
        <v/>
      </c>
    </row>
    <row r="382" hidden="1">
      <c r="A382" s="81" t="n">
        <v>372</v>
      </c>
      <c r="B382" s="82">
        <f>'COMPOSIÇÃO DE VALORES'!B382</f>
        <v/>
      </c>
      <c r="C382" s="82">
        <f>'COMPOSIÇÃO DE VALORES'!C382</f>
        <v/>
      </c>
      <c r="D382" s="82">
        <f>'COMPOSIÇÃO DE VALORES'!D382</f>
        <v/>
      </c>
      <c r="E382" s="82">
        <f>'COMPOSIÇÃO DE VALORES'!G382</f>
        <v/>
      </c>
      <c r="F382" s="82">
        <f>'COMPOSIÇÃO DE VALORES'!H382</f>
        <v/>
      </c>
      <c r="G382" s="83">
        <f>'COMPOSIÇÃO DE VALORES'!L382</f>
        <v/>
      </c>
      <c r="H382" s="83">
        <f>G382*B382</f>
        <v/>
      </c>
      <c r="I382" s="82">
        <f>IF(('COMPOSIÇÃO DE VALORES'!M382)=0,"-",('COMPOSIÇÃO DE VALORES'!M382))</f>
        <v/>
      </c>
    </row>
    <row r="383" hidden="1">
      <c r="A383" s="81" t="n">
        <v>373</v>
      </c>
      <c r="B383" s="82">
        <f>'COMPOSIÇÃO DE VALORES'!B383</f>
        <v/>
      </c>
      <c r="C383" s="82">
        <f>'COMPOSIÇÃO DE VALORES'!C383</f>
        <v/>
      </c>
      <c r="D383" s="82">
        <f>'COMPOSIÇÃO DE VALORES'!D383</f>
        <v/>
      </c>
      <c r="E383" s="82">
        <f>'COMPOSIÇÃO DE VALORES'!G383</f>
        <v/>
      </c>
      <c r="F383" s="82">
        <f>'COMPOSIÇÃO DE VALORES'!H383</f>
        <v/>
      </c>
      <c r="G383" s="83">
        <f>'COMPOSIÇÃO DE VALORES'!L383</f>
        <v/>
      </c>
      <c r="H383" s="83">
        <f>G383*B383</f>
        <v/>
      </c>
      <c r="I383" s="82">
        <f>IF(('COMPOSIÇÃO DE VALORES'!M383)=0,"-",('COMPOSIÇÃO DE VALORES'!M383))</f>
        <v/>
      </c>
    </row>
    <row r="384" hidden="1">
      <c r="A384" s="81" t="n">
        <v>374</v>
      </c>
      <c r="B384" s="82">
        <f>'COMPOSIÇÃO DE VALORES'!B384</f>
        <v/>
      </c>
      <c r="C384" s="82">
        <f>'COMPOSIÇÃO DE VALORES'!C384</f>
        <v/>
      </c>
      <c r="D384" s="82">
        <f>'COMPOSIÇÃO DE VALORES'!D384</f>
        <v/>
      </c>
      <c r="E384" s="82">
        <f>'COMPOSIÇÃO DE VALORES'!G384</f>
        <v/>
      </c>
      <c r="F384" s="82">
        <f>'COMPOSIÇÃO DE VALORES'!H384</f>
        <v/>
      </c>
      <c r="G384" s="83">
        <f>'COMPOSIÇÃO DE VALORES'!L384</f>
        <v/>
      </c>
      <c r="H384" s="83">
        <f>G384*B384</f>
        <v/>
      </c>
      <c r="I384" s="82">
        <f>IF(('COMPOSIÇÃO DE VALORES'!M384)=0,"-",('COMPOSIÇÃO DE VALORES'!M384))</f>
        <v/>
      </c>
    </row>
    <row r="385" hidden="1">
      <c r="A385" s="81" t="n">
        <v>375</v>
      </c>
      <c r="B385" s="82">
        <f>'COMPOSIÇÃO DE VALORES'!B385</f>
        <v/>
      </c>
      <c r="C385" s="82">
        <f>'COMPOSIÇÃO DE VALORES'!C385</f>
        <v/>
      </c>
      <c r="D385" s="82">
        <f>'COMPOSIÇÃO DE VALORES'!D385</f>
        <v/>
      </c>
      <c r="E385" s="82">
        <f>'COMPOSIÇÃO DE VALORES'!G385</f>
        <v/>
      </c>
      <c r="F385" s="82">
        <f>'COMPOSIÇÃO DE VALORES'!H385</f>
        <v/>
      </c>
      <c r="G385" s="83">
        <f>'COMPOSIÇÃO DE VALORES'!L385</f>
        <v/>
      </c>
      <c r="H385" s="83">
        <f>G385*B385</f>
        <v/>
      </c>
      <c r="I385" s="82">
        <f>IF(('COMPOSIÇÃO DE VALORES'!M385)=0,"-",('COMPOSIÇÃO DE VALORES'!M385))</f>
        <v/>
      </c>
    </row>
    <row r="386" hidden="1">
      <c r="A386" s="81" t="n">
        <v>376</v>
      </c>
      <c r="B386" s="82">
        <f>'COMPOSIÇÃO DE VALORES'!B386</f>
        <v/>
      </c>
      <c r="C386" s="82">
        <f>'COMPOSIÇÃO DE VALORES'!C386</f>
        <v/>
      </c>
      <c r="D386" s="82">
        <f>'COMPOSIÇÃO DE VALORES'!D386</f>
        <v/>
      </c>
      <c r="E386" s="82">
        <f>'COMPOSIÇÃO DE VALORES'!G386</f>
        <v/>
      </c>
      <c r="F386" s="82">
        <f>'COMPOSIÇÃO DE VALORES'!H386</f>
        <v/>
      </c>
      <c r="G386" s="83">
        <f>'COMPOSIÇÃO DE VALORES'!L386</f>
        <v/>
      </c>
      <c r="H386" s="83">
        <f>G386*B386</f>
        <v/>
      </c>
      <c r="I386" s="82">
        <f>IF(('COMPOSIÇÃO DE VALORES'!M386)=0,"-",('COMPOSIÇÃO DE VALORES'!M386))</f>
        <v/>
      </c>
    </row>
    <row r="387" hidden="1">
      <c r="A387" s="81" t="n">
        <v>377</v>
      </c>
      <c r="B387" s="82">
        <f>'COMPOSIÇÃO DE VALORES'!B387</f>
        <v/>
      </c>
      <c r="C387" s="82">
        <f>'COMPOSIÇÃO DE VALORES'!C387</f>
        <v/>
      </c>
      <c r="D387" s="82">
        <f>'COMPOSIÇÃO DE VALORES'!D387</f>
        <v/>
      </c>
      <c r="E387" s="82">
        <f>'COMPOSIÇÃO DE VALORES'!G387</f>
        <v/>
      </c>
      <c r="F387" s="82">
        <f>'COMPOSIÇÃO DE VALORES'!H387</f>
        <v/>
      </c>
      <c r="G387" s="83">
        <f>'COMPOSIÇÃO DE VALORES'!L387</f>
        <v/>
      </c>
      <c r="H387" s="83">
        <f>G387*B387</f>
        <v/>
      </c>
      <c r="I387" s="82">
        <f>IF(('COMPOSIÇÃO DE VALORES'!M387)=0,"-",('COMPOSIÇÃO DE VALORES'!M387))</f>
        <v/>
      </c>
    </row>
    <row r="388" hidden="1">
      <c r="A388" s="81" t="n">
        <v>378</v>
      </c>
      <c r="B388" s="82">
        <f>'COMPOSIÇÃO DE VALORES'!B388</f>
        <v/>
      </c>
      <c r="C388" s="82">
        <f>'COMPOSIÇÃO DE VALORES'!C388</f>
        <v/>
      </c>
      <c r="D388" s="82">
        <f>'COMPOSIÇÃO DE VALORES'!D388</f>
        <v/>
      </c>
      <c r="E388" s="82">
        <f>'COMPOSIÇÃO DE VALORES'!G388</f>
        <v/>
      </c>
      <c r="F388" s="82">
        <f>'COMPOSIÇÃO DE VALORES'!H388</f>
        <v/>
      </c>
      <c r="G388" s="83">
        <f>'COMPOSIÇÃO DE VALORES'!L388</f>
        <v/>
      </c>
      <c r="H388" s="83">
        <f>G388*B388</f>
        <v/>
      </c>
      <c r="I388" s="82">
        <f>IF(('COMPOSIÇÃO DE VALORES'!M388)=0,"-",('COMPOSIÇÃO DE VALORES'!M388))</f>
        <v/>
      </c>
    </row>
    <row r="389" hidden="1">
      <c r="A389" s="81" t="n">
        <v>379</v>
      </c>
      <c r="B389" s="82">
        <f>'COMPOSIÇÃO DE VALORES'!B389</f>
        <v/>
      </c>
      <c r="C389" s="82">
        <f>'COMPOSIÇÃO DE VALORES'!C389</f>
        <v/>
      </c>
      <c r="D389" s="82">
        <f>'COMPOSIÇÃO DE VALORES'!D389</f>
        <v/>
      </c>
      <c r="E389" s="82">
        <f>'COMPOSIÇÃO DE VALORES'!G389</f>
        <v/>
      </c>
      <c r="F389" s="82">
        <f>'COMPOSIÇÃO DE VALORES'!H389</f>
        <v/>
      </c>
      <c r="G389" s="83">
        <f>'COMPOSIÇÃO DE VALORES'!L389</f>
        <v/>
      </c>
      <c r="H389" s="83">
        <f>G389*B389</f>
        <v/>
      </c>
      <c r="I389" s="82">
        <f>IF(('COMPOSIÇÃO DE VALORES'!M389)=0,"-",('COMPOSIÇÃO DE VALORES'!M389))</f>
        <v/>
      </c>
    </row>
    <row r="390" hidden="1">
      <c r="A390" s="81" t="n">
        <v>380</v>
      </c>
      <c r="B390" s="82">
        <f>'COMPOSIÇÃO DE VALORES'!B390</f>
        <v/>
      </c>
      <c r="C390" s="82">
        <f>'COMPOSIÇÃO DE VALORES'!C390</f>
        <v/>
      </c>
      <c r="D390" s="82">
        <f>'COMPOSIÇÃO DE VALORES'!D390</f>
        <v/>
      </c>
      <c r="E390" s="82">
        <f>'COMPOSIÇÃO DE VALORES'!G390</f>
        <v/>
      </c>
      <c r="F390" s="82">
        <f>'COMPOSIÇÃO DE VALORES'!H390</f>
        <v/>
      </c>
      <c r="G390" s="83">
        <f>'COMPOSIÇÃO DE VALORES'!L390</f>
        <v/>
      </c>
      <c r="H390" s="83">
        <f>G390*B390</f>
        <v/>
      </c>
      <c r="I390" s="82">
        <f>IF(('COMPOSIÇÃO DE VALORES'!M390)=0,"-",('COMPOSIÇÃO DE VALORES'!M390))</f>
        <v/>
      </c>
    </row>
    <row r="391" hidden="1">
      <c r="A391" s="81" t="n">
        <v>381</v>
      </c>
      <c r="B391" s="82">
        <f>'COMPOSIÇÃO DE VALORES'!B391</f>
        <v/>
      </c>
      <c r="C391" s="82">
        <f>'COMPOSIÇÃO DE VALORES'!C391</f>
        <v/>
      </c>
      <c r="D391" s="82">
        <f>'COMPOSIÇÃO DE VALORES'!D391</f>
        <v/>
      </c>
      <c r="E391" s="82">
        <f>'COMPOSIÇÃO DE VALORES'!G391</f>
        <v/>
      </c>
      <c r="F391" s="82">
        <f>'COMPOSIÇÃO DE VALORES'!H391</f>
        <v/>
      </c>
      <c r="G391" s="83">
        <f>'COMPOSIÇÃO DE VALORES'!L391</f>
        <v/>
      </c>
      <c r="H391" s="83">
        <f>G391*B391</f>
        <v/>
      </c>
      <c r="I391" s="82">
        <f>IF(('COMPOSIÇÃO DE VALORES'!M391)=0,"-",('COMPOSIÇÃO DE VALORES'!M391))</f>
        <v/>
      </c>
    </row>
    <row r="392" hidden="1">
      <c r="A392" s="81" t="n">
        <v>382</v>
      </c>
      <c r="B392" s="82">
        <f>'COMPOSIÇÃO DE VALORES'!B392</f>
        <v/>
      </c>
      <c r="C392" s="82">
        <f>'COMPOSIÇÃO DE VALORES'!C392</f>
        <v/>
      </c>
      <c r="D392" s="82">
        <f>'COMPOSIÇÃO DE VALORES'!D392</f>
        <v/>
      </c>
      <c r="E392" s="82">
        <f>'COMPOSIÇÃO DE VALORES'!G392</f>
        <v/>
      </c>
      <c r="F392" s="82">
        <f>'COMPOSIÇÃO DE VALORES'!H392</f>
        <v/>
      </c>
      <c r="G392" s="83">
        <f>'COMPOSIÇÃO DE VALORES'!L392</f>
        <v/>
      </c>
      <c r="H392" s="83">
        <f>G392*B392</f>
        <v/>
      </c>
      <c r="I392" s="82">
        <f>IF(('COMPOSIÇÃO DE VALORES'!M392)=0,"-",('COMPOSIÇÃO DE VALORES'!M392))</f>
        <v/>
      </c>
    </row>
    <row r="393" hidden="1">
      <c r="A393" s="81" t="n">
        <v>383</v>
      </c>
      <c r="B393" s="82">
        <f>'COMPOSIÇÃO DE VALORES'!B393</f>
        <v/>
      </c>
      <c r="C393" s="82">
        <f>'COMPOSIÇÃO DE VALORES'!C393</f>
        <v/>
      </c>
      <c r="D393" s="82">
        <f>'COMPOSIÇÃO DE VALORES'!D393</f>
        <v/>
      </c>
      <c r="E393" s="82">
        <f>'COMPOSIÇÃO DE VALORES'!G393</f>
        <v/>
      </c>
      <c r="F393" s="82">
        <f>'COMPOSIÇÃO DE VALORES'!H393</f>
        <v/>
      </c>
      <c r="G393" s="83">
        <f>'COMPOSIÇÃO DE VALORES'!L393</f>
        <v/>
      </c>
      <c r="H393" s="83">
        <f>G393*B393</f>
        <v/>
      </c>
      <c r="I393" s="82">
        <f>IF(('COMPOSIÇÃO DE VALORES'!M393)=0,"-",('COMPOSIÇÃO DE VALORES'!M393))</f>
        <v/>
      </c>
    </row>
    <row r="394" hidden="1">
      <c r="A394" s="81" t="n">
        <v>384</v>
      </c>
      <c r="B394" s="82">
        <f>'COMPOSIÇÃO DE VALORES'!B394</f>
        <v/>
      </c>
      <c r="C394" s="82">
        <f>'COMPOSIÇÃO DE VALORES'!C394</f>
        <v/>
      </c>
      <c r="D394" s="82">
        <f>'COMPOSIÇÃO DE VALORES'!D394</f>
        <v/>
      </c>
      <c r="E394" s="82">
        <f>'COMPOSIÇÃO DE VALORES'!G394</f>
        <v/>
      </c>
      <c r="F394" s="82">
        <f>'COMPOSIÇÃO DE VALORES'!H394</f>
        <v/>
      </c>
      <c r="G394" s="83">
        <f>'COMPOSIÇÃO DE VALORES'!L394</f>
        <v/>
      </c>
      <c r="H394" s="83">
        <f>G394*B394</f>
        <v/>
      </c>
      <c r="I394" s="82">
        <f>IF(('COMPOSIÇÃO DE VALORES'!M394)=0,"-",('COMPOSIÇÃO DE VALORES'!M394))</f>
        <v/>
      </c>
    </row>
    <row r="395" hidden="1">
      <c r="A395" s="81" t="n">
        <v>385</v>
      </c>
      <c r="B395" s="82">
        <f>'COMPOSIÇÃO DE VALORES'!B395</f>
        <v/>
      </c>
      <c r="C395" s="82">
        <f>'COMPOSIÇÃO DE VALORES'!C395</f>
        <v/>
      </c>
      <c r="D395" s="82">
        <f>'COMPOSIÇÃO DE VALORES'!D395</f>
        <v/>
      </c>
      <c r="E395" s="82">
        <f>'COMPOSIÇÃO DE VALORES'!G395</f>
        <v/>
      </c>
      <c r="F395" s="82">
        <f>'COMPOSIÇÃO DE VALORES'!H395</f>
        <v/>
      </c>
      <c r="G395" s="83">
        <f>'COMPOSIÇÃO DE VALORES'!L395</f>
        <v/>
      </c>
      <c r="H395" s="83">
        <f>G395*B395</f>
        <v/>
      </c>
      <c r="I395" s="82">
        <f>IF(('COMPOSIÇÃO DE VALORES'!M395)=0,"-",('COMPOSIÇÃO DE VALORES'!M395))</f>
        <v/>
      </c>
    </row>
    <row r="396" hidden="1">
      <c r="A396" s="81" t="n">
        <v>386</v>
      </c>
      <c r="B396" s="82">
        <f>'COMPOSIÇÃO DE VALORES'!B396</f>
        <v/>
      </c>
      <c r="C396" s="82">
        <f>'COMPOSIÇÃO DE VALORES'!C396</f>
        <v/>
      </c>
      <c r="D396" s="82">
        <f>'COMPOSIÇÃO DE VALORES'!D396</f>
        <v/>
      </c>
      <c r="E396" s="82">
        <f>'COMPOSIÇÃO DE VALORES'!G396</f>
        <v/>
      </c>
      <c r="F396" s="82">
        <f>'COMPOSIÇÃO DE VALORES'!H396</f>
        <v/>
      </c>
      <c r="G396" s="83">
        <f>'COMPOSIÇÃO DE VALORES'!L396</f>
        <v/>
      </c>
      <c r="H396" s="83">
        <f>G396*B396</f>
        <v/>
      </c>
      <c r="I396" s="82">
        <f>IF(('COMPOSIÇÃO DE VALORES'!M396)=0,"-",('COMPOSIÇÃO DE VALORES'!M396))</f>
        <v/>
      </c>
    </row>
    <row r="397" hidden="1">
      <c r="A397" s="81" t="n">
        <v>387</v>
      </c>
      <c r="B397" s="82">
        <f>'COMPOSIÇÃO DE VALORES'!B397</f>
        <v/>
      </c>
      <c r="C397" s="82">
        <f>'COMPOSIÇÃO DE VALORES'!C397</f>
        <v/>
      </c>
      <c r="D397" s="82">
        <f>'COMPOSIÇÃO DE VALORES'!D397</f>
        <v/>
      </c>
      <c r="E397" s="82">
        <f>'COMPOSIÇÃO DE VALORES'!G397</f>
        <v/>
      </c>
      <c r="F397" s="82">
        <f>'COMPOSIÇÃO DE VALORES'!H397</f>
        <v/>
      </c>
      <c r="G397" s="83">
        <f>'COMPOSIÇÃO DE VALORES'!L397</f>
        <v/>
      </c>
      <c r="H397" s="83">
        <f>G397*B397</f>
        <v/>
      </c>
      <c r="I397" s="82">
        <f>IF(('COMPOSIÇÃO DE VALORES'!M397)=0,"-",('COMPOSIÇÃO DE VALORES'!M397))</f>
        <v/>
      </c>
    </row>
    <row r="398" hidden="1">
      <c r="A398" s="81" t="n">
        <v>388</v>
      </c>
      <c r="B398" s="82">
        <f>'COMPOSIÇÃO DE VALORES'!B398</f>
        <v/>
      </c>
      <c r="C398" s="82">
        <f>'COMPOSIÇÃO DE VALORES'!C398</f>
        <v/>
      </c>
      <c r="D398" s="82">
        <f>'COMPOSIÇÃO DE VALORES'!D398</f>
        <v/>
      </c>
      <c r="E398" s="82">
        <f>'COMPOSIÇÃO DE VALORES'!G398</f>
        <v/>
      </c>
      <c r="F398" s="82">
        <f>'COMPOSIÇÃO DE VALORES'!H398</f>
        <v/>
      </c>
      <c r="G398" s="83">
        <f>'COMPOSIÇÃO DE VALORES'!L398</f>
        <v/>
      </c>
      <c r="H398" s="83">
        <f>G398*B398</f>
        <v/>
      </c>
      <c r="I398" s="82">
        <f>IF(('COMPOSIÇÃO DE VALORES'!M398)=0,"-",('COMPOSIÇÃO DE VALORES'!M398))</f>
        <v/>
      </c>
    </row>
    <row r="399" hidden="1">
      <c r="A399" s="81" t="n">
        <v>389</v>
      </c>
      <c r="B399" s="82">
        <f>'COMPOSIÇÃO DE VALORES'!B399</f>
        <v/>
      </c>
      <c r="C399" s="82">
        <f>'COMPOSIÇÃO DE VALORES'!C399</f>
        <v/>
      </c>
      <c r="D399" s="82">
        <f>'COMPOSIÇÃO DE VALORES'!D399</f>
        <v/>
      </c>
      <c r="E399" s="82">
        <f>'COMPOSIÇÃO DE VALORES'!G399</f>
        <v/>
      </c>
      <c r="F399" s="82">
        <f>'COMPOSIÇÃO DE VALORES'!H399</f>
        <v/>
      </c>
      <c r="G399" s="83">
        <f>'COMPOSIÇÃO DE VALORES'!L399</f>
        <v/>
      </c>
      <c r="H399" s="83">
        <f>G399*B399</f>
        <v/>
      </c>
      <c r="I399" s="82">
        <f>IF(('COMPOSIÇÃO DE VALORES'!M399)=0,"-",('COMPOSIÇÃO DE VALORES'!M399))</f>
        <v/>
      </c>
    </row>
    <row r="400" hidden="1">
      <c r="A400" s="81" t="n">
        <v>390</v>
      </c>
      <c r="B400" s="82">
        <f>'COMPOSIÇÃO DE VALORES'!B400</f>
        <v/>
      </c>
      <c r="C400" s="82">
        <f>'COMPOSIÇÃO DE VALORES'!C400</f>
        <v/>
      </c>
      <c r="D400" s="82">
        <f>'COMPOSIÇÃO DE VALORES'!D400</f>
        <v/>
      </c>
      <c r="E400" s="82">
        <f>'COMPOSIÇÃO DE VALORES'!G400</f>
        <v/>
      </c>
      <c r="F400" s="82">
        <f>'COMPOSIÇÃO DE VALORES'!H400</f>
        <v/>
      </c>
      <c r="G400" s="83">
        <f>'COMPOSIÇÃO DE VALORES'!L400</f>
        <v/>
      </c>
      <c r="H400" s="83">
        <f>G400*B400</f>
        <v/>
      </c>
      <c r="I400" s="82">
        <f>IF(('COMPOSIÇÃO DE VALORES'!M400)=0,"-",('COMPOSIÇÃO DE VALORES'!M400))</f>
        <v/>
      </c>
    </row>
    <row r="401" hidden="1">
      <c r="A401" s="81" t="n">
        <v>391</v>
      </c>
      <c r="B401" s="82">
        <f>'COMPOSIÇÃO DE VALORES'!B401</f>
        <v/>
      </c>
      <c r="C401" s="82">
        <f>'COMPOSIÇÃO DE VALORES'!C401</f>
        <v/>
      </c>
      <c r="D401" s="82">
        <f>'COMPOSIÇÃO DE VALORES'!D401</f>
        <v/>
      </c>
      <c r="E401" s="82">
        <f>'COMPOSIÇÃO DE VALORES'!G401</f>
        <v/>
      </c>
      <c r="F401" s="82">
        <f>'COMPOSIÇÃO DE VALORES'!H401</f>
        <v/>
      </c>
      <c r="G401" s="83">
        <f>'COMPOSIÇÃO DE VALORES'!L401</f>
        <v/>
      </c>
      <c r="H401" s="83">
        <f>G401*B401</f>
        <v/>
      </c>
      <c r="I401" s="82">
        <f>IF(('COMPOSIÇÃO DE VALORES'!M401)=0,"-",('COMPOSIÇÃO DE VALORES'!M401))</f>
        <v/>
      </c>
    </row>
    <row r="402" hidden="1">
      <c r="A402" s="81" t="n">
        <v>392</v>
      </c>
      <c r="B402" s="82">
        <f>'COMPOSIÇÃO DE VALORES'!B402</f>
        <v/>
      </c>
      <c r="C402" s="82">
        <f>'COMPOSIÇÃO DE VALORES'!C402</f>
        <v/>
      </c>
      <c r="D402" s="82">
        <f>'COMPOSIÇÃO DE VALORES'!D402</f>
        <v/>
      </c>
      <c r="E402" s="82">
        <f>'COMPOSIÇÃO DE VALORES'!G402</f>
        <v/>
      </c>
      <c r="F402" s="82">
        <f>'COMPOSIÇÃO DE VALORES'!H402</f>
        <v/>
      </c>
      <c r="G402" s="83">
        <f>'COMPOSIÇÃO DE VALORES'!L402</f>
        <v/>
      </c>
      <c r="H402" s="83">
        <f>G402*B402</f>
        <v/>
      </c>
      <c r="I402" s="82">
        <f>IF(('COMPOSIÇÃO DE VALORES'!M402)=0,"-",('COMPOSIÇÃO DE VALORES'!M402))</f>
        <v/>
      </c>
    </row>
    <row r="403" hidden="1">
      <c r="A403" s="81" t="n">
        <v>393</v>
      </c>
      <c r="B403" s="82">
        <f>'COMPOSIÇÃO DE VALORES'!B403</f>
        <v/>
      </c>
      <c r="C403" s="82">
        <f>'COMPOSIÇÃO DE VALORES'!C403</f>
        <v/>
      </c>
      <c r="D403" s="82">
        <f>'COMPOSIÇÃO DE VALORES'!D403</f>
        <v/>
      </c>
      <c r="E403" s="82">
        <f>'COMPOSIÇÃO DE VALORES'!G403</f>
        <v/>
      </c>
      <c r="F403" s="82">
        <f>'COMPOSIÇÃO DE VALORES'!H403</f>
        <v/>
      </c>
      <c r="G403" s="83">
        <f>'COMPOSIÇÃO DE VALORES'!L403</f>
        <v/>
      </c>
      <c r="H403" s="83">
        <f>G403*B403</f>
        <v/>
      </c>
      <c r="I403" s="82">
        <f>IF(('COMPOSIÇÃO DE VALORES'!M403)=0,"-",('COMPOSIÇÃO DE VALORES'!M403))</f>
        <v/>
      </c>
    </row>
    <row r="404" hidden="1">
      <c r="A404" s="81" t="n">
        <v>394</v>
      </c>
      <c r="B404" s="82">
        <f>'COMPOSIÇÃO DE VALORES'!B404</f>
        <v/>
      </c>
      <c r="C404" s="82">
        <f>'COMPOSIÇÃO DE VALORES'!C404</f>
        <v/>
      </c>
      <c r="D404" s="82">
        <f>'COMPOSIÇÃO DE VALORES'!D404</f>
        <v/>
      </c>
      <c r="E404" s="82">
        <f>'COMPOSIÇÃO DE VALORES'!G404</f>
        <v/>
      </c>
      <c r="F404" s="82">
        <f>'COMPOSIÇÃO DE VALORES'!H404</f>
        <v/>
      </c>
      <c r="G404" s="83">
        <f>'COMPOSIÇÃO DE VALORES'!L404</f>
        <v/>
      </c>
      <c r="H404" s="83">
        <f>G404*B404</f>
        <v/>
      </c>
      <c r="I404" s="82">
        <f>IF(('COMPOSIÇÃO DE VALORES'!M404)=0,"-",('COMPOSIÇÃO DE VALORES'!M404))</f>
        <v/>
      </c>
    </row>
    <row r="405" hidden="1">
      <c r="A405" s="81" t="n">
        <v>395</v>
      </c>
      <c r="B405" s="82">
        <f>'COMPOSIÇÃO DE VALORES'!B405</f>
        <v/>
      </c>
      <c r="C405" s="82">
        <f>'COMPOSIÇÃO DE VALORES'!C405</f>
        <v/>
      </c>
      <c r="D405" s="82">
        <f>'COMPOSIÇÃO DE VALORES'!D405</f>
        <v/>
      </c>
      <c r="E405" s="82">
        <f>'COMPOSIÇÃO DE VALORES'!G405</f>
        <v/>
      </c>
      <c r="F405" s="82">
        <f>'COMPOSIÇÃO DE VALORES'!H405</f>
        <v/>
      </c>
      <c r="G405" s="83">
        <f>'COMPOSIÇÃO DE VALORES'!L405</f>
        <v/>
      </c>
      <c r="H405" s="83">
        <f>G405*B405</f>
        <v/>
      </c>
      <c r="I405" s="82">
        <f>IF(('COMPOSIÇÃO DE VALORES'!M405)=0,"-",('COMPOSIÇÃO DE VALORES'!M405))</f>
        <v/>
      </c>
    </row>
    <row r="406" hidden="1">
      <c r="A406" s="81" t="n">
        <v>396</v>
      </c>
      <c r="B406" s="82">
        <f>'COMPOSIÇÃO DE VALORES'!B406</f>
        <v/>
      </c>
      <c r="C406" s="82">
        <f>'COMPOSIÇÃO DE VALORES'!C406</f>
        <v/>
      </c>
      <c r="D406" s="82">
        <f>'COMPOSIÇÃO DE VALORES'!D406</f>
        <v/>
      </c>
      <c r="E406" s="82">
        <f>'COMPOSIÇÃO DE VALORES'!G406</f>
        <v/>
      </c>
      <c r="F406" s="82">
        <f>'COMPOSIÇÃO DE VALORES'!H406</f>
        <v/>
      </c>
      <c r="G406" s="83">
        <f>'COMPOSIÇÃO DE VALORES'!L406</f>
        <v/>
      </c>
      <c r="H406" s="83">
        <f>G406*B406</f>
        <v/>
      </c>
      <c r="I406" s="82">
        <f>IF(('COMPOSIÇÃO DE VALORES'!M406)=0,"-",('COMPOSIÇÃO DE VALORES'!M406))</f>
        <v/>
      </c>
    </row>
    <row r="407" hidden="1">
      <c r="A407" s="81" t="n">
        <v>397</v>
      </c>
      <c r="B407" s="82">
        <f>'COMPOSIÇÃO DE VALORES'!B407</f>
        <v/>
      </c>
      <c r="C407" s="82">
        <f>'COMPOSIÇÃO DE VALORES'!C407</f>
        <v/>
      </c>
      <c r="D407" s="82">
        <f>'COMPOSIÇÃO DE VALORES'!D407</f>
        <v/>
      </c>
      <c r="E407" s="82">
        <f>'COMPOSIÇÃO DE VALORES'!G407</f>
        <v/>
      </c>
      <c r="F407" s="82">
        <f>'COMPOSIÇÃO DE VALORES'!H407</f>
        <v/>
      </c>
      <c r="G407" s="83">
        <f>'COMPOSIÇÃO DE VALORES'!L407</f>
        <v/>
      </c>
      <c r="H407" s="83">
        <f>G407*B407</f>
        <v/>
      </c>
      <c r="I407" s="82">
        <f>IF(('COMPOSIÇÃO DE VALORES'!M407)=0,"-",('COMPOSIÇÃO DE VALORES'!M407))</f>
        <v/>
      </c>
    </row>
    <row r="408" hidden="1">
      <c r="A408" s="81" t="n">
        <v>398</v>
      </c>
      <c r="B408" s="82">
        <f>'COMPOSIÇÃO DE VALORES'!B408</f>
        <v/>
      </c>
      <c r="C408" s="82">
        <f>'COMPOSIÇÃO DE VALORES'!C408</f>
        <v/>
      </c>
      <c r="D408" s="82">
        <f>'COMPOSIÇÃO DE VALORES'!D408</f>
        <v/>
      </c>
      <c r="E408" s="82">
        <f>'COMPOSIÇÃO DE VALORES'!G408</f>
        <v/>
      </c>
      <c r="F408" s="82">
        <f>'COMPOSIÇÃO DE VALORES'!H408</f>
        <v/>
      </c>
      <c r="G408" s="83">
        <f>'COMPOSIÇÃO DE VALORES'!L408</f>
        <v/>
      </c>
      <c r="H408" s="83">
        <f>G408*B408</f>
        <v/>
      </c>
      <c r="I408" s="82">
        <f>IF(('COMPOSIÇÃO DE VALORES'!M408)=0,"-",('COMPOSIÇÃO DE VALORES'!M408))</f>
        <v/>
      </c>
    </row>
    <row r="409" hidden="1">
      <c r="A409" s="81" t="n">
        <v>399</v>
      </c>
      <c r="B409" s="82">
        <f>'COMPOSIÇÃO DE VALORES'!B409</f>
        <v/>
      </c>
      <c r="C409" s="82">
        <f>'COMPOSIÇÃO DE VALORES'!C409</f>
        <v/>
      </c>
      <c r="D409" s="82">
        <f>'COMPOSIÇÃO DE VALORES'!D409</f>
        <v/>
      </c>
      <c r="E409" s="82">
        <f>'COMPOSIÇÃO DE VALORES'!G409</f>
        <v/>
      </c>
      <c r="F409" s="82">
        <f>'COMPOSIÇÃO DE VALORES'!H409</f>
        <v/>
      </c>
      <c r="G409" s="83">
        <f>'COMPOSIÇÃO DE VALORES'!L409</f>
        <v/>
      </c>
      <c r="H409" s="83">
        <f>G409*B409</f>
        <v/>
      </c>
      <c r="I409" s="82">
        <f>IF(('COMPOSIÇÃO DE VALORES'!M409)=0,"-",('COMPOSIÇÃO DE VALORES'!M409))</f>
        <v/>
      </c>
    </row>
    <row r="410" hidden="1">
      <c r="A410" s="81" t="n">
        <v>400</v>
      </c>
      <c r="B410" s="82">
        <f>'COMPOSIÇÃO DE VALORES'!B410</f>
        <v/>
      </c>
      <c r="C410" s="82">
        <f>'COMPOSIÇÃO DE VALORES'!C410</f>
        <v/>
      </c>
      <c r="D410" s="82">
        <f>'COMPOSIÇÃO DE VALORES'!D410</f>
        <v/>
      </c>
      <c r="E410" s="82">
        <f>'COMPOSIÇÃO DE VALORES'!G410</f>
        <v/>
      </c>
      <c r="F410" s="82">
        <f>'COMPOSIÇÃO DE VALORES'!H410</f>
        <v/>
      </c>
      <c r="G410" s="83">
        <f>'COMPOSIÇÃO DE VALORES'!L410</f>
        <v/>
      </c>
      <c r="H410" s="83">
        <f>G410*B410</f>
        <v/>
      </c>
      <c r="I410" s="82">
        <f>IF(('COMPOSIÇÃO DE VALORES'!M410)=0,"-",('COMPOSIÇÃO DE VALORES'!M410))</f>
        <v/>
      </c>
    </row>
    <row r="411" hidden="1">
      <c r="A411" s="81" t="n">
        <v>401</v>
      </c>
      <c r="B411" s="82">
        <f>'COMPOSIÇÃO DE VALORES'!B411</f>
        <v/>
      </c>
      <c r="C411" s="82">
        <f>'COMPOSIÇÃO DE VALORES'!C411</f>
        <v/>
      </c>
      <c r="D411" s="82">
        <f>'COMPOSIÇÃO DE VALORES'!D411</f>
        <v/>
      </c>
      <c r="E411" s="82">
        <f>'COMPOSIÇÃO DE VALORES'!G411</f>
        <v/>
      </c>
      <c r="F411" s="82">
        <f>'COMPOSIÇÃO DE VALORES'!H411</f>
        <v/>
      </c>
      <c r="G411" s="83">
        <f>'COMPOSIÇÃO DE VALORES'!L411</f>
        <v/>
      </c>
      <c r="H411" s="83">
        <f>G411*B411</f>
        <v/>
      </c>
      <c r="I411" s="82">
        <f>IF(('COMPOSIÇÃO DE VALORES'!M411)=0,"-",('COMPOSIÇÃO DE VALORES'!M411))</f>
        <v/>
      </c>
    </row>
    <row r="412" hidden="1">
      <c r="A412" s="81" t="n">
        <v>402</v>
      </c>
      <c r="B412" s="82">
        <f>'COMPOSIÇÃO DE VALORES'!B412</f>
        <v/>
      </c>
      <c r="C412" s="82">
        <f>'COMPOSIÇÃO DE VALORES'!C412</f>
        <v/>
      </c>
      <c r="D412" s="82">
        <f>'COMPOSIÇÃO DE VALORES'!D412</f>
        <v/>
      </c>
      <c r="E412" s="82">
        <f>'COMPOSIÇÃO DE VALORES'!G412</f>
        <v/>
      </c>
      <c r="F412" s="82">
        <f>'COMPOSIÇÃO DE VALORES'!H412</f>
        <v/>
      </c>
      <c r="G412" s="83">
        <f>'COMPOSIÇÃO DE VALORES'!L412</f>
        <v/>
      </c>
      <c r="H412" s="83">
        <f>G412*B412</f>
        <v/>
      </c>
      <c r="I412" s="82">
        <f>IF(('COMPOSIÇÃO DE VALORES'!M412)=0,"-",('COMPOSIÇÃO DE VALORES'!M412))</f>
        <v/>
      </c>
    </row>
    <row r="413" hidden="1">
      <c r="A413" s="81" t="n">
        <v>403</v>
      </c>
      <c r="B413" s="82">
        <f>'COMPOSIÇÃO DE VALORES'!B413</f>
        <v/>
      </c>
      <c r="C413" s="82">
        <f>'COMPOSIÇÃO DE VALORES'!C413</f>
        <v/>
      </c>
      <c r="D413" s="82">
        <f>'COMPOSIÇÃO DE VALORES'!D413</f>
        <v/>
      </c>
      <c r="E413" s="82">
        <f>'COMPOSIÇÃO DE VALORES'!G413</f>
        <v/>
      </c>
      <c r="F413" s="82">
        <f>'COMPOSIÇÃO DE VALORES'!H413</f>
        <v/>
      </c>
      <c r="G413" s="83">
        <f>'COMPOSIÇÃO DE VALORES'!L413</f>
        <v/>
      </c>
      <c r="H413" s="83">
        <f>G413*B413</f>
        <v/>
      </c>
      <c r="I413" s="82">
        <f>IF(('COMPOSIÇÃO DE VALORES'!M413)=0,"-",('COMPOSIÇÃO DE VALORES'!M413))</f>
        <v/>
      </c>
    </row>
    <row r="414" hidden="1">
      <c r="A414" s="81" t="n">
        <v>404</v>
      </c>
      <c r="B414" s="82">
        <f>'COMPOSIÇÃO DE VALORES'!B414</f>
        <v/>
      </c>
      <c r="C414" s="82">
        <f>'COMPOSIÇÃO DE VALORES'!C414</f>
        <v/>
      </c>
      <c r="D414" s="82">
        <f>'COMPOSIÇÃO DE VALORES'!D414</f>
        <v/>
      </c>
      <c r="E414" s="82">
        <f>'COMPOSIÇÃO DE VALORES'!G414</f>
        <v/>
      </c>
      <c r="F414" s="82">
        <f>'COMPOSIÇÃO DE VALORES'!H414</f>
        <v/>
      </c>
      <c r="G414" s="83">
        <f>'COMPOSIÇÃO DE VALORES'!L414</f>
        <v/>
      </c>
      <c r="H414" s="83">
        <f>G414*B414</f>
        <v/>
      </c>
      <c r="I414" s="82">
        <f>IF(('COMPOSIÇÃO DE VALORES'!M414)=0,"-",('COMPOSIÇÃO DE VALORES'!M414))</f>
        <v/>
      </c>
    </row>
    <row r="415" hidden="1">
      <c r="A415" s="81" t="n">
        <v>405</v>
      </c>
      <c r="B415" s="82">
        <f>'COMPOSIÇÃO DE VALORES'!B415</f>
        <v/>
      </c>
      <c r="C415" s="82">
        <f>'COMPOSIÇÃO DE VALORES'!C415</f>
        <v/>
      </c>
      <c r="D415" s="82">
        <f>'COMPOSIÇÃO DE VALORES'!D415</f>
        <v/>
      </c>
      <c r="E415" s="82">
        <f>'COMPOSIÇÃO DE VALORES'!G415</f>
        <v/>
      </c>
      <c r="F415" s="82">
        <f>'COMPOSIÇÃO DE VALORES'!H415</f>
        <v/>
      </c>
      <c r="G415" s="83">
        <f>'COMPOSIÇÃO DE VALORES'!L415</f>
        <v/>
      </c>
      <c r="H415" s="83">
        <f>G415*B415</f>
        <v/>
      </c>
      <c r="I415" s="82">
        <f>IF(('COMPOSIÇÃO DE VALORES'!M415)=0,"-",('COMPOSIÇÃO DE VALORES'!M415))</f>
        <v/>
      </c>
    </row>
    <row r="416" hidden="1">
      <c r="A416" s="81" t="n">
        <v>406</v>
      </c>
      <c r="B416" s="82">
        <f>'COMPOSIÇÃO DE VALORES'!B416</f>
        <v/>
      </c>
      <c r="C416" s="82">
        <f>'COMPOSIÇÃO DE VALORES'!C416</f>
        <v/>
      </c>
      <c r="D416" s="82">
        <f>'COMPOSIÇÃO DE VALORES'!D416</f>
        <v/>
      </c>
      <c r="E416" s="82">
        <f>'COMPOSIÇÃO DE VALORES'!G416</f>
        <v/>
      </c>
      <c r="F416" s="82">
        <f>'COMPOSIÇÃO DE VALORES'!H416</f>
        <v/>
      </c>
      <c r="G416" s="83">
        <f>'COMPOSIÇÃO DE VALORES'!L416</f>
        <v/>
      </c>
      <c r="H416" s="83">
        <f>G416*B416</f>
        <v/>
      </c>
      <c r="I416" s="82">
        <f>IF(('COMPOSIÇÃO DE VALORES'!M416)=0,"-",('COMPOSIÇÃO DE VALORES'!M416))</f>
        <v/>
      </c>
    </row>
    <row r="417" hidden="1">
      <c r="A417" s="81" t="n">
        <v>407</v>
      </c>
      <c r="B417" s="82">
        <f>'COMPOSIÇÃO DE VALORES'!B417</f>
        <v/>
      </c>
      <c r="C417" s="82">
        <f>'COMPOSIÇÃO DE VALORES'!C417</f>
        <v/>
      </c>
      <c r="D417" s="82">
        <f>'COMPOSIÇÃO DE VALORES'!D417</f>
        <v/>
      </c>
      <c r="E417" s="82">
        <f>'COMPOSIÇÃO DE VALORES'!G417</f>
        <v/>
      </c>
      <c r="F417" s="82">
        <f>'COMPOSIÇÃO DE VALORES'!H417</f>
        <v/>
      </c>
      <c r="G417" s="83">
        <f>'COMPOSIÇÃO DE VALORES'!L417</f>
        <v/>
      </c>
      <c r="H417" s="83">
        <f>G417*B417</f>
        <v/>
      </c>
      <c r="I417" s="82">
        <f>IF(('COMPOSIÇÃO DE VALORES'!M417)=0,"-",('COMPOSIÇÃO DE VALORES'!M417))</f>
        <v/>
      </c>
    </row>
    <row r="418" hidden="1">
      <c r="A418" s="81" t="n">
        <v>408</v>
      </c>
      <c r="B418" s="82">
        <f>'COMPOSIÇÃO DE VALORES'!B418</f>
        <v/>
      </c>
      <c r="C418" s="82">
        <f>'COMPOSIÇÃO DE VALORES'!C418</f>
        <v/>
      </c>
      <c r="D418" s="82">
        <f>'COMPOSIÇÃO DE VALORES'!D418</f>
        <v/>
      </c>
      <c r="E418" s="82">
        <f>'COMPOSIÇÃO DE VALORES'!G418</f>
        <v/>
      </c>
      <c r="F418" s="82">
        <f>'COMPOSIÇÃO DE VALORES'!H418</f>
        <v/>
      </c>
      <c r="G418" s="83">
        <f>'COMPOSIÇÃO DE VALORES'!L418</f>
        <v/>
      </c>
      <c r="H418" s="83">
        <f>G418*B418</f>
        <v/>
      </c>
      <c r="I418" s="82">
        <f>IF(('COMPOSIÇÃO DE VALORES'!M418)=0,"-",('COMPOSIÇÃO DE VALORES'!M418))</f>
        <v/>
      </c>
    </row>
    <row r="419" hidden="1">
      <c r="A419" s="81" t="n">
        <v>409</v>
      </c>
      <c r="B419" s="82">
        <f>'COMPOSIÇÃO DE VALORES'!B419</f>
        <v/>
      </c>
      <c r="C419" s="82">
        <f>'COMPOSIÇÃO DE VALORES'!C419</f>
        <v/>
      </c>
      <c r="D419" s="82">
        <f>'COMPOSIÇÃO DE VALORES'!D419</f>
        <v/>
      </c>
      <c r="E419" s="82">
        <f>'COMPOSIÇÃO DE VALORES'!G419</f>
        <v/>
      </c>
      <c r="F419" s="82">
        <f>'COMPOSIÇÃO DE VALORES'!H419</f>
        <v/>
      </c>
      <c r="G419" s="83">
        <f>'COMPOSIÇÃO DE VALORES'!L419</f>
        <v/>
      </c>
      <c r="H419" s="83">
        <f>G419*B419</f>
        <v/>
      </c>
      <c r="I419" s="82">
        <f>IF(('COMPOSIÇÃO DE VALORES'!M419)=0,"-",('COMPOSIÇÃO DE VALORES'!M419))</f>
        <v/>
      </c>
    </row>
    <row r="420" hidden="1">
      <c r="A420" s="81" t="n">
        <v>410</v>
      </c>
      <c r="B420" s="82">
        <f>'COMPOSIÇÃO DE VALORES'!B420</f>
        <v/>
      </c>
      <c r="C420" s="82">
        <f>'COMPOSIÇÃO DE VALORES'!C420</f>
        <v/>
      </c>
      <c r="D420" s="82">
        <f>'COMPOSIÇÃO DE VALORES'!D420</f>
        <v/>
      </c>
      <c r="E420" s="82">
        <f>'COMPOSIÇÃO DE VALORES'!G420</f>
        <v/>
      </c>
      <c r="F420" s="82">
        <f>'COMPOSIÇÃO DE VALORES'!H420</f>
        <v/>
      </c>
      <c r="G420" s="83">
        <f>'COMPOSIÇÃO DE VALORES'!L420</f>
        <v/>
      </c>
      <c r="H420" s="83">
        <f>G420*B420</f>
        <v/>
      </c>
      <c r="I420" s="82">
        <f>IF(('COMPOSIÇÃO DE VALORES'!M420)=0,"-",('COMPOSIÇÃO DE VALORES'!M420))</f>
        <v/>
      </c>
    </row>
    <row r="421" hidden="1">
      <c r="A421" s="81" t="n">
        <v>411</v>
      </c>
      <c r="B421" s="82">
        <f>'COMPOSIÇÃO DE VALORES'!B421</f>
        <v/>
      </c>
      <c r="C421" s="82">
        <f>'COMPOSIÇÃO DE VALORES'!C421</f>
        <v/>
      </c>
      <c r="D421" s="82">
        <f>'COMPOSIÇÃO DE VALORES'!D421</f>
        <v/>
      </c>
      <c r="E421" s="82">
        <f>'COMPOSIÇÃO DE VALORES'!G421</f>
        <v/>
      </c>
      <c r="F421" s="82">
        <f>'COMPOSIÇÃO DE VALORES'!H421</f>
        <v/>
      </c>
      <c r="G421" s="83">
        <f>'COMPOSIÇÃO DE VALORES'!L421</f>
        <v/>
      </c>
      <c r="H421" s="83">
        <f>G421*B421</f>
        <v/>
      </c>
      <c r="I421" s="82">
        <f>IF(('COMPOSIÇÃO DE VALORES'!M421)=0,"-",('COMPOSIÇÃO DE VALORES'!M421))</f>
        <v/>
      </c>
    </row>
    <row r="422" hidden="1">
      <c r="A422" s="81" t="n">
        <v>412</v>
      </c>
      <c r="B422" s="82">
        <f>'COMPOSIÇÃO DE VALORES'!B422</f>
        <v/>
      </c>
      <c r="C422" s="82">
        <f>'COMPOSIÇÃO DE VALORES'!C422</f>
        <v/>
      </c>
      <c r="D422" s="82">
        <f>'COMPOSIÇÃO DE VALORES'!D422</f>
        <v/>
      </c>
      <c r="E422" s="82">
        <f>'COMPOSIÇÃO DE VALORES'!G422</f>
        <v/>
      </c>
      <c r="F422" s="82">
        <f>'COMPOSIÇÃO DE VALORES'!H422</f>
        <v/>
      </c>
      <c r="G422" s="83">
        <f>'COMPOSIÇÃO DE VALORES'!L422</f>
        <v/>
      </c>
      <c r="H422" s="83">
        <f>G422*B422</f>
        <v/>
      </c>
      <c r="I422" s="82">
        <f>IF(('COMPOSIÇÃO DE VALORES'!M422)=0,"-",('COMPOSIÇÃO DE VALORES'!M422))</f>
        <v/>
      </c>
    </row>
    <row r="423" hidden="1">
      <c r="A423" s="81" t="n">
        <v>413</v>
      </c>
      <c r="B423" s="82">
        <f>'COMPOSIÇÃO DE VALORES'!B423</f>
        <v/>
      </c>
      <c r="C423" s="82">
        <f>'COMPOSIÇÃO DE VALORES'!C423</f>
        <v/>
      </c>
      <c r="D423" s="82">
        <f>'COMPOSIÇÃO DE VALORES'!D423</f>
        <v/>
      </c>
      <c r="E423" s="82">
        <f>'COMPOSIÇÃO DE VALORES'!G423</f>
        <v/>
      </c>
      <c r="F423" s="82">
        <f>'COMPOSIÇÃO DE VALORES'!H423</f>
        <v/>
      </c>
      <c r="G423" s="83">
        <f>'COMPOSIÇÃO DE VALORES'!L423</f>
        <v/>
      </c>
      <c r="H423" s="83">
        <f>G423*B423</f>
        <v/>
      </c>
      <c r="I423" s="82">
        <f>IF(('COMPOSIÇÃO DE VALORES'!M423)=0,"-",('COMPOSIÇÃO DE VALORES'!M423))</f>
        <v/>
      </c>
    </row>
    <row r="424" hidden="1">
      <c r="A424" s="81" t="n">
        <v>414</v>
      </c>
      <c r="B424" s="82">
        <f>'COMPOSIÇÃO DE VALORES'!B424</f>
        <v/>
      </c>
      <c r="C424" s="82">
        <f>'COMPOSIÇÃO DE VALORES'!C424</f>
        <v/>
      </c>
      <c r="D424" s="82">
        <f>'COMPOSIÇÃO DE VALORES'!D424</f>
        <v/>
      </c>
      <c r="E424" s="82">
        <f>'COMPOSIÇÃO DE VALORES'!G424</f>
        <v/>
      </c>
      <c r="F424" s="82">
        <f>'COMPOSIÇÃO DE VALORES'!H424</f>
        <v/>
      </c>
      <c r="G424" s="83">
        <f>'COMPOSIÇÃO DE VALORES'!L424</f>
        <v/>
      </c>
      <c r="H424" s="83">
        <f>G424*B424</f>
        <v/>
      </c>
      <c r="I424" s="82">
        <f>IF(('COMPOSIÇÃO DE VALORES'!M424)=0,"-",('COMPOSIÇÃO DE VALORES'!M424))</f>
        <v/>
      </c>
    </row>
    <row r="425" hidden="1">
      <c r="A425" s="81" t="n">
        <v>415</v>
      </c>
      <c r="B425" s="82">
        <f>'COMPOSIÇÃO DE VALORES'!B425</f>
        <v/>
      </c>
      <c r="C425" s="82">
        <f>'COMPOSIÇÃO DE VALORES'!C425</f>
        <v/>
      </c>
      <c r="D425" s="82">
        <f>'COMPOSIÇÃO DE VALORES'!D425</f>
        <v/>
      </c>
      <c r="E425" s="82">
        <f>'COMPOSIÇÃO DE VALORES'!G425</f>
        <v/>
      </c>
      <c r="F425" s="82">
        <f>'COMPOSIÇÃO DE VALORES'!H425</f>
        <v/>
      </c>
      <c r="G425" s="83">
        <f>'COMPOSIÇÃO DE VALORES'!L425</f>
        <v/>
      </c>
      <c r="H425" s="83">
        <f>G425*B425</f>
        <v/>
      </c>
      <c r="I425" s="82">
        <f>IF(('COMPOSIÇÃO DE VALORES'!M425)=0,"-",('COMPOSIÇÃO DE VALORES'!M425))</f>
        <v/>
      </c>
    </row>
    <row r="426" hidden="1">
      <c r="A426" s="81" t="n">
        <v>416</v>
      </c>
      <c r="B426" s="82">
        <f>'COMPOSIÇÃO DE VALORES'!B426</f>
        <v/>
      </c>
      <c r="C426" s="82">
        <f>'COMPOSIÇÃO DE VALORES'!C426</f>
        <v/>
      </c>
      <c r="D426" s="82">
        <f>'COMPOSIÇÃO DE VALORES'!D426</f>
        <v/>
      </c>
      <c r="E426" s="82">
        <f>'COMPOSIÇÃO DE VALORES'!G426</f>
        <v/>
      </c>
      <c r="F426" s="82">
        <f>'COMPOSIÇÃO DE VALORES'!H426</f>
        <v/>
      </c>
      <c r="G426" s="83">
        <f>'COMPOSIÇÃO DE VALORES'!L426</f>
        <v/>
      </c>
      <c r="H426" s="83">
        <f>G426*B426</f>
        <v/>
      </c>
      <c r="I426" s="82">
        <f>IF(('COMPOSIÇÃO DE VALORES'!M426)=0,"-",('COMPOSIÇÃO DE VALORES'!M426))</f>
        <v/>
      </c>
    </row>
    <row r="427" hidden="1">
      <c r="A427" s="81" t="n">
        <v>417</v>
      </c>
      <c r="B427" s="82">
        <f>'COMPOSIÇÃO DE VALORES'!B427</f>
        <v/>
      </c>
      <c r="C427" s="82">
        <f>'COMPOSIÇÃO DE VALORES'!C427</f>
        <v/>
      </c>
      <c r="D427" s="82">
        <f>'COMPOSIÇÃO DE VALORES'!D427</f>
        <v/>
      </c>
      <c r="E427" s="82">
        <f>'COMPOSIÇÃO DE VALORES'!G427</f>
        <v/>
      </c>
      <c r="F427" s="82">
        <f>'COMPOSIÇÃO DE VALORES'!H427</f>
        <v/>
      </c>
      <c r="G427" s="83">
        <f>'COMPOSIÇÃO DE VALORES'!L427</f>
        <v/>
      </c>
      <c r="H427" s="83">
        <f>G427*B427</f>
        <v/>
      </c>
      <c r="I427" s="82">
        <f>IF(('COMPOSIÇÃO DE VALORES'!M427)=0,"-",('COMPOSIÇÃO DE VALORES'!M427))</f>
        <v/>
      </c>
    </row>
    <row r="428" hidden="1">
      <c r="A428" s="81" t="n">
        <v>418</v>
      </c>
      <c r="B428" s="82">
        <f>'COMPOSIÇÃO DE VALORES'!B428</f>
        <v/>
      </c>
      <c r="C428" s="82">
        <f>'COMPOSIÇÃO DE VALORES'!C428</f>
        <v/>
      </c>
      <c r="D428" s="82">
        <f>'COMPOSIÇÃO DE VALORES'!D428</f>
        <v/>
      </c>
      <c r="E428" s="82">
        <f>'COMPOSIÇÃO DE VALORES'!G428</f>
        <v/>
      </c>
      <c r="F428" s="82">
        <f>'COMPOSIÇÃO DE VALORES'!H428</f>
        <v/>
      </c>
      <c r="G428" s="83">
        <f>'COMPOSIÇÃO DE VALORES'!L428</f>
        <v/>
      </c>
      <c r="H428" s="83">
        <f>G428*B428</f>
        <v/>
      </c>
      <c r="I428" s="82">
        <f>IF(('COMPOSIÇÃO DE VALORES'!M428)=0,"-",('COMPOSIÇÃO DE VALORES'!M428))</f>
        <v/>
      </c>
    </row>
    <row r="429" hidden="1">
      <c r="A429" s="81" t="n">
        <v>419</v>
      </c>
      <c r="B429" s="82">
        <f>'COMPOSIÇÃO DE VALORES'!B429</f>
        <v/>
      </c>
      <c r="C429" s="82">
        <f>'COMPOSIÇÃO DE VALORES'!C429</f>
        <v/>
      </c>
      <c r="D429" s="82">
        <f>'COMPOSIÇÃO DE VALORES'!D429</f>
        <v/>
      </c>
      <c r="E429" s="82">
        <f>'COMPOSIÇÃO DE VALORES'!G429</f>
        <v/>
      </c>
      <c r="F429" s="82">
        <f>'COMPOSIÇÃO DE VALORES'!H429</f>
        <v/>
      </c>
      <c r="G429" s="83">
        <f>'COMPOSIÇÃO DE VALORES'!L429</f>
        <v/>
      </c>
      <c r="H429" s="83">
        <f>G429*B429</f>
        <v/>
      </c>
      <c r="I429" s="82">
        <f>IF(('COMPOSIÇÃO DE VALORES'!M429)=0,"-",('COMPOSIÇÃO DE VALORES'!M429))</f>
        <v/>
      </c>
    </row>
    <row r="430" hidden="1">
      <c r="A430" s="81" t="n">
        <v>420</v>
      </c>
      <c r="B430" s="82">
        <f>'COMPOSIÇÃO DE VALORES'!B430</f>
        <v/>
      </c>
      <c r="C430" s="82">
        <f>'COMPOSIÇÃO DE VALORES'!C430</f>
        <v/>
      </c>
      <c r="D430" s="82">
        <f>'COMPOSIÇÃO DE VALORES'!D430</f>
        <v/>
      </c>
      <c r="E430" s="82">
        <f>'COMPOSIÇÃO DE VALORES'!G430</f>
        <v/>
      </c>
      <c r="F430" s="82">
        <f>'COMPOSIÇÃO DE VALORES'!H430</f>
        <v/>
      </c>
      <c r="G430" s="83">
        <f>'COMPOSIÇÃO DE VALORES'!L430</f>
        <v/>
      </c>
      <c r="H430" s="83">
        <f>G430*B430</f>
        <v/>
      </c>
      <c r="I430" s="82">
        <f>IF(('COMPOSIÇÃO DE VALORES'!M430)=0,"-",('COMPOSIÇÃO DE VALORES'!M430))</f>
        <v/>
      </c>
    </row>
    <row r="431" hidden="1">
      <c r="A431" s="81" t="n">
        <v>421</v>
      </c>
      <c r="B431" s="82">
        <f>'COMPOSIÇÃO DE VALORES'!B431</f>
        <v/>
      </c>
      <c r="C431" s="82">
        <f>'COMPOSIÇÃO DE VALORES'!C431</f>
        <v/>
      </c>
      <c r="D431" s="82">
        <f>'COMPOSIÇÃO DE VALORES'!D431</f>
        <v/>
      </c>
      <c r="E431" s="82">
        <f>'COMPOSIÇÃO DE VALORES'!G431</f>
        <v/>
      </c>
      <c r="F431" s="82">
        <f>'COMPOSIÇÃO DE VALORES'!H431</f>
        <v/>
      </c>
      <c r="G431" s="83">
        <f>'COMPOSIÇÃO DE VALORES'!L431</f>
        <v/>
      </c>
      <c r="H431" s="83">
        <f>G431*B431</f>
        <v/>
      </c>
      <c r="I431" s="82">
        <f>IF(('COMPOSIÇÃO DE VALORES'!M431)=0,"-",('COMPOSIÇÃO DE VALORES'!M431))</f>
        <v/>
      </c>
    </row>
    <row r="432" hidden="1">
      <c r="A432" s="81" t="n">
        <v>422</v>
      </c>
      <c r="B432" s="82">
        <f>'COMPOSIÇÃO DE VALORES'!B432</f>
        <v/>
      </c>
      <c r="C432" s="82">
        <f>'COMPOSIÇÃO DE VALORES'!C432</f>
        <v/>
      </c>
      <c r="D432" s="82">
        <f>'COMPOSIÇÃO DE VALORES'!D432</f>
        <v/>
      </c>
      <c r="E432" s="82">
        <f>'COMPOSIÇÃO DE VALORES'!G432</f>
        <v/>
      </c>
      <c r="F432" s="82">
        <f>'COMPOSIÇÃO DE VALORES'!H432</f>
        <v/>
      </c>
      <c r="G432" s="83">
        <f>'COMPOSIÇÃO DE VALORES'!L432</f>
        <v/>
      </c>
      <c r="H432" s="83">
        <f>G432*B432</f>
        <v/>
      </c>
      <c r="I432" s="82">
        <f>IF(('COMPOSIÇÃO DE VALORES'!M432)=0,"-",('COMPOSIÇÃO DE VALORES'!M432))</f>
        <v/>
      </c>
    </row>
    <row r="433" hidden="1">
      <c r="A433" s="81" t="n">
        <v>423</v>
      </c>
      <c r="B433" s="82">
        <f>'COMPOSIÇÃO DE VALORES'!B433</f>
        <v/>
      </c>
      <c r="C433" s="82">
        <f>'COMPOSIÇÃO DE VALORES'!C433</f>
        <v/>
      </c>
      <c r="D433" s="82">
        <f>'COMPOSIÇÃO DE VALORES'!D433</f>
        <v/>
      </c>
      <c r="E433" s="82">
        <f>'COMPOSIÇÃO DE VALORES'!G433</f>
        <v/>
      </c>
      <c r="F433" s="82">
        <f>'COMPOSIÇÃO DE VALORES'!H433</f>
        <v/>
      </c>
      <c r="G433" s="83">
        <f>'COMPOSIÇÃO DE VALORES'!L433</f>
        <v/>
      </c>
      <c r="H433" s="83">
        <f>G433*B433</f>
        <v/>
      </c>
      <c r="I433" s="82">
        <f>IF(('COMPOSIÇÃO DE VALORES'!M433)=0,"-",('COMPOSIÇÃO DE VALORES'!M433))</f>
        <v/>
      </c>
    </row>
    <row r="434" hidden="1">
      <c r="A434" s="81" t="n">
        <v>424</v>
      </c>
      <c r="B434" s="82">
        <f>'COMPOSIÇÃO DE VALORES'!B434</f>
        <v/>
      </c>
      <c r="C434" s="82">
        <f>'COMPOSIÇÃO DE VALORES'!C434</f>
        <v/>
      </c>
      <c r="D434" s="82">
        <f>'COMPOSIÇÃO DE VALORES'!D434</f>
        <v/>
      </c>
      <c r="E434" s="82">
        <f>'COMPOSIÇÃO DE VALORES'!G434</f>
        <v/>
      </c>
      <c r="F434" s="82">
        <f>'COMPOSIÇÃO DE VALORES'!H434</f>
        <v/>
      </c>
      <c r="G434" s="83">
        <f>'COMPOSIÇÃO DE VALORES'!L434</f>
        <v/>
      </c>
      <c r="H434" s="83">
        <f>G434*B434</f>
        <v/>
      </c>
      <c r="I434" s="82">
        <f>IF(('COMPOSIÇÃO DE VALORES'!M434)=0,"-",('COMPOSIÇÃO DE VALORES'!M434))</f>
        <v/>
      </c>
    </row>
    <row r="435" hidden="1">
      <c r="A435" s="81" t="n">
        <v>425</v>
      </c>
      <c r="B435" s="82">
        <f>'COMPOSIÇÃO DE VALORES'!B435</f>
        <v/>
      </c>
      <c r="C435" s="82">
        <f>'COMPOSIÇÃO DE VALORES'!C435</f>
        <v/>
      </c>
      <c r="D435" s="82">
        <f>'COMPOSIÇÃO DE VALORES'!D435</f>
        <v/>
      </c>
      <c r="E435" s="82">
        <f>'COMPOSIÇÃO DE VALORES'!G435</f>
        <v/>
      </c>
      <c r="F435" s="82">
        <f>'COMPOSIÇÃO DE VALORES'!H435</f>
        <v/>
      </c>
      <c r="G435" s="83">
        <f>'COMPOSIÇÃO DE VALORES'!L435</f>
        <v/>
      </c>
      <c r="H435" s="83">
        <f>G435*B435</f>
        <v/>
      </c>
      <c r="I435" s="82">
        <f>IF(('COMPOSIÇÃO DE VALORES'!M435)=0,"-",('COMPOSIÇÃO DE VALORES'!M435))</f>
        <v/>
      </c>
    </row>
    <row r="436" hidden="1">
      <c r="A436" s="81" t="n">
        <v>426</v>
      </c>
      <c r="B436" s="82">
        <f>'COMPOSIÇÃO DE VALORES'!B436</f>
        <v/>
      </c>
      <c r="C436" s="82">
        <f>'COMPOSIÇÃO DE VALORES'!C436</f>
        <v/>
      </c>
      <c r="D436" s="82">
        <f>'COMPOSIÇÃO DE VALORES'!D436</f>
        <v/>
      </c>
      <c r="E436" s="82">
        <f>'COMPOSIÇÃO DE VALORES'!G436</f>
        <v/>
      </c>
      <c r="F436" s="82">
        <f>'COMPOSIÇÃO DE VALORES'!H436</f>
        <v/>
      </c>
      <c r="G436" s="83">
        <f>'COMPOSIÇÃO DE VALORES'!L436</f>
        <v/>
      </c>
      <c r="H436" s="83">
        <f>G436*B436</f>
        <v/>
      </c>
      <c r="I436" s="82">
        <f>IF(('COMPOSIÇÃO DE VALORES'!M436)=0,"-",('COMPOSIÇÃO DE VALORES'!M436))</f>
        <v/>
      </c>
    </row>
    <row r="437" hidden="1">
      <c r="A437" s="81" t="n">
        <v>427</v>
      </c>
      <c r="B437" s="82">
        <f>'COMPOSIÇÃO DE VALORES'!B437</f>
        <v/>
      </c>
      <c r="C437" s="82">
        <f>'COMPOSIÇÃO DE VALORES'!C437</f>
        <v/>
      </c>
      <c r="D437" s="82">
        <f>'COMPOSIÇÃO DE VALORES'!D437</f>
        <v/>
      </c>
      <c r="E437" s="82">
        <f>'COMPOSIÇÃO DE VALORES'!G437</f>
        <v/>
      </c>
      <c r="F437" s="82">
        <f>'COMPOSIÇÃO DE VALORES'!H437</f>
        <v/>
      </c>
      <c r="G437" s="83">
        <f>'COMPOSIÇÃO DE VALORES'!L437</f>
        <v/>
      </c>
      <c r="H437" s="83">
        <f>G437*B437</f>
        <v/>
      </c>
      <c r="I437" s="82">
        <f>IF(('COMPOSIÇÃO DE VALORES'!M437)=0,"-",('COMPOSIÇÃO DE VALORES'!M437))</f>
        <v/>
      </c>
    </row>
    <row r="438" hidden="1">
      <c r="A438" s="81" t="n">
        <v>428</v>
      </c>
      <c r="B438" s="82">
        <f>'COMPOSIÇÃO DE VALORES'!B438</f>
        <v/>
      </c>
      <c r="C438" s="82">
        <f>'COMPOSIÇÃO DE VALORES'!C438</f>
        <v/>
      </c>
      <c r="D438" s="82">
        <f>'COMPOSIÇÃO DE VALORES'!D438</f>
        <v/>
      </c>
      <c r="E438" s="82">
        <f>'COMPOSIÇÃO DE VALORES'!G438</f>
        <v/>
      </c>
      <c r="F438" s="82">
        <f>'COMPOSIÇÃO DE VALORES'!H438</f>
        <v/>
      </c>
      <c r="G438" s="83">
        <f>'COMPOSIÇÃO DE VALORES'!L438</f>
        <v/>
      </c>
      <c r="H438" s="83">
        <f>G438*B438</f>
        <v/>
      </c>
      <c r="I438" s="82">
        <f>IF(('COMPOSIÇÃO DE VALORES'!M438)=0,"-",('COMPOSIÇÃO DE VALORES'!M438))</f>
        <v/>
      </c>
    </row>
    <row r="439" hidden="1">
      <c r="A439" s="81" t="n">
        <v>429</v>
      </c>
      <c r="B439" s="82">
        <f>'COMPOSIÇÃO DE VALORES'!B439</f>
        <v/>
      </c>
      <c r="C439" s="82">
        <f>'COMPOSIÇÃO DE VALORES'!C439</f>
        <v/>
      </c>
      <c r="D439" s="82">
        <f>'COMPOSIÇÃO DE VALORES'!D439</f>
        <v/>
      </c>
      <c r="E439" s="82">
        <f>'COMPOSIÇÃO DE VALORES'!G439</f>
        <v/>
      </c>
      <c r="F439" s="82">
        <f>'COMPOSIÇÃO DE VALORES'!H439</f>
        <v/>
      </c>
      <c r="G439" s="83">
        <f>'COMPOSIÇÃO DE VALORES'!L439</f>
        <v/>
      </c>
      <c r="H439" s="83">
        <f>G439*B439</f>
        <v/>
      </c>
      <c r="I439" s="82">
        <f>IF(('COMPOSIÇÃO DE VALORES'!M439)=0,"-",('COMPOSIÇÃO DE VALORES'!M439))</f>
        <v/>
      </c>
    </row>
    <row r="440" hidden="1">
      <c r="A440" s="81" t="n">
        <v>430</v>
      </c>
      <c r="B440" s="82">
        <f>'COMPOSIÇÃO DE VALORES'!B440</f>
        <v/>
      </c>
      <c r="C440" s="82">
        <f>'COMPOSIÇÃO DE VALORES'!C440</f>
        <v/>
      </c>
      <c r="D440" s="82">
        <f>'COMPOSIÇÃO DE VALORES'!D440</f>
        <v/>
      </c>
      <c r="E440" s="82">
        <f>'COMPOSIÇÃO DE VALORES'!G440</f>
        <v/>
      </c>
      <c r="F440" s="82">
        <f>'COMPOSIÇÃO DE VALORES'!H440</f>
        <v/>
      </c>
      <c r="G440" s="83">
        <f>'COMPOSIÇÃO DE VALORES'!L440</f>
        <v/>
      </c>
      <c r="H440" s="83">
        <f>G440*B440</f>
        <v/>
      </c>
      <c r="I440" s="82">
        <f>IF(('COMPOSIÇÃO DE VALORES'!M440)=0,"-",('COMPOSIÇÃO DE VALORES'!M440))</f>
        <v/>
      </c>
    </row>
    <row r="441" hidden="1">
      <c r="A441" s="81" t="n">
        <v>431</v>
      </c>
      <c r="B441" s="82">
        <f>'COMPOSIÇÃO DE VALORES'!B441</f>
        <v/>
      </c>
      <c r="C441" s="82">
        <f>'COMPOSIÇÃO DE VALORES'!C441</f>
        <v/>
      </c>
      <c r="D441" s="82">
        <f>'COMPOSIÇÃO DE VALORES'!D441</f>
        <v/>
      </c>
      <c r="E441" s="82">
        <f>'COMPOSIÇÃO DE VALORES'!G441</f>
        <v/>
      </c>
      <c r="F441" s="82">
        <f>'COMPOSIÇÃO DE VALORES'!H441</f>
        <v/>
      </c>
      <c r="G441" s="83">
        <f>'COMPOSIÇÃO DE VALORES'!L441</f>
        <v/>
      </c>
      <c r="H441" s="83">
        <f>G441*B441</f>
        <v/>
      </c>
      <c r="I441" s="82">
        <f>IF(('COMPOSIÇÃO DE VALORES'!M441)=0,"-",('COMPOSIÇÃO DE VALORES'!M441))</f>
        <v/>
      </c>
    </row>
    <row r="442" hidden="1">
      <c r="A442" s="81" t="n">
        <v>432</v>
      </c>
      <c r="B442" s="82">
        <f>'COMPOSIÇÃO DE VALORES'!B442</f>
        <v/>
      </c>
      <c r="C442" s="82">
        <f>'COMPOSIÇÃO DE VALORES'!C442</f>
        <v/>
      </c>
      <c r="D442" s="82">
        <f>'COMPOSIÇÃO DE VALORES'!D442</f>
        <v/>
      </c>
      <c r="E442" s="82">
        <f>'COMPOSIÇÃO DE VALORES'!G442</f>
        <v/>
      </c>
      <c r="F442" s="82">
        <f>'COMPOSIÇÃO DE VALORES'!H442</f>
        <v/>
      </c>
      <c r="G442" s="83">
        <f>'COMPOSIÇÃO DE VALORES'!L442</f>
        <v/>
      </c>
      <c r="H442" s="83">
        <f>G442*B442</f>
        <v/>
      </c>
      <c r="I442" s="82">
        <f>IF(('COMPOSIÇÃO DE VALORES'!M442)=0,"-",('COMPOSIÇÃO DE VALORES'!M442))</f>
        <v/>
      </c>
    </row>
    <row r="443" hidden="1">
      <c r="A443" s="81" t="n">
        <v>433</v>
      </c>
      <c r="B443" s="82">
        <f>'COMPOSIÇÃO DE VALORES'!B443</f>
        <v/>
      </c>
      <c r="C443" s="82">
        <f>'COMPOSIÇÃO DE VALORES'!C443</f>
        <v/>
      </c>
      <c r="D443" s="82">
        <f>'COMPOSIÇÃO DE VALORES'!D443</f>
        <v/>
      </c>
      <c r="E443" s="82">
        <f>'COMPOSIÇÃO DE VALORES'!G443</f>
        <v/>
      </c>
      <c r="F443" s="82">
        <f>'COMPOSIÇÃO DE VALORES'!H443</f>
        <v/>
      </c>
      <c r="G443" s="83">
        <f>'COMPOSIÇÃO DE VALORES'!L443</f>
        <v/>
      </c>
      <c r="H443" s="83">
        <f>G443*B443</f>
        <v/>
      </c>
      <c r="I443" s="82">
        <f>IF(('COMPOSIÇÃO DE VALORES'!M443)=0,"-",('COMPOSIÇÃO DE VALORES'!M443))</f>
        <v/>
      </c>
    </row>
    <row r="444" hidden="1">
      <c r="A444" s="81" t="n">
        <v>434</v>
      </c>
      <c r="B444" s="82">
        <f>'COMPOSIÇÃO DE VALORES'!B444</f>
        <v/>
      </c>
      <c r="C444" s="82">
        <f>'COMPOSIÇÃO DE VALORES'!C444</f>
        <v/>
      </c>
      <c r="D444" s="82">
        <f>'COMPOSIÇÃO DE VALORES'!D444</f>
        <v/>
      </c>
      <c r="E444" s="82">
        <f>'COMPOSIÇÃO DE VALORES'!G444</f>
        <v/>
      </c>
      <c r="F444" s="82">
        <f>'COMPOSIÇÃO DE VALORES'!H444</f>
        <v/>
      </c>
      <c r="G444" s="83">
        <f>'COMPOSIÇÃO DE VALORES'!L444</f>
        <v/>
      </c>
      <c r="H444" s="83">
        <f>G444*B444</f>
        <v/>
      </c>
      <c r="I444" s="82">
        <f>IF(('COMPOSIÇÃO DE VALORES'!M444)=0,"-",('COMPOSIÇÃO DE VALORES'!M444))</f>
        <v/>
      </c>
    </row>
    <row r="445" hidden="1">
      <c r="A445" s="81" t="n">
        <v>435</v>
      </c>
      <c r="B445" s="82">
        <f>'COMPOSIÇÃO DE VALORES'!B445</f>
        <v/>
      </c>
      <c r="C445" s="82">
        <f>'COMPOSIÇÃO DE VALORES'!C445</f>
        <v/>
      </c>
      <c r="D445" s="82">
        <f>'COMPOSIÇÃO DE VALORES'!D445</f>
        <v/>
      </c>
      <c r="E445" s="82">
        <f>'COMPOSIÇÃO DE VALORES'!G445</f>
        <v/>
      </c>
      <c r="F445" s="82">
        <f>'COMPOSIÇÃO DE VALORES'!H445</f>
        <v/>
      </c>
      <c r="G445" s="83">
        <f>'COMPOSIÇÃO DE VALORES'!L445</f>
        <v/>
      </c>
      <c r="H445" s="83">
        <f>G445*B445</f>
        <v/>
      </c>
      <c r="I445" s="82">
        <f>IF(('COMPOSIÇÃO DE VALORES'!M445)=0,"-",('COMPOSIÇÃO DE VALORES'!M445))</f>
        <v/>
      </c>
    </row>
    <row r="446" hidden="1">
      <c r="A446" s="81" t="n">
        <v>436</v>
      </c>
      <c r="B446" s="82">
        <f>'COMPOSIÇÃO DE VALORES'!B446</f>
        <v/>
      </c>
      <c r="C446" s="82">
        <f>'COMPOSIÇÃO DE VALORES'!C446</f>
        <v/>
      </c>
      <c r="D446" s="82">
        <f>'COMPOSIÇÃO DE VALORES'!D446</f>
        <v/>
      </c>
      <c r="E446" s="82">
        <f>'COMPOSIÇÃO DE VALORES'!G446</f>
        <v/>
      </c>
      <c r="F446" s="82">
        <f>'COMPOSIÇÃO DE VALORES'!H446</f>
        <v/>
      </c>
      <c r="G446" s="83">
        <f>'COMPOSIÇÃO DE VALORES'!L446</f>
        <v/>
      </c>
      <c r="H446" s="83">
        <f>G446*B446</f>
        <v/>
      </c>
      <c r="I446" s="82">
        <f>IF(('COMPOSIÇÃO DE VALORES'!M446)=0,"-",('COMPOSIÇÃO DE VALORES'!M446))</f>
        <v/>
      </c>
    </row>
    <row r="447" hidden="1">
      <c r="A447" s="81" t="n">
        <v>437</v>
      </c>
      <c r="B447" s="82">
        <f>'COMPOSIÇÃO DE VALORES'!B447</f>
        <v/>
      </c>
      <c r="C447" s="82">
        <f>'COMPOSIÇÃO DE VALORES'!C447</f>
        <v/>
      </c>
      <c r="D447" s="82">
        <f>'COMPOSIÇÃO DE VALORES'!D447</f>
        <v/>
      </c>
      <c r="E447" s="82">
        <f>'COMPOSIÇÃO DE VALORES'!G447</f>
        <v/>
      </c>
      <c r="F447" s="82">
        <f>'COMPOSIÇÃO DE VALORES'!H447</f>
        <v/>
      </c>
      <c r="G447" s="83">
        <f>'COMPOSIÇÃO DE VALORES'!L447</f>
        <v/>
      </c>
      <c r="H447" s="83">
        <f>G447*B447</f>
        <v/>
      </c>
      <c r="I447" s="82">
        <f>IF(('COMPOSIÇÃO DE VALORES'!M447)=0,"-",('COMPOSIÇÃO DE VALORES'!M447))</f>
        <v/>
      </c>
    </row>
    <row r="448" hidden="1">
      <c r="A448" s="81" t="n">
        <v>438</v>
      </c>
      <c r="B448" s="82">
        <f>'COMPOSIÇÃO DE VALORES'!B448</f>
        <v/>
      </c>
      <c r="C448" s="82">
        <f>'COMPOSIÇÃO DE VALORES'!C448</f>
        <v/>
      </c>
      <c r="D448" s="82">
        <f>'COMPOSIÇÃO DE VALORES'!D448</f>
        <v/>
      </c>
      <c r="E448" s="82">
        <f>'COMPOSIÇÃO DE VALORES'!G448</f>
        <v/>
      </c>
      <c r="F448" s="82">
        <f>'COMPOSIÇÃO DE VALORES'!H448</f>
        <v/>
      </c>
      <c r="G448" s="83">
        <f>'COMPOSIÇÃO DE VALORES'!L448</f>
        <v/>
      </c>
      <c r="H448" s="83">
        <f>G448*B448</f>
        <v/>
      </c>
      <c r="I448" s="82">
        <f>IF(('COMPOSIÇÃO DE VALORES'!M448)=0,"-",('COMPOSIÇÃO DE VALORES'!M448))</f>
        <v/>
      </c>
    </row>
    <row r="449" hidden="1">
      <c r="A449" s="81" t="n">
        <v>439</v>
      </c>
      <c r="B449" s="82">
        <f>'COMPOSIÇÃO DE VALORES'!B449</f>
        <v/>
      </c>
      <c r="C449" s="82">
        <f>'COMPOSIÇÃO DE VALORES'!C449</f>
        <v/>
      </c>
      <c r="D449" s="82">
        <f>'COMPOSIÇÃO DE VALORES'!D449</f>
        <v/>
      </c>
      <c r="E449" s="82">
        <f>'COMPOSIÇÃO DE VALORES'!G449</f>
        <v/>
      </c>
      <c r="F449" s="82">
        <f>'COMPOSIÇÃO DE VALORES'!H449</f>
        <v/>
      </c>
      <c r="G449" s="83">
        <f>'COMPOSIÇÃO DE VALORES'!L449</f>
        <v/>
      </c>
      <c r="H449" s="83">
        <f>G449*B449</f>
        <v/>
      </c>
      <c r="I449" s="82">
        <f>IF(('COMPOSIÇÃO DE VALORES'!M449)=0,"-",('COMPOSIÇÃO DE VALORES'!M449))</f>
        <v/>
      </c>
    </row>
    <row r="450" hidden="1">
      <c r="A450" s="81" t="n">
        <v>440</v>
      </c>
      <c r="B450" s="82">
        <f>'COMPOSIÇÃO DE VALORES'!B450</f>
        <v/>
      </c>
      <c r="C450" s="82">
        <f>'COMPOSIÇÃO DE VALORES'!C450</f>
        <v/>
      </c>
      <c r="D450" s="82">
        <f>'COMPOSIÇÃO DE VALORES'!D450</f>
        <v/>
      </c>
      <c r="E450" s="82">
        <f>'COMPOSIÇÃO DE VALORES'!G450</f>
        <v/>
      </c>
      <c r="F450" s="82">
        <f>'COMPOSIÇÃO DE VALORES'!H450</f>
        <v/>
      </c>
      <c r="G450" s="83">
        <f>'COMPOSIÇÃO DE VALORES'!L450</f>
        <v/>
      </c>
      <c r="H450" s="83">
        <f>G450*B450</f>
        <v/>
      </c>
      <c r="I450" s="82">
        <f>IF(('COMPOSIÇÃO DE VALORES'!M450)=0,"-",('COMPOSIÇÃO DE VALORES'!M450))</f>
        <v/>
      </c>
    </row>
    <row r="451" hidden="1">
      <c r="A451" s="81" t="n">
        <v>441</v>
      </c>
      <c r="B451" s="82">
        <f>'COMPOSIÇÃO DE VALORES'!B451</f>
        <v/>
      </c>
      <c r="C451" s="82">
        <f>'COMPOSIÇÃO DE VALORES'!C451</f>
        <v/>
      </c>
      <c r="D451" s="82">
        <f>'COMPOSIÇÃO DE VALORES'!D451</f>
        <v/>
      </c>
      <c r="E451" s="82">
        <f>'COMPOSIÇÃO DE VALORES'!G451</f>
        <v/>
      </c>
      <c r="F451" s="82">
        <f>'COMPOSIÇÃO DE VALORES'!H451</f>
        <v/>
      </c>
      <c r="G451" s="83">
        <f>'COMPOSIÇÃO DE VALORES'!L451</f>
        <v/>
      </c>
      <c r="H451" s="83">
        <f>G451*B451</f>
        <v/>
      </c>
      <c r="I451" s="82">
        <f>IF(('COMPOSIÇÃO DE VALORES'!M451)=0,"-",('COMPOSIÇÃO DE VALORES'!M451))</f>
        <v/>
      </c>
    </row>
    <row r="452" hidden="1">
      <c r="A452" s="81" t="n">
        <v>442</v>
      </c>
      <c r="B452" s="82">
        <f>'COMPOSIÇÃO DE VALORES'!B452</f>
        <v/>
      </c>
      <c r="C452" s="82">
        <f>'COMPOSIÇÃO DE VALORES'!C452</f>
        <v/>
      </c>
      <c r="D452" s="82">
        <f>'COMPOSIÇÃO DE VALORES'!D452</f>
        <v/>
      </c>
      <c r="E452" s="82">
        <f>'COMPOSIÇÃO DE VALORES'!G452</f>
        <v/>
      </c>
      <c r="F452" s="82">
        <f>'COMPOSIÇÃO DE VALORES'!H452</f>
        <v/>
      </c>
      <c r="G452" s="83">
        <f>'COMPOSIÇÃO DE VALORES'!L452</f>
        <v/>
      </c>
      <c r="H452" s="83">
        <f>G452*B452</f>
        <v/>
      </c>
      <c r="I452" s="82">
        <f>IF(('COMPOSIÇÃO DE VALORES'!M452)=0,"-",('COMPOSIÇÃO DE VALORES'!M452))</f>
        <v/>
      </c>
    </row>
    <row r="453" hidden="1">
      <c r="A453" s="81" t="n">
        <v>443</v>
      </c>
      <c r="B453" s="82">
        <f>'COMPOSIÇÃO DE VALORES'!B453</f>
        <v/>
      </c>
      <c r="C453" s="82">
        <f>'COMPOSIÇÃO DE VALORES'!C453</f>
        <v/>
      </c>
      <c r="D453" s="82">
        <f>'COMPOSIÇÃO DE VALORES'!D453</f>
        <v/>
      </c>
      <c r="E453" s="82">
        <f>'COMPOSIÇÃO DE VALORES'!G453</f>
        <v/>
      </c>
      <c r="F453" s="82">
        <f>'COMPOSIÇÃO DE VALORES'!H453</f>
        <v/>
      </c>
      <c r="G453" s="83">
        <f>'COMPOSIÇÃO DE VALORES'!L453</f>
        <v/>
      </c>
      <c r="H453" s="83">
        <f>G453*B453</f>
        <v/>
      </c>
      <c r="I453" s="82">
        <f>IF(('COMPOSIÇÃO DE VALORES'!M453)=0,"-",('COMPOSIÇÃO DE VALORES'!M453))</f>
        <v/>
      </c>
    </row>
    <row r="454" hidden="1">
      <c r="A454" s="81" t="n">
        <v>444</v>
      </c>
      <c r="B454" s="82">
        <f>'COMPOSIÇÃO DE VALORES'!B454</f>
        <v/>
      </c>
      <c r="C454" s="82">
        <f>'COMPOSIÇÃO DE VALORES'!C454</f>
        <v/>
      </c>
      <c r="D454" s="82">
        <f>'COMPOSIÇÃO DE VALORES'!D454</f>
        <v/>
      </c>
      <c r="E454" s="82">
        <f>'COMPOSIÇÃO DE VALORES'!G454</f>
        <v/>
      </c>
      <c r="F454" s="82">
        <f>'COMPOSIÇÃO DE VALORES'!H454</f>
        <v/>
      </c>
      <c r="G454" s="83">
        <f>'COMPOSIÇÃO DE VALORES'!L454</f>
        <v/>
      </c>
      <c r="H454" s="83">
        <f>G454*B454</f>
        <v/>
      </c>
      <c r="I454" s="82">
        <f>IF(('COMPOSIÇÃO DE VALORES'!M454)=0,"-",('COMPOSIÇÃO DE VALORES'!M454))</f>
        <v/>
      </c>
    </row>
    <row r="455" hidden="1">
      <c r="A455" s="81" t="n">
        <v>445</v>
      </c>
      <c r="B455" s="82">
        <f>'COMPOSIÇÃO DE VALORES'!B455</f>
        <v/>
      </c>
      <c r="C455" s="82">
        <f>'COMPOSIÇÃO DE VALORES'!C455</f>
        <v/>
      </c>
      <c r="D455" s="82">
        <f>'COMPOSIÇÃO DE VALORES'!D455</f>
        <v/>
      </c>
      <c r="E455" s="82">
        <f>'COMPOSIÇÃO DE VALORES'!G455</f>
        <v/>
      </c>
      <c r="F455" s="82">
        <f>'COMPOSIÇÃO DE VALORES'!H455</f>
        <v/>
      </c>
      <c r="G455" s="83">
        <f>'COMPOSIÇÃO DE VALORES'!L455</f>
        <v/>
      </c>
      <c r="H455" s="83">
        <f>G455*B455</f>
        <v/>
      </c>
      <c r="I455" s="82">
        <f>IF(('COMPOSIÇÃO DE VALORES'!M455)=0,"-",('COMPOSIÇÃO DE VALORES'!M455))</f>
        <v/>
      </c>
    </row>
    <row r="456" hidden="1">
      <c r="A456" s="81" t="n">
        <v>446</v>
      </c>
      <c r="B456" s="82">
        <f>'COMPOSIÇÃO DE VALORES'!B456</f>
        <v/>
      </c>
      <c r="C456" s="82">
        <f>'COMPOSIÇÃO DE VALORES'!C456</f>
        <v/>
      </c>
      <c r="D456" s="82">
        <f>'COMPOSIÇÃO DE VALORES'!D456</f>
        <v/>
      </c>
      <c r="E456" s="82">
        <f>'COMPOSIÇÃO DE VALORES'!G456</f>
        <v/>
      </c>
      <c r="F456" s="82">
        <f>'COMPOSIÇÃO DE VALORES'!H456</f>
        <v/>
      </c>
      <c r="G456" s="83">
        <f>'COMPOSIÇÃO DE VALORES'!L456</f>
        <v/>
      </c>
      <c r="H456" s="83">
        <f>G456*B456</f>
        <v/>
      </c>
      <c r="I456" s="82">
        <f>IF(('COMPOSIÇÃO DE VALORES'!M456)=0,"-",('COMPOSIÇÃO DE VALORES'!M456))</f>
        <v/>
      </c>
    </row>
    <row r="457" hidden="1">
      <c r="A457" s="81" t="n">
        <v>447</v>
      </c>
      <c r="B457" s="82">
        <f>'COMPOSIÇÃO DE VALORES'!B457</f>
        <v/>
      </c>
      <c r="C457" s="82">
        <f>'COMPOSIÇÃO DE VALORES'!C457</f>
        <v/>
      </c>
      <c r="D457" s="82">
        <f>'COMPOSIÇÃO DE VALORES'!D457</f>
        <v/>
      </c>
      <c r="E457" s="82">
        <f>'COMPOSIÇÃO DE VALORES'!G457</f>
        <v/>
      </c>
      <c r="F457" s="82">
        <f>'COMPOSIÇÃO DE VALORES'!H457</f>
        <v/>
      </c>
      <c r="G457" s="83">
        <f>'COMPOSIÇÃO DE VALORES'!L457</f>
        <v/>
      </c>
      <c r="H457" s="83">
        <f>G457*B457</f>
        <v/>
      </c>
      <c r="I457" s="82">
        <f>IF(('COMPOSIÇÃO DE VALORES'!M457)=0,"-",('COMPOSIÇÃO DE VALORES'!M457))</f>
        <v/>
      </c>
    </row>
    <row r="458" hidden="1">
      <c r="A458" s="81" t="n">
        <v>448</v>
      </c>
      <c r="B458" s="82">
        <f>'COMPOSIÇÃO DE VALORES'!B458</f>
        <v/>
      </c>
      <c r="C458" s="82">
        <f>'COMPOSIÇÃO DE VALORES'!C458</f>
        <v/>
      </c>
      <c r="D458" s="82">
        <f>'COMPOSIÇÃO DE VALORES'!D458</f>
        <v/>
      </c>
      <c r="E458" s="82">
        <f>'COMPOSIÇÃO DE VALORES'!G458</f>
        <v/>
      </c>
      <c r="F458" s="82">
        <f>'COMPOSIÇÃO DE VALORES'!H458</f>
        <v/>
      </c>
      <c r="G458" s="83">
        <f>'COMPOSIÇÃO DE VALORES'!L458</f>
        <v/>
      </c>
      <c r="H458" s="83">
        <f>G458*B458</f>
        <v/>
      </c>
      <c r="I458" s="82">
        <f>IF(('COMPOSIÇÃO DE VALORES'!M458)=0,"-",('COMPOSIÇÃO DE VALORES'!M458))</f>
        <v/>
      </c>
    </row>
    <row r="459" hidden="1">
      <c r="A459" s="81" t="n">
        <v>449</v>
      </c>
      <c r="B459" s="82">
        <f>'COMPOSIÇÃO DE VALORES'!B459</f>
        <v/>
      </c>
      <c r="C459" s="82">
        <f>'COMPOSIÇÃO DE VALORES'!C459</f>
        <v/>
      </c>
      <c r="D459" s="82">
        <f>'COMPOSIÇÃO DE VALORES'!D459</f>
        <v/>
      </c>
      <c r="E459" s="82">
        <f>'COMPOSIÇÃO DE VALORES'!G459</f>
        <v/>
      </c>
      <c r="F459" s="82">
        <f>'COMPOSIÇÃO DE VALORES'!H459</f>
        <v/>
      </c>
      <c r="G459" s="83">
        <f>'COMPOSIÇÃO DE VALORES'!L459</f>
        <v/>
      </c>
      <c r="H459" s="83">
        <f>G459*B459</f>
        <v/>
      </c>
      <c r="I459" s="82">
        <f>IF(('COMPOSIÇÃO DE VALORES'!M459)=0,"-",('COMPOSIÇÃO DE VALORES'!M459))</f>
        <v/>
      </c>
    </row>
    <row r="460" hidden="1">
      <c r="A460" s="81" t="n">
        <v>450</v>
      </c>
      <c r="B460" s="82">
        <f>'COMPOSIÇÃO DE VALORES'!B460</f>
        <v/>
      </c>
      <c r="C460" s="82">
        <f>'COMPOSIÇÃO DE VALORES'!C460</f>
        <v/>
      </c>
      <c r="D460" s="82">
        <f>'COMPOSIÇÃO DE VALORES'!D460</f>
        <v/>
      </c>
      <c r="E460" s="82">
        <f>'COMPOSIÇÃO DE VALORES'!G460</f>
        <v/>
      </c>
      <c r="F460" s="82">
        <f>'COMPOSIÇÃO DE VALORES'!H460</f>
        <v/>
      </c>
      <c r="G460" s="83">
        <f>'COMPOSIÇÃO DE VALORES'!L460</f>
        <v/>
      </c>
      <c r="H460" s="83">
        <f>G460*B460</f>
        <v/>
      </c>
      <c r="I460" s="82">
        <f>IF(('COMPOSIÇÃO DE VALORES'!M460)=0,"-",('COMPOSIÇÃO DE VALORES'!M460))</f>
        <v/>
      </c>
    </row>
    <row r="461" hidden="1">
      <c r="A461" s="81" t="n">
        <v>451</v>
      </c>
      <c r="B461" s="82">
        <f>'COMPOSIÇÃO DE VALORES'!B461</f>
        <v/>
      </c>
      <c r="C461" s="82">
        <f>'COMPOSIÇÃO DE VALORES'!C461</f>
        <v/>
      </c>
      <c r="D461" s="82">
        <f>'COMPOSIÇÃO DE VALORES'!D461</f>
        <v/>
      </c>
      <c r="E461" s="82">
        <f>'COMPOSIÇÃO DE VALORES'!G461</f>
        <v/>
      </c>
      <c r="F461" s="82">
        <f>'COMPOSIÇÃO DE VALORES'!H461</f>
        <v/>
      </c>
      <c r="G461" s="83">
        <f>'COMPOSIÇÃO DE VALORES'!L461</f>
        <v/>
      </c>
      <c r="H461" s="83">
        <f>G461*B461</f>
        <v/>
      </c>
      <c r="I461" s="82">
        <f>IF(('COMPOSIÇÃO DE VALORES'!M461)=0,"-",('COMPOSIÇÃO DE VALORES'!M461))</f>
        <v/>
      </c>
    </row>
    <row r="462" hidden="1">
      <c r="A462" s="81" t="n">
        <v>452</v>
      </c>
      <c r="B462" s="82">
        <f>'COMPOSIÇÃO DE VALORES'!B462</f>
        <v/>
      </c>
      <c r="C462" s="82">
        <f>'COMPOSIÇÃO DE VALORES'!C462</f>
        <v/>
      </c>
      <c r="D462" s="82">
        <f>'COMPOSIÇÃO DE VALORES'!D462</f>
        <v/>
      </c>
      <c r="E462" s="82">
        <f>'COMPOSIÇÃO DE VALORES'!G462</f>
        <v/>
      </c>
      <c r="F462" s="82">
        <f>'COMPOSIÇÃO DE VALORES'!H462</f>
        <v/>
      </c>
      <c r="G462" s="83">
        <f>'COMPOSIÇÃO DE VALORES'!L462</f>
        <v/>
      </c>
      <c r="H462" s="83">
        <f>G462*B462</f>
        <v/>
      </c>
      <c r="I462" s="82">
        <f>IF(('COMPOSIÇÃO DE VALORES'!M462)=0,"-",('COMPOSIÇÃO DE VALORES'!M462))</f>
        <v/>
      </c>
    </row>
    <row r="463" hidden="1">
      <c r="A463" s="81" t="n">
        <v>453</v>
      </c>
      <c r="B463" s="82">
        <f>'COMPOSIÇÃO DE VALORES'!B463</f>
        <v/>
      </c>
      <c r="C463" s="82">
        <f>'COMPOSIÇÃO DE VALORES'!C463</f>
        <v/>
      </c>
      <c r="D463" s="82">
        <f>'COMPOSIÇÃO DE VALORES'!D463</f>
        <v/>
      </c>
      <c r="E463" s="82">
        <f>'COMPOSIÇÃO DE VALORES'!G463</f>
        <v/>
      </c>
      <c r="F463" s="82">
        <f>'COMPOSIÇÃO DE VALORES'!H463</f>
        <v/>
      </c>
      <c r="G463" s="83">
        <f>'COMPOSIÇÃO DE VALORES'!L463</f>
        <v/>
      </c>
      <c r="H463" s="83">
        <f>G463*B463</f>
        <v/>
      </c>
      <c r="I463" s="82">
        <f>IF(('COMPOSIÇÃO DE VALORES'!M463)=0,"-",('COMPOSIÇÃO DE VALORES'!M463))</f>
        <v/>
      </c>
    </row>
    <row r="464" hidden="1">
      <c r="A464" s="81" t="n">
        <v>454</v>
      </c>
      <c r="B464" s="82">
        <f>'COMPOSIÇÃO DE VALORES'!B464</f>
        <v/>
      </c>
      <c r="C464" s="82">
        <f>'COMPOSIÇÃO DE VALORES'!C464</f>
        <v/>
      </c>
      <c r="D464" s="82">
        <f>'COMPOSIÇÃO DE VALORES'!D464</f>
        <v/>
      </c>
      <c r="E464" s="82">
        <f>'COMPOSIÇÃO DE VALORES'!G464</f>
        <v/>
      </c>
      <c r="F464" s="82">
        <f>'COMPOSIÇÃO DE VALORES'!H464</f>
        <v/>
      </c>
      <c r="G464" s="83">
        <f>'COMPOSIÇÃO DE VALORES'!L464</f>
        <v/>
      </c>
      <c r="H464" s="83">
        <f>G464*B464</f>
        <v/>
      </c>
      <c r="I464" s="82">
        <f>IF(('COMPOSIÇÃO DE VALORES'!M464)=0,"-",('COMPOSIÇÃO DE VALORES'!M464))</f>
        <v/>
      </c>
    </row>
    <row r="465" hidden="1">
      <c r="A465" s="81" t="n">
        <v>455</v>
      </c>
      <c r="B465" s="82">
        <f>'COMPOSIÇÃO DE VALORES'!B465</f>
        <v/>
      </c>
      <c r="C465" s="82">
        <f>'COMPOSIÇÃO DE VALORES'!C465</f>
        <v/>
      </c>
      <c r="D465" s="82">
        <f>'COMPOSIÇÃO DE VALORES'!D465</f>
        <v/>
      </c>
      <c r="E465" s="82">
        <f>'COMPOSIÇÃO DE VALORES'!G465</f>
        <v/>
      </c>
      <c r="F465" s="82">
        <f>'COMPOSIÇÃO DE VALORES'!H465</f>
        <v/>
      </c>
      <c r="G465" s="83">
        <f>'COMPOSIÇÃO DE VALORES'!L465</f>
        <v/>
      </c>
      <c r="H465" s="83">
        <f>G465*B465</f>
        <v/>
      </c>
      <c r="I465" s="82">
        <f>IF(('COMPOSIÇÃO DE VALORES'!M465)=0,"-",('COMPOSIÇÃO DE VALORES'!M465))</f>
        <v/>
      </c>
    </row>
    <row r="466" hidden="1">
      <c r="A466" s="81" t="n">
        <v>456</v>
      </c>
      <c r="B466" s="82">
        <f>'COMPOSIÇÃO DE VALORES'!B466</f>
        <v/>
      </c>
      <c r="C466" s="82">
        <f>'COMPOSIÇÃO DE VALORES'!C466</f>
        <v/>
      </c>
      <c r="D466" s="82">
        <f>'COMPOSIÇÃO DE VALORES'!D466</f>
        <v/>
      </c>
      <c r="E466" s="82">
        <f>'COMPOSIÇÃO DE VALORES'!G466</f>
        <v/>
      </c>
      <c r="F466" s="82">
        <f>'COMPOSIÇÃO DE VALORES'!H466</f>
        <v/>
      </c>
      <c r="G466" s="83">
        <f>'COMPOSIÇÃO DE VALORES'!L466</f>
        <v/>
      </c>
      <c r="H466" s="83">
        <f>G466*B466</f>
        <v/>
      </c>
      <c r="I466" s="82">
        <f>IF(('COMPOSIÇÃO DE VALORES'!M466)=0,"-",('COMPOSIÇÃO DE VALORES'!M466))</f>
        <v/>
      </c>
    </row>
    <row r="467" hidden="1">
      <c r="A467" s="81" t="n">
        <v>457</v>
      </c>
      <c r="B467" s="82">
        <f>'COMPOSIÇÃO DE VALORES'!B467</f>
        <v/>
      </c>
      <c r="C467" s="82">
        <f>'COMPOSIÇÃO DE VALORES'!C467</f>
        <v/>
      </c>
      <c r="D467" s="82">
        <f>'COMPOSIÇÃO DE VALORES'!D467</f>
        <v/>
      </c>
      <c r="E467" s="82">
        <f>'COMPOSIÇÃO DE VALORES'!G467</f>
        <v/>
      </c>
      <c r="F467" s="82">
        <f>'COMPOSIÇÃO DE VALORES'!H467</f>
        <v/>
      </c>
      <c r="G467" s="83">
        <f>'COMPOSIÇÃO DE VALORES'!L467</f>
        <v/>
      </c>
      <c r="H467" s="83">
        <f>G467*B467</f>
        <v/>
      </c>
      <c r="I467" s="82">
        <f>IF(('COMPOSIÇÃO DE VALORES'!M467)=0,"-",('COMPOSIÇÃO DE VALORES'!M467))</f>
        <v/>
      </c>
    </row>
    <row r="468" hidden="1">
      <c r="A468" s="81" t="n">
        <v>458</v>
      </c>
      <c r="B468" s="82">
        <f>'COMPOSIÇÃO DE VALORES'!B468</f>
        <v/>
      </c>
      <c r="C468" s="82">
        <f>'COMPOSIÇÃO DE VALORES'!C468</f>
        <v/>
      </c>
      <c r="D468" s="82">
        <f>'COMPOSIÇÃO DE VALORES'!D468</f>
        <v/>
      </c>
      <c r="E468" s="82">
        <f>'COMPOSIÇÃO DE VALORES'!G468</f>
        <v/>
      </c>
      <c r="F468" s="82">
        <f>'COMPOSIÇÃO DE VALORES'!H468</f>
        <v/>
      </c>
      <c r="G468" s="83">
        <f>'COMPOSIÇÃO DE VALORES'!L468</f>
        <v/>
      </c>
      <c r="H468" s="83">
        <f>G468*B468</f>
        <v/>
      </c>
      <c r="I468" s="82">
        <f>IF(('COMPOSIÇÃO DE VALORES'!M468)=0,"-",('COMPOSIÇÃO DE VALORES'!M468))</f>
        <v/>
      </c>
    </row>
    <row r="469" hidden="1">
      <c r="A469" s="81" t="n">
        <v>459</v>
      </c>
      <c r="B469" s="82">
        <f>'COMPOSIÇÃO DE VALORES'!B469</f>
        <v/>
      </c>
      <c r="C469" s="82">
        <f>'COMPOSIÇÃO DE VALORES'!C469</f>
        <v/>
      </c>
      <c r="D469" s="82">
        <f>'COMPOSIÇÃO DE VALORES'!D469</f>
        <v/>
      </c>
      <c r="E469" s="82">
        <f>'COMPOSIÇÃO DE VALORES'!G469</f>
        <v/>
      </c>
      <c r="F469" s="82">
        <f>'COMPOSIÇÃO DE VALORES'!H469</f>
        <v/>
      </c>
      <c r="G469" s="83">
        <f>'COMPOSIÇÃO DE VALORES'!L469</f>
        <v/>
      </c>
      <c r="H469" s="83">
        <f>G469*B469</f>
        <v/>
      </c>
      <c r="I469" s="82">
        <f>IF(('COMPOSIÇÃO DE VALORES'!M469)=0,"-",('COMPOSIÇÃO DE VALORES'!M469))</f>
        <v/>
      </c>
    </row>
    <row r="470" hidden="1">
      <c r="A470" s="81" t="n">
        <v>460</v>
      </c>
      <c r="B470" s="82">
        <f>'COMPOSIÇÃO DE VALORES'!B470</f>
        <v/>
      </c>
      <c r="C470" s="82">
        <f>'COMPOSIÇÃO DE VALORES'!C470</f>
        <v/>
      </c>
      <c r="D470" s="82">
        <f>'COMPOSIÇÃO DE VALORES'!D470</f>
        <v/>
      </c>
      <c r="E470" s="82">
        <f>'COMPOSIÇÃO DE VALORES'!G470</f>
        <v/>
      </c>
      <c r="F470" s="82">
        <f>'COMPOSIÇÃO DE VALORES'!H470</f>
        <v/>
      </c>
      <c r="G470" s="83">
        <f>'COMPOSIÇÃO DE VALORES'!L470</f>
        <v/>
      </c>
      <c r="H470" s="83">
        <f>G470*B470</f>
        <v/>
      </c>
      <c r="I470" s="82">
        <f>IF(('COMPOSIÇÃO DE VALORES'!M470)=0,"-",('COMPOSIÇÃO DE VALORES'!M470))</f>
        <v/>
      </c>
    </row>
    <row r="471" hidden="1">
      <c r="A471" s="81" t="n">
        <v>461</v>
      </c>
      <c r="B471" s="82">
        <f>'COMPOSIÇÃO DE VALORES'!B471</f>
        <v/>
      </c>
      <c r="C471" s="82">
        <f>'COMPOSIÇÃO DE VALORES'!C471</f>
        <v/>
      </c>
      <c r="D471" s="82">
        <f>'COMPOSIÇÃO DE VALORES'!D471</f>
        <v/>
      </c>
      <c r="E471" s="82">
        <f>'COMPOSIÇÃO DE VALORES'!G471</f>
        <v/>
      </c>
      <c r="F471" s="82">
        <f>'COMPOSIÇÃO DE VALORES'!H471</f>
        <v/>
      </c>
      <c r="G471" s="83">
        <f>'COMPOSIÇÃO DE VALORES'!L471</f>
        <v/>
      </c>
      <c r="H471" s="83">
        <f>G471*B471</f>
        <v/>
      </c>
      <c r="I471" s="82">
        <f>IF(('COMPOSIÇÃO DE VALORES'!M471)=0,"-",('COMPOSIÇÃO DE VALORES'!M471))</f>
        <v/>
      </c>
    </row>
    <row r="472" hidden="1">
      <c r="A472" s="81" t="n">
        <v>462</v>
      </c>
      <c r="B472" s="82">
        <f>'COMPOSIÇÃO DE VALORES'!B472</f>
        <v/>
      </c>
      <c r="C472" s="82">
        <f>'COMPOSIÇÃO DE VALORES'!C472</f>
        <v/>
      </c>
      <c r="D472" s="82">
        <f>'COMPOSIÇÃO DE VALORES'!D472</f>
        <v/>
      </c>
      <c r="E472" s="82">
        <f>'COMPOSIÇÃO DE VALORES'!G472</f>
        <v/>
      </c>
      <c r="F472" s="82">
        <f>'COMPOSIÇÃO DE VALORES'!H472</f>
        <v/>
      </c>
      <c r="G472" s="83">
        <f>'COMPOSIÇÃO DE VALORES'!L472</f>
        <v/>
      </c>
      <c r="H472" s="83">
        <f>G472*B472</f>
        <v/>
      </c>
      <c r="I472" s="82">
        <f>IF(('COMPOSIÇÃO DE VALORES'!M472)=0,"-",('COMPOSIÇÃO DE VALORES'!M472))</f>
        <v/>
      </c>
    </row>
    <row r="473" hidden="1">
      <c r="A473" s="81" t="n">
        <v>463</v>
      </c>
      <c r="B473" s="82">
        <f>'COMPOSIÇÃO DE VALORES'!B473</f>
        <v/>
      </c>
      <c r="C473" s="82">
        <f>'COMPOSIÇÃO DE VALORES'!C473</f>
        <v/>
      </c>
      <c r="D473" s="82">
        <f>'COMPOSIÇÃO DE VALORES'!D473</f>
        <v/>
      </c>
      <c r="E473" s="82">
        <f>'COMPOSIÇÃO DE VALORES'!G473</f>
        <v/>
      </c>
      <c r="F473" s="82">
        <f>'COMPOSIÇÃO DE VALORES'!H473</f>
        <v/>
      </c>
      <c r="G473" s="83">
        <f>'COMPOSIÇÃO DE VALORES'!L473</f>
        <v/>
      </c>
      <c r="H473" s="83">
        <f>G473*B473</f>
        <v/>
      </c>
      <c r="I473" s="82">
        <f>IF(('COMPOSIÇÃO DE VALORES'!M473)=0,"-",('COMPOSIÇÃO DE VALORES'!M473))</f>
        <v/>
      </c>
    </row>
    <row r="474" hidden="1">
      <c r="A474" s="81" t="n">
        <v>464</v>
      </c>
      <c r="B474" s="82">
        <f>'COMPOSIÇÃO DE VALORES'!B474</f>
        <v/>
      </c>
      <c r="C474" s="82">
        <f>'COMPOSIÇÃO DE VALORES'!C474</f>
        <v/>
      </c>
      <c r="D474" s="82">
        <f>'COMPOSIÇÃO DE VALORES'!D474</f>
        <v/>
      </c>
      <c r="E474" s="82">
        <f>'COMPOSIÇÃO DE VALORES'!G474</f>
        <v/>
      </c>
      <c r="F474" s="82">
        <f>'COMPOSIÇÃO DE VALORES'!H474</f>
        <v/>
      </c>
      <c r="G474" s="83">
        <f>'COMPOSIÇÃO DE VALORES'!L474</f>
        <v/>
      </c>
      <c r="H474" s="83">
        <f>G474*B474</f>
        <v/>
      </c>
      <c r="I474" s="82">
        <f>IF(('COMPOSIÇÃO DE VALORES'!M474)=0,"-",('COMPOSIÇÃO DE VALORES'!M474))</f>
        <v/>
      </c>
    </row>
    <row r="475" hidden="1">
      <c r="A475" s="81" t="n">
        <v>465</v>
      </c>
      <c r="B475" s="82">
        <f>'COMPOSIÇÃO DE VALORES'!B475</f>
        <v/>
      </c>
      <c r="C475" s="82">
        <f>'COMPOSIÇÃO DE VALORES'!C475</f>
        <v/>
      </c>
      <c r="D475" s="82">
        <f>'COMPOSIÇÃO DE VALORES'!D475</f>
        <v/>
      </c>
      <c r="E475" s="82">
        <f>'COMPOSIÇÃO DE VALORES'!G475</f>
        <v/>
      </c>
      <c r="F475" s="82">
        <f>'COMPOSIÇÃO DE VALORES'!H475</f>
        <v/>
      </c>
      <c r="G475" s="83">
        <f>'COMPOSIÇÃO DE VALORES'!L475</f>
        <v/>
      </c>
      <c r="H475" s="83">
        <f>G475*B475</f>
        <v/>
      </c>
      <c r="I475" s="82">
        <f>IF(('COMPOSIÇÃO DE VALORES'!M475)=0,"-",('COMPOSIÇÃO DE VALORES'!M475))</f>
        <v/>
      </c>
    </row>
    <row r="476" hidden="1">
      <c r="A476" s="81" t="n">
        <v>466</v>
      </c>
      <c r="B476" s="82">
        <f>'COMPOSIÇÃO DE VALORES'!B476</f>
        <v/>
      </c>
      <c r="C476" s="82">
        <f>'COMPOSIÇÃO DE VALORES'!C476</f>
        <v/>
      </c>
      <c r="D476" s="82">
        <f>'COMPOSIÇÃO DE VALORES'!D476</f>
        <v/>
      </c>
      <c r="E476" s="82">
        <f>'COMPOSIÇÃO DE VALORES'!G476</f>
        <v/>
      </c>
      <c r="F476" s="82">
        <f>'COMPOSIÇÃO DE VALORES'!H476</f>
        <v/>
      </c>
      <c r="G476" s="83">
        <f>'COMPOSIÇÃO DE VALORES'!L476</f>
        <v/>
      </c>
      <c r="H476" s="83">
        <f>G476*B476</f>
        <v/>
      </c>
      <c r="I476" s="82">
        <f>IF(('COMPOSIÇÃO DE VALORES'!M476)=0,"-",('COMPOSIÇÃO DE VALORES'!M476))</f>
        <v/>
      </c>
    </row>
    <row r="477" hidden="1">
      <c r="A477" s="81" t="n">
        <v>467</v>
      </c>
      <c r="B477" s="82">
        <f>'COMPOSIÇÃO DE VALORES'!B477</f>
        <v/>
      </c>
      <c r="C477" s="82">
        <f>'COMPOSIÇÃO DE VALORES'!C477</f>
        <v/>
      </c>
      <c r="D477" s="82">
        <f>'COMPOSIÇÃO DE VALORES'!D477</f>
        <v/>
      </c>
      <c r="E477" s="82">
        <f>'COMPOSIÇÃO DE VALORES'!G477</f>
        <v/>
      </c>
      <c r="F477" s="82">
        <f>'COMPOSIÇÃO DE VALORES'!H477</f>
        <v/>
      </c>
      <c r="G477" s="83">
        <f>'COMPOSIÇÃO DE VALORES'!L477</f>
        <v/>
      </c>
      <c r="H477" s="83">
        <f>G477*B477</f>
        <v/>
      </c>
      <c r="I477" s="82">
        <f>IF(('COMPOSIÇÃO DE VALORES'!M477)=0,"-",('COMPOSIÇÃO DE VALORES'!M477))</f>
        <v/>
      </c>
    </row>
    <row r="478" hidden="1">
      <c r="A478" s="81" t="n">
        <v>468</v>
      </c>
      <c r="B478" s="82">
        <f>'COMPOSIÇÃO DE VALORES'!B478</f>
        <v/>
      </c>
      <c r="C478" s="82">
        <f>'COMPOSIÇÃO DE VALORES'!C478</f>
        <v/>
      </c>
      <c r="D478" s="82">
        <f>'COMPOSIÇÃO DE VALORES'!D478</f>
        <v/>
      </c>
      <c r="E478" s="82">
        <f>'COMPOSIÇÃO DE VALORES'!G478</f>
        <v/>
      </c>
      <c r="F478" s="82">
        <f>'COMPOSIÇÃO DE VALORES'!H478</f>
        <v/>
      </c>
      <c r="G478" s="83">
        <f>'COMPOSIÇÃO DE VALORES'!L478</f>
        <v/>
      </c>
      <c r="H478" s="83">
        <f>G478*B478</f>
        <v/>
      </c>
      <c r="I478" s="82">
        <f>IF(('COMPOSIÇÃO DE VALORES'!M478)=0,"-",('COMPOSIÇÃO DE VALORES'!M478))</f>
        <v/>
      </c>
    </row>
    <row r="479" hidden="1">
      <c r="A479" s="81" t="n">
        <v>469</v>
      </c>
      <c r="B479" s="82">
        <f>'COMPOSIÇÃO DE VALORES'!B479</f>
        <v/>
      </c>
      <c r="C479" s="82">
        <f>'COMPOSIÇÃO DE VALORES'!C479</f>
        <v/>
      </c>
      <c r="D479" s="82">
        <f>'COMPOSIÇÃO DE VALORES'!D479</f>
        <v/>
      </c>
      <c r="E479" s="82">
        <f>'COMPOSIÇÃO DE VALORES'!G479</f>
        <v/>
      </c>
      <c r="F479" s="82">
        <f>'COMPOSIÇÃO DE VALORES'!H479</f>
        <v/>
      </c>
      <c r="G479" s="83">
        <f>'COMPOSIÇÃO DE VALORES'!L479</f>
        <v/>
      </c>
      <c r="H479" s="83">
        <f>G479*B479</f>
        <v/>
      </c>
      <c r="I479" s="82">
        <f>IF(('COMPOSIÇÃO DE VALORES'!M479)=0,"-",('COMPOSIÇÃO DE VALORES'!M479))</f>
        <v/>
      </c>
    </row>
    <row r="480" hidden="1">
      <c r="A480" s="81" t="n">
        <v>470</v>
      </c>
      <c r="B480" s="82">
        <f>'COMPOSIÇÃO DE VALORES'!B480</f>
        <v/>
      </c>
      <c r="C480" s="82">
        <f>'COMPOSIÇÃO DE VALORES'!C480</f>
        <v/>
      </c>
      <c r="D480" s="82">
        <f>'COMPOSIÇÃO DE VALORES'!D480</f>
        <v/>
      </c>
      <c r="E480" s="82">
        <f>'COMPOSIÇÃO DE VALORES'!G480</f>
        <v/>
      </c>
      <c r="F480" s="82">
        <f>'COMPOSIÇÃO DE VALORES'!H480</f>
        <v/>
      </c>
      <c r="G480" s="83">
        <f>'COMPOSIÇÃO DE VALORES'!L480</f>
        <v/>
      </c>
      <c r="H480" s="83">
        <f>G480*B480</f>
        <v/>
      </c>
      <c r="I480" s="82">
        <f>IF(('COMPOSIÇÃO DE VALORES'!M480)=0,"-",('COMPOSIÇÃO DE VALORES'!M480))</f>
        <v/>
      </c>
    </row>
    <row r="481" hidden="1">
      <c r="A481" s="81" t="n">
        <v>471</v>
      </c>
      <c r="B481" s="82">
        <f>'COMPOSIÇÃO DE VALORES'!B481</f>
        <v/>
      </c>
      <c r="C481" s="82">
        <f>'COMPOSIÇÃO DE VALORES'!C481</f>
        <v/>
      </c>
      <c r="D481" s="82">
        <f>'COMPOSIÇÃO DE VALORES'!D481</f>
        <v/>
      </c>
      <c r="E481" s="82">
        <f>'COMPOSIÇÃO DE VALORES'!G481</f>
        <v/>
      </c>
      <c r="F481" s="82">
        <f>'COMPOSIÇÃO DE VALORES'!H481</f>
        <v/>
      </c>
      <c r="G481" s="83">
        <f>'COMPOSIÇÃO DE VALORES'!L481</f>
        <v/>
      </c>
      <c r="H481" s="83">
        <f>G481*B481</f>
        <v/>
      </c>
      <c r="I481" s="82">
        <f>IF(('COMPOSIÇÃO DE VALORES'!M481)=0,"-",('COMPOSIÇÃO DE VALORES'!M481))</f>
        <v/>
      </c>
    </row>
    <row r="482" hidden="1">
      <c r="A482" s="81" t="n">
        <v>472</v>
      </c>
      <c r="B482" s="82">
        <f>'COMPOSIÇÃO DE VALORES'!B482</f>
        <v/>
      </c>
      <c r="C482" s="82">
        <f>'COMPOSIÇÃO DE VALORES'!C482</f>
        <v/>
      </c>
      <c r="D482" s="82">
        <f>'COMPOSIÇÃO DE VALORES'!D482</f>
        <v/>
      </c>
      <c r="E482" s="82">
        <f>'COMPOSIÇÃO DE VALORES'!G482</f>
        <v/>
      </c>
      <c r="F482" s="82">
        <f>'COMPOSIÇÃO DE VALORES'!H482</f>
        <v/>
      </c>
      <c r="G482" s="83">
        <f>'COMPOSIÇÃO DE VALORES'!L482</f>
        <v/>
      </c>
      <c r="H482" s="83">
        <f>G482*B482</f>
        <v/>
      </c>
      <c r="I482" s="82">
        <f>IF(('COMPOSIÇÃO DE VALORES'!M482)=0,"-",('COMPOSIÇÃO DE VALORES'!M482))</f>
        <v/>
      </c>
    </row>
    <row r="483" hidden="1">
      <c r="A483" s="81" t="n">
        <v>473</v>
      </c>
      <c r="B483" s="82">
        <f>'COMPOSIÇÃO DE VALORES'!B483</f>
        <v/>
      </c>
      <c r="C483" s="82">
        <f>'COMPOSIÇÃO DE VALORES'!C483</f>
        <v/>
      </c>
      <c r="D483" s="82">
        <f>'COMPOSIÇÃO DE VALORES'!D483</f>
        <v/>
      </c>
      <c r="E483" s="82">
        <f>'COMPOSIÇÃO DE VALORES'!G483</f>
        <v/>
      </c>
      <c r="F483" s="82">
        <f>'COMPOSIÇÃO DE VALORES'!H483</f>
        <v/>
      </c>
      <c r="G483" s="83">
        <f>'COMPOSIÇÃO DE VALORES'!L483</f>
        <v/>
      </c>
      <c r="H483" s="83">
        <f>G483*B483</f>
        <v/>
      </c>
      <c r="I483" s="82">
        <f>IF(('COMPOSIÇÃO DE VALORES'!M483)=0,"-",('COMPOSIÇÃO DE VALORES'!M483))</f>
        <v/>
      </c>
    </row>
    <row r="484" hidden="1">
      <c r="A484" s="81" t="n">
        <v>474</v>
      </c>
      <c r="B484" s="82">
        <f>'COMPOSIÇÃO DE VALORES'!B484</f>
        <v/>
      </c>
      <c r="C484" s="82">
        <f>'COMPOSIÇÃO DE VALORES'!C484</f>
        <v/>
      </c>
      <c r="D484" s="82">
        <f>'COMPOSIÇÃO DE VALORES'!D484</f>
        <v/>
      </c>
      <c r="E484" s="82">
        <f>'COMPOSIÇÃO DE VALORES'!G484</f>
        <v/>
      </c>
      <c r="F484" s="82">
        <f>'COMPOSIÇÃO DE VALORES'!H484</f>
        <v/>
      </c>
      <c r="G484" s="83">
        <f>'COMPOSIÇÃO DE VALORES'!L484</f>
        <v/>
      </c>
      <c r="H484" s="83">
        <f>G484*B484</f>
        <v/>
      </c>
      <c r="I484" s="82">
        <f>IF(('COMPOSIÇÃO DE VALORES'!M484)=0,"-",('COMPOSIÇÃO DE VALORES'!M484))</f>
        <v/>
      </c>
    </row>
    <row r="485" hidden="1">
      <c r="A485" s="81" t="n">
        <v>475</v>
      </c>
      <c r="B485" s="82">
        <f>'COMPOSIÇÃO DE VALORES'!B485</f>
        <v/>
      </c>
      <c r="C485" s="82">
        <f>'COMPOSIÇÃO DE VALORES'!C485</f>
        <v/>
      </c>
      <c r="D485" s="82">
        <f>'COMPOSIÇÃO DE VALORES'!D485</f>
        <v/>
      </c>
      <c r="E485" s="82">
        <f>'COMPOSIÇÃO DE VALORES'!G485</f>
        <v/>
      </c>
      <c r="F485" s="82">
        <f>'COMPOSIÇÃO DE VALORES'!H485</f>
        <v/>
      </c>
      <c r="G485" s="83">
        <f>'COMPOSIÇÃO DE VALORES'!L485</f>
        <v/>
      </c>
      <c r="H485" s="83">
        <f>G485*B485</f>
        <v/>
      </c>
      <c r="I485" s="82">
        <f>IF(('COMPOSIÇÃO DE VALORES'!M485)=0,"-",('COMPOSIÇÃO DE VALORES'!M485))</f>
        <v/>
      </c>
    </row>
    <row r="486" hidden="1">
      <c r="A486" s="81" t="n">
        <v>476</v>
      </c>
      <c r="B486" s="82">
        <f>'COMPOSIÇÃO DE VALORES'!B486</f>
        <v/>
      </c>
      <c r="C486" s="82">
        <f>'COMPOSIÇÃO DE VALORES'!C486</f>
        <v/>
      </c>
      <c r="D486" s="82">
        <f>'COMPOSIÇÃO DE VALORES'!D486</f>
        <v/>
      </c>
      <c r="E486" s="82">
        <f>'COMPOSIÇÃO DE VALORES'!G486</f>
        <v/>
      </c>
      <c r="F486" s="82">
        <f>'COMPOSIÇÃO DE VALORES'!H486</f>
        <v/>
      </c>
      <c r="G486" s="83">
        <f>'COMPOSIÇÃO DE VALORES'!L486</f>
        <v/>
      </c>
      <c r="H486" s="83">
        <f>G486*B486</f>
        <v/>
      </c>
      <c r="I486" s="82">
        <f>IF(('COMPOSIÇÃO DE VALORES'!M486)=0,"-",('COMPOSIÇÃO DE VALORES'!M486))</f>
        <v/>
      </c>
    </row>
    <row r="487" hidden="1">
      <c r="A487" s="81" t="n">
        <v>477</v>
      </c>
      <c r="B487" s="82">
        <f>'COMPOSIÇÃO DE VALORES'!B487</f>
        <v/>
      </c>
      <c r="C487" s="82">
        <f>'COMPOSIÇÃO DE VALORES'!C487</f>
        <v/>
      </c>
      <c r="D487" s="82">
        <f>'COMPOSIÇÃO DE VALORES'!D487</f>
        <v/>
      </c>
      <c r="E487" s="82">
        <f>'COMPOSIÇÃO DE VALORES'!G487</f>
        <v/>
      </c>
      <c r="F487" s="82">
        <f>'COMPOSIÇÃO DE VALORES'!H487</f>
        <v/>
      </c>
      <c r="G487" s="83">
        <f>'COMPOSIÇÃO DE VALORES'!L487</f>
        <v/>
      </c>
      <c r="H487" s="83">
        <f>G487*B487</f>
        <v/>
      </c>
      <c r="I487" s="82">
        <f>IF(('COMPOSIÇÃO DE VALORES'!M487)=0,"-",('COMPOSIÇÃO DE VALORES'!M487))</f>
        <v/>
      </c>
    </row>
    <row r="488" hidden="1">
      <c r="A488" s="81" t="n">
        <v>478</v>
      </c>
      <c r="B488" s="82">
        <f>'COMPOSIÇÃO DE VALORES'!B488</f>
        <v/>
      </c>
      <c r="C488" s="82">
        <f>'COMPOSIÇÃO DE VALORES'!C488</f>
        <v/>
      </c>
      <c r="D488" s="82">
        <f>'COMPOSIÇÃO DE VALORES'!D488</f>
        <v/>
      </c>
      <c r="E488" s="82">
        <f>'COMPOSIÇÃO DE VALORES'!G488</f>
        <v/>
      </c>
      <c r="F488" s="82">
        <f>'COMPOSIÇÃO DE VALORES'!H488</f>
        <v/>
      </c>
      <c r="G488" s="83">
        <f>'COMPOSIÇÃO DE VALORES'!L488</f>
        <v/>
      </c>
      <c r="H488" s="83">
        <f>G488*B488</f>
        <v/>
      </c>
      <c r="I488" s="82">
        <f>IF(('COMPOSIÇÃO DE VALORES'!M488)=0,"-",('COMPOSIÇÃO DE VALORES'!M488))</f>
        <v/>
      </c>
    </row>
    <row r="489" hidden="1">
      <c r="A489" s="81" t="n">
        <v>479</v>
      </c>
      <c r="B489" s="82">
        <f>'COMPOSIÇÃO DE VALORES'!B489</f>
        <v/>
      </c>
      <c r="C489" s="82">
        <f>'COMPOSIÇÃO DE VALORES'!C489</f>
        <v/>
      </c>
      <c r="D489" s="82">
        <f>'COMPOSIÇÃO DE VALORES'!D489</f>
        <v/>
      </c>
      <c r="E489" s="82">
        <f>'COMPOSIÇÃO DE VALORES'!G489</f>
        <v/>
      </c>
      <c r="F489" s="82">
        <f>'COMPOSIÇÃO DE VALORES'!H489</f>
        <v/>
      </c>
      <c r="G489" s="83">
        <f>'COMPOSIÇÃO DE VALORES'!L489</f>
        <v/>
      </c>
      <c r="H489" s="83">
        <f>G489*B489</f>
        <v/>
      </c>
      <c r="I489" s="82">
        <f>IF(('COMPOSIÇÃO DE VALORES'!M489)=0,"-",('COMPOSIÇÃO DE VALORES'!M489))</f>
        <v/>
      </c>
    </row>
    <row r="490" hidden="1">
      <c r="A490" s="81" t="n">
        <v>480</v>
      </c>
      <c r="B490" s="82">
        <f>'COMPOSIÇÃO DE VALORES'!B490</f>
        <v/>
      </c>
      <c r="C490" s="82">
        <f>'COMPOSIÇÃO DE VALORES'!C490</f>
        <v/>
      </c>
      <c r="D490" s="82">
        <f>'COMPOSIÇÃO DE VALORES'!D490</f>
        <v/>
      </c>
      <c r="E490" s="82">
        <f>'COMPOSIÇÃO DE VALORES'!G490</f>
        <v/>
      </c>
      <c r="F490" s="82">
        <f>'COMPOSIÇÃO DE VALORES'!H490</f>
        <v/>
      </c>
      <c r="G490" s="83">
        <f>'COMPOSIÇÃO DE VALORES'!L490</f>
        <v/>
      </c>
      <c r="H490" s="83">
        <f>G490*B490</f>
        <v/>
      </c>
      <c r="I490" s="82">
        <f>IF(('COMPOSIÇÃO DE VALORES'!M490)=0,"-",('COMPOSIÇÃO DE VALORES'!M490))</f>
        <v/>
      </c>
    </row>
    <row r="491" hidden="1">
      <c r="A491" s="81" t="n">
        <v>481</v>
      </c>
      <c r="B491" s="82">
        <f>'COMPOSIÇÃO DE VALORES'!B491</f>
        <v/>
      </c>
      <c r="C491" s="82">
        <f>'COMPOSIÇÃO DE VALORES'!C491</f>
        <v/>
      </c>
      <c r="D491" s="82">
        <f>'COMPOSIÇÃO DE VALORES'!D491</f>
        <v/>
      </c>
      <c r="E491" s="82">
        <f>'COMPOSIÇÃO DE VALORES'!G491</f>
        <v/>
      </c>
      <c r="F491" s="82">
        <f>'COMPOSIÇÃO DE VALORES'!H491</f>
        <v/>
      </c>
      <c r="G491" s="83">
        <f>'COMPOSIÇÃO DE VALORES'!L491</f>
        <v/>
      </c>
      <c r="H491" s="83">
        <f>G491*B491</f>
        <v/>
      </c>
      <c r="I491" s="82">
        <f>IF(('COMPOSIÇÃO DE VALORES'!M491)=0,"-",('COMPOSIÇÃO DE VALORES'!M491))</f>
        <v/>
      </c>
    </row>
    <row r="492" hidden="1">
      <c r="A492" s="81" t="n">
        <v>482</v>
      </c>
      <c r="B492" s="82">
        <f>'COMPOSIÇÃO DE VALORES'!B492</f>
        <v/>
      </c>
      <c r="C492" s="82">
        <f>'COMPOSIÇÃO DE VALORES'!C492</f>
        <v/>
      </c>
      <c r="D492" s="82">
        <f>'COMPOSIÇÃO DE VALORES'!D492</f>
        <v/>
      </c>
      <c r="E492" s="82">
        <f>'COMPOSIÇÃO DE VALORES'!G492</f>
        <v/>
      </c>
      <c r="F492" s="82">
        <f>'COMPOSIÇÃO DE VALORES'!H492</f>
        <v/>
      </c>
      <c r="G492" s="83">
        <f>'COMPOSIÇÃO DE VALORES'!L492</f>
        <v/>
      </c>
      <c r="H492" s="83">
        <f>G492*B492</f>
        <v/>
      </c>
      <c r="I492" s="82">
        <f>IF(('COMPOSIÇÃO DE VALORES'!M492)=0,"-",('COMPOSIÇÃO DE VALORES'!M492))</f>
        <v/>
      </c>
    </row>
    <row r="493" hidden="1">
      <c r="A493" s="81" t="n">
        <v>483</v>
      </c>
      <c r="B493" s="82">
        <f>'COMPOSIÇÃO DE VALORES'!B493</f>
        <v/>
      </c>
      <c r="C493" s="82">
        <f>'COMPOSIÇÃO DE VALORES'!C493</f>
        <v/>
      </c>
      <c r="D493" s="82">
        <f>'COMPOSIÇÃO DE VALORES'!D493</f>
        <v/>
      </c>
      <c r="E493" s="82">
        <f>'COMPOSIÇÃO DE VALORES'!G493</f>
        <v/>
      </c>
      <c r="F493" s="82">
        <f>'COMPOSIÇÃO DE VALORES'!H493</f>
        <v/>
      </c>
      <c r="G493" s="83">
        <f>'COMPOSIÇÃO DE VALORES'!L493</f>
        <v/>
      </c>
      <c r="H493" s="83">
        <f>G493*B493</f>
        <v/>
      </c>
      <c r="I493" s="82">
        <f>IF(('COMPOSIÇÃO DE VALORES'!M493)=0,"-",('COMPOSIÇÃO DE VALORES'!M493))</f>
        <v/>
      </c>
    </row>
    <row r="494" hidden="1">
      <c r="A494" s="81" t="n">
        <v>484</v>
      </c>
      <c r="B494" s="82">
        <f>'COMPOSIÇÃO DE VALORES'!B494</f>
        <v/>
      </c>
      <c r="C494" s="82">
        <f>'COMPOSIÇÃO DE VALORES'!C494</f>
        <v/>
      </c>
      <c r="D494" s="82">
        <f>'COMPOSIÇÃO DE VALORES'!D494</f>
        <v/>
      </c>
      <c r="E494" s="82">
        <f>'COMPOSIÇÃO DE VALORES'!G494</f>
        <v/>
      </c>
      <c r="F494" s="82">
        <f>'COMPOSIÇÃO DE VALORES'!H494</f>
        <v/>
      </c>
      <c r="G494" s="83">
        <f>'COMPOSIÇÃO DE VALORES'!L494</f>
        <v/>
      </c>
      <c r="H494" s="83">
        <f>G494*B494</f>
        <v/>
      </c>
      <c r="I494" s="82">
        <f>IF(('COMPOSIÇÃO DE VALORES'!M494)=0,"-",('COMPOSIÇÃO DE VALORES'!M494))</f>
        <v/>
      </c>
    </row>
    <row r="495" hidden="1">
      <c r="A495" s="81" t="n">
        <v>485</v>
      </c>
      <c r="B495" s="82">
        <f>'COMPOSIÇÃO DE VALORES'!B495</f>
        <v/>
      </c>
      <c r="C495" s="82">
        <f>'COMPOSIÇÃO DE VALORES'!C495</f>
        <v/>
      </c>
      <c r="D495" s="82">
        <f>'COMPOSIÇÃO DE VALORES'!D495</f>
        <v/>
      </c>
      <c r="E495" s="82">
        <f>'COMPOSIÇÃO DE VALORES'!G495</f>
        <v/>
      </c>
      <c r="F495" s="82">
        <f>'COMPOSIÇÃO DE VALORES'!H495</f>
        <v/>
      </c>
      <c r="G495" s="83">
        <f>'COMPOSIÇÃO DE VALORES'!L495</f>
        <v/>
      </c>
      <c r="H495" s="83">
        <f>G495*B495</f>
        <v/>
      </c>
      <c r="I495" s="82">
        <f>IF(('COMPOSIÇÃO DE VALORES'!M495)=0,"-",('COMPOSIÇÃO DE VALORES'!M495))</f>
        <v/>
      </c>
    </row>
    <row r="496" hidden="1">
      <c r="A496" s="81" t="n">
        <v>486</v>
      </c>
      <c r="B496" s="82">
        <f>'COMPOSIÇÃO DE VALORES'!B496</f>
        <v/>
      </c>
      <c r="C496" s="82">
        <f>'COMPOSIÇÃO DE VALORES'!C496</f>
        <v/>
      </c>
      <c r="D496" s="82">
        <f>'COMPOSIÇÃO DE VALORES'!D496</f>
        <v/>
      </c>
      <c r="E496" s="82">
        <f>'COMPOSIÇÃO DE VALORES'!G496</f>
        <v/>
      </c>
      <c r="F496" s="82">
        <f>'COMPOSIÇÃO DE VALORES'!H496</f>
        <v/>
      </c>
      <c r="G496" s="83">
        <f>'COMPOSIÇÃO DE VALORES'!L496</f>
        <v/>
      </c>
      <c r="H496" s="83">
        <f>G496*B496</f>
        <v/>
      </c>
      <c r="I496" s="82">
        <f>IF(('COMPOSIÇÃO DE VALORES'!M496)=0,"-",('COMPOSIÇÃO DE VALORES'!M496))</f>
        <v/>
      </c>
    </row>
    <row r="497" hidden="1">
      <c r="A497" s="81" t="n">
        <v>487</v>
      </c>
      <c r="B497" s="82">
        <f>'COMPOSIÇÃO DE VALORES'!B497</f>
        <v/>
      </c>
      <c r="C497" s="82">
        <f>'COMPOSIÇÃO DE VALORES'!C497</f>
        <v/>
      </c>
      <c r="D497" s="82">
        <f>'COMPOSIÇÃO DE VALORES'!D497</f>
        <v/>
      </c>
      <c r="E497" s="82">
        <f>'COMPOSIÇÃO DE VALORES'!G497</f>
        <v/>
      </c>
      <c r="F497" s="82">
        <f>'COMPOSIÇÃO DE VALORES'!H497</f>
        <v/>
      </c>
      <c r="G497" s="83">
        <f>'COMPOSIÇÃO DE VALORES'!L497</f>
        <v/>
      </c>
      <c r="H497" s="83">
        <f>G497*B497</f>
        <v/>
      </c>
      <c r="I497" s="82">
        <f>IF(('COMPOSIÇÃO DE VALORES'!M497)=0,"-",('COMPOSIÇÃO DE VALORES'!M497))</f>
        <v/>
      </c>
    </row>
    <row r="498" hidden="1">
      <c r="A498" s="81" t="n">
        <v>488</v>
      </c>
      <c r="B498" s="82">
        <f>'COMPOSIÇÃO DE VALORES'!B498</f>
        <v/>
      </c>
      <c r="C498" s="82">
        <f>'COMPOSIÇÃO DE VALORES'!C498</f>
        <v/>
      </c>
      <c r="D498" s="82">
        <f>'COMPOSIÇÃO DE VALORES'!D498</f>
        <v/>
      </c>
      <c r="E498" s="82">
        <f>'COMPOSIÇÃO DE VALORES'!G498</f>
        <v/>
      </c>
      <c r="F498" s="82">
        <f>'COMPOSIÇÃO DE VALORES'!H498</f>
        <v/>
      </c>
      <c r="G498" s="83">
        <f>'COMPOSIÇÃO DE VALORES'!L498</f>
        <v/>
      </c>
      <c r="H498" s="83">
        <f>G498*B498</f>
        <v/>
      </c>
      <c r="I498" s="82">
        <f>IF(('COMPOSIÇÃO DE VALORES'!M498)=0,"-",('COMPOSIÇÃO DE VALORES'!M498))</f>
        <v/>
      </c>
    </row>
    <row r="499" hidden="1">
      <c r="A499" s="81" t="n">
        <v>489</v>
      </c>
      <c r="B499" s="82">
        <f>'COMPOSIÇÃO DE VALORES'!B499</f>
        <v/>
      </c>
      <c r="C499" s="82">
        <f>'COMPOSIÇÃO DE VALORES'!C499</f>
        <v/>
      </c>
      <c r="D499" s="82">
        <f>'COMPOSIÇÃO DE VALORES'!D499</f>
        <v/>
      </c>
      <c r="E499" s="82">
        <f>'COMPOSIÇÃO DE VALORES'!G499</f>
        <v/>
      </c>
      <c r="F499" s="82">
        <f>'COMPOSIÇÃO DE VALORES'!H499</f>
        <v/>
      </c>
      <c r="G499" s="83">
        <f>'COMPOSIÇÃO DE VALORES'!L499</f>
        <v/>
      </c>
      <c r="H499" s="83">
        <f>G499*B499</f>
        <v/>
      </c>
      <c r="I499" s="82">
        <f>IF(('COMPOSIÇÃO DE VALORES'!M499)=0,"-",('COMPOSIÇÃO DE VALORES'!M499))</f>
        <v/>
      </c>
    </row>
    <row r="500" hidden="1">
      <c r="A500" s="81" t="n">
        <v>490</v>
      </c>
      <c r="B500" s="82">
        <f>'COMPOSIÇÃO DE VALORES'!B500</f>
        <v/>
      </c>
      <c r="C500" s="82">
        <f>'COMPOSIÇÃO DE VALORES'!C500</f>
        <v/>
      </c>
      <c r="D500" s="82">
        <f>'COMPOSIÇÃO DE VALORES'!D500</f>
        <v/>
      </c>
      <c r="E500" s="82">
        <f>'COMPOSIÇÃO DE VALORES'!G500</f>
        <v/>
      </c>
      <c r="F500" s="82">
        <f>'COMPOSIÇÃO DE VALORES'!H500</f>
        <v/>
      </c>
      <c r="G500" s="83">
        <f>'COMPOSIÇÃO DE VALORES'!L500</f>
        <v/>
      </c>
      <c r="H500" s="83">
        <f>G500*B500</f>
        <v/>
      </c>
      <c r="I500" s="82">
        <f>IF(('COMPOSIÇÃO DE VALORES'!M500)=0,"-",('COMPOSIÇÃO DE VALORES'!M500))</f>
        <v/>
      </c>
    </row>
    <row r="501" hidden="1">
      <c r="A501" s="81" t="n">
        <v>491</v>
      </c>
      <c r="B501" s="82">
        <f>'COMPOSIÇÃO DE VALORES'!B501</f>
        <v/>
      </c>
      <c r="C501" s="82">
        <f>'COMPOSIÇÃO DE VALORES'!C501</f>
        <v/>
      </c>
      <c r="D501" s="82">
        <f>'COMPOSIÇÃO DE VALORES'!D501</f>
        <v/>
      </c>
      <c r="E501" s="82">
        <f>'COMPOSIÇÃO DE VALORES'!G501</f>
        <v/>
      </c>
      <c r="F501" s="82">
        <f>'COMPOSIÇÃO DE VALORES'!H501</f>
        <v/>
      </c>
      <c r="G501" s="83">
        <f>'COMPOSIÇÃO DE VALORES'!L501</f>
        <v/>
      </c>
      <c r="H501" s="83">
        <f>G501*B501</f>
        <v/>
      </c>
      <c r="I501" s="82">
        <f>IF(('COMPOSIÇÃO DE VALORES'!M501)=0,"-",('COMPOSIÇÃO DE VALORES'!M501))</f>
        <v/>
      </c>
    </row>
    <row r="502" hidden="1">
      <c r="A502" s="81" t="n">
        <v>492</v>
      </c>
      <c r="B502" s="82">
        <f>'COMPOSIÇÃO DE VALORES'!B502</f>
        <v/>
      </c>
      <c r="C502" s="82">
        <f>'COMPOSIÇÃO DE VALORES'!C502</f>
        <v/>
      </c>
      <c r="D502" s="82">
        <f>'COMPOSIÇÃO DE VALORES'!D502</f>
        <v/>
      </c>
      <c r="E502" s="82">
        <f>'COMPOSIÇÃO DE VALORES'!G502</f>
        <v/>
      </c>
      <c r="F502" s="82">
        <f>'COMPOSIÇÃO DE VALORES'!H502</f>
        <v/>
      </c>
      <c r="G502" s="83">
        <f>'COMPOSIÇÃO DE VALORES'!L502</f>
        <v/>
      </c>
      <c r="H502" s="83">
        <f>G502*B502</f>
        <v/>
      </c>
      <c r="I502" s="82">
        <f>IF(('COMPOSIÇÃO DE VALORES'!M502)=0,"-",('COMPOSIÇÃO DE VALORES'!M502))</f>
        <v/>
      </c>
    </row>
    <row r="503" hidden="1">
      <c r="A503" s="81" t="n">
        <v>493</v>
      </c>
      <c r="B503" s="82">
        <f>'COMPOSIÇÃO DE VALORES'!B503</f>
        <v/>
      </c>
      <c r="C503" s="82">
        <f>'COMPOSIÇÃO DE VALORES'!C503</f>
        <v/>
      </c>
      <c r="D503" s="82">
        <f>'COMPOSIÇÃO DE VALORES'!D503</f>
        <v/>
      </c>
      <c r="E503" s="82">
        <f>'COMPOSIÇÃO DE VALORES'!G503</f>
        <v/>
      </c>
      <c r="F503" s="82">
        <f>'COMPOSIÇÃO DE VALORES'!H503</f>
        <v/>
      </c>
      <c r="G503" s="83">
        <f>'COMPOSIÇÃO DE VALORES'!L503</f>
        <v/>
      </c>
      <c r="H503" s="83">
        <f>G503*B503</f>
        <v/>
      </c>
      <c r="I503" s="82">
        <f>IF(('COMPOSIÇÃO DE VALORES'!M503)=0,"-",('COMPOSIÇÃO DE VALORES'!M503))</f>
        <v/>
      </c>
    </row>
    <row r="504" hidden="1">
      <c r="A504" s="81" t="n">
        <v>494</v>
      </c>
      <c r="B504" s="82">
        <f>'COMPOSIÇÃO DE VALORES'!B504</f>
        <v/>
      </c>
      <c r="C504" s="82">
        <f>'COMPOSIÇÃO DE VALORES'!C504</f>
        <v/>
      </c>
      <c r="D504" s="82">
        <f>'COMPOSIÇÃO DE VALORES'!D504</f>
        <v/>
      </c>
      <c r="E504" s="82">
        <f>'COMPOSIÇÃO DE VALORES'!G504</f>
        <v/>
      </c>
      <c r="F504" s="82">
        <f>'COMPOSIÇÃO DE VALORES'!H504</f>
        <v/>
      </c>
      <c r="G504" s="83">
        <f>'COMPOSIÇÃO DE VALORES'!L504</f>
        <v/>
      </c>
      <c r="H504" s="83">
        <f>G504*B504</f>
        <v/>
      </c>
      <c r="I504" s="82">
        <f>IF(('COMPOSIÇÃO DE VALORES'!M504)=0,"-",('COMPOSIÇÃO DE VALORES'!M504))</f>
        <v/>
      </c>
    </row>
    <row r="505" hidden="1">
      <c r="A505" s="81" t="n">
        <v>495</v>
      </c>
      <c r="B505" s="82">
        <f>'COMPOSIÇÃO DE VALORES'!B505</f>
        <v/>
      </c>
      <c r="C505" s="82">
        <f>'COMPOSIÇÃO DE VALORES'!C505</f>
        <v/>
      </c>
      <c r="D505" s="82">
        <f>'COMPOSIÇÃO DE VALORES'!D505</f>
        <v/>
      </c>
      <c r="E505" s="82">
        <f>'COMPOSIÇÃO DE VALORES'!G505</f>
        <v/>
      </c>
      <c r="F505" s="82">
        <f>'COMPOSIÇÃO DE VALORES'!H505</f>
        <v/>
      </c>
      <c r="G505" s="83">
        <f>'COMPOSIÇÃO DE VALORES'!L505</f>
        <v/>
      </c>
      <c r="H505" s="83">
        <f>G505*B505</f>
        <v/>
      </c>
      <c r="I505" s="82">
        <f>IF(('COMPOSIÇÃO DE VALORES'!M505)=0,"-",('COMPOSIÇÃO DE VALORES'!M505))</f>
        <v/>
      </c>
    </row>
    <row r="506" hidden="1">
      <c r="A506" s="81" t="n">
        <v>496</v>
      </c>
      <c r="B506" s="82">
        <f>'COMPOSIÇÃO DE VALORES'!B506</f>
        <v/>
      </c>
      <c r="C506" s="82">
        <f>'COMPOSIÇÃO DE VALORES'!C506</f>
        <v/>
      </c>
      <c r="D506" s="82">
        <f>'COMPOSIÇÃO DE VALORES'!D506</f>
        <v/>
      </c>
      <c r="E506" s="82">
        <f>'COMPOSIÇÃO DE VALORES'!G506</f>
        <v/>
      </c>
      <c r="F506" s="82">
        <f>'COMPOSIÇÃO DE VALORES'!H506</f>
        <v/>
      </c>
      <c r="G506" s="83">
        <f>'COMPOSIÇÃO DE VALORES'!L506</f>
        <v/>
      </c>
      <c r="H506" s="83">
        <f>G506*B506</f>
        <v/>
      </c>
      <c r="I506" s="82">
        <f>IF(('COMPOSIÇÃO DE VALORES'!M506)=0,"-",('COMPOSIÇÃO DE VALORES'!M506))</f>
        <v/>
      </c>
    </row>
    <row r="507" hidden="1">
      <c r="A507" s="81" t="n">
        <v>497</v>
      </c>
      <c r="B507" s="82">
        <f>'COMPOSIÇÃO DE VALORES'!B507</f>
        <v/>
      </c>
      <c r="C507" s="82">
        <f>'COMPOSIÇÃO DE VALORES'!C507</f>
        <v/>
      </c>
      <c r="D507" s="82">
        <f>'COMPOSIÇÃO DE VALORES'!D507</f>
        <v/>
      </c>
      <c r="E507" s="82">
        <f>'COMPOSIÇÃO DE VALORES'!G507</f>
        <v/>
      </c>
      <c r="F507" s="82">
        <f>'COMPOSIÇÃO DE VALORES'!H507</f>
        <v/>
      </c>
      <c r="G507" s="83">
        <f>'COMPOSIÇÃO DE VALORES'!L507</f>
        <v/>
      </c>
      <c r="H507" s="83">
        <f>G507*B507</f>
        <v/>
      </c>
      <c r="I507" s="82">
        <f>IF(('COMPOSIÇÃO DE VALORES'!M507)=0,"-",('COMPOSIÇÃO DE VALORES'!M507))</f>
        <v/>
      </c>
    </row>
    <row r="508" hidden="1">
      <c r="A508" s="81" t="n">
        <v>498</v>
      </c>
      <c r="B508" s="82">
        <f>'COMPOSIÇÃO DE VALORES'!B508</f>
        <v/>
      </c>
      <c r="C508" s="82">
        <f>'COMPOSIÇÃO DE VALORES'!C508</f>
        <v/>
      </c>
      <c r="D508" s="82">
        <f>'COMPOSIÇÃO DE VALORES'!D508</f>
        <v/>
      </c>
      <c r="E508" s="82">
        <f>'COMPOSIÇÃO DE VALORES'!G508</f>
        <v/>
      </c>
      <c r="F508" s="82">
        <f>'COMPOSIÇÃO DE VALORES'!H508</f>
        <v/>
      </c>
      <c r="G508" s="83">
        <f>'COMPOSIÇÃO DE VALORES'!L508</f>
        <v/>
      </c>
      <c r="H508" s="83">
        <f>G508*B508</f>
        <v/>
      </c>
      <c r="I508" s="82">
        <f>IF(('COMPOSIÇÃO DE VALORES'!M508)=0,"-",('COMPOSIÇÃO DE VALORES'!M508))</f>
        <v/>
      </c>
    </row>
    <row r="509" hidden="1">
      <c r="A509" s="81" t="n">
        <v>499</v>
      </c>
      <c r="B509" s="82">
        <f>'COMPOSIÇÃO DE VALORES'!B509</f>
        <v/>
      </c>
      <c r="C509" s="82">
        <f>'COMPOSIÇÃO DE VALORES'!C509</f>
        <v/>
      </c>
      <c r="D509" s="82">
        <f>'COMPOSIÇÃO DE VALORES'!D509</f>
        <v/>
      </c>
      <c r="E509" s="82">
        <f>'COMPOSIÇÃO DE VALORES'!G509</f>
        <v/>
      </c>
      <c r="F509" s="82">
        <f>'COMPOSIÇÃO DE VALORES'!H509</f>
        <v/>
      </c>
      <c r="G509" s="83">
        <f>'COMPOSIÇÃO DE VALORES'!L509</f>
        <v/>
      </c>
      <c r="H509" s="83">
        <f>G509*B509</f>
        <v/>
      </c>
      <c r="I509" s="82">
        <f>IF(('COMPOSIÇÃO DE VALORES'!M509)=0,"-",('COMPOSIÇÃO DE VALORES'!M509))</f>
        <v/>
      </c>
    </row>
    <row r="510" hidden="1">
      <c r="A510" s="81" t="n">
        <v>500</v>
      </c>
      <c r="B510" s="82">
        <f>'COMPOSIÇÃO DE VALORES'!B510</f>
        <v/>
      </c>
      <c r="C510" s="82">
        <f>'COMPOSIÇÃO DE VALORES'!C510</f>
        <v/>
      </c>
      <c r="D510" s="82">
        <f>'COMPOSIÇÃO DE VALORES'!D510</f>
        <v/>
      </c>
      <c r="E510" s="82">
        <f>'COMPOSIÇÃO DE VALORES'!G510</f>
        <v/>
      </c>
      <c r="F510" s="82">
        <f>'COMPOSIÇÃO DE VALORES'!H510</f>
        <v/>
      </c>
      <c r="G510" s="83">
        <f>'COMPOSIÇÃO DE VALORES'!L510</f>
        <v/>
      </c>
      <c r="H510" s="83">
        <f>G510*B510</f>
        <v/>
      </c>
      <c r="I510" s="82">
        <f>IF(('COMPOSIÇÃO DE VALORES'!M510)=0,"-",('COMPOSIÇÃO DE VALORES'!M510))</f>
        <v/>
      </c>
    </row>
  </sheetData>
  <sheetProtection selectLockedCells="0" selectUnlockedCells="0" algorithmName="SHA-512" sheet="1" objects="0" insertRows="1" insertHyperlinks="1" autoFilter="0" scenarios="0" formatColumns="1" deleteColumns="1" insertColumns="1" pivotTables="1" deleteRows="1" formatCells="1" saltValue="i34NXBem/w3nGIJgTGWfrA==" formatRows="0" sort="0" spinCount="100000" hashValue="wqpD/pQcIL6IbAnKTmfiYqEH/LGJOIUMLgI+UwQM04wXCiPFIGthybkzYr+D9hQke3VxsIRbpE8O+bsZgmyR9g=="/>
  <autoFilter ref="A10:G510">
    <filterColumn colId="3" hiddenButton="0" showButton="1">
      <filters>
        <filter val="010 DIFUSOR LINEAR ALS-S-2 1100 BRANCO TROX"/>
        <filter val="010 DIFUSOR LINEAR ALS-S-3 1100 BRANCO TROX"/>
        <filter val="010 VENEZIANA AWK 497 X 197 BRANCA TROX"/>
      </filters>
    </filterColumn>
  </autoFilter>
  <mergeCells count="12">
    <mergeCell ref="A4:B4"/>
    <mergeCell ref="F4:G4"/>
    <mergeCell ref="F3:G3"/>
    <mergeCell ref="A5:B5"/>
    <mergeCell ref="A1:B1"/>
    <mergeCell ref="C1:I1"/>
    <mergeCell ref="A8:B8"/>
    <mergeCell ref="C3:D3"/>
    <mergeCell ref="A3:B3"/>
    <mergeCell ref="A6:B6"/>
    <mergeCell ref="C8:D8"/>
    <mergeCell ref="C4:D4"/>
  </mergeCells>
  <pageMargins left="0.7480314960629921" right="0.5118110236220472" top="0.7874015748031497" bottom="0.7874015748031497" header="0.3149606299212598" footer="0.3149606299212598"/>
  <pageSetup orientation="landscape" paperSize="9" scale="54" fitToHeight="0" blackAndWhite="1" horizontalDpi="360" verticalDpi="360"/>
  <headerFooter>
    <oddHeader>&amp;L&amp;"Courier New,Normal"RETEC TECNOLOGIAS TÉRMICAS&amp;R&amp;"Courier New,Normal"&amp;D &amp;T</oddHeader>
    <oddFooter>&amp;L&amp;"Courier New,Normal"Departamento de Engenharia - Núcleo de Orçamentos&amp;R&amp;"Courier New,Normal"Página &amp;P de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José Nascimento</dc:creator>
  <dcterms:created xsi:type="dcterms:W3CDTF">2015-06-05T18:19:34Z</dcterms:created>
  <dcterms:modified xsi:type="dcterms:W3CDTF">2025-09-01T20:23:40Z</dcterms:modified>
  <cp:lastModifiedBy>Orçamento</cp:lastModifiedBy>
  <cp:lastPrinted>2025-08-08T19:25:04Z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0x010100CD4787792B5B114B8B8E69A156461AFD</vt:lpwstr>
  </property>
  <property name="MediaServiceImageTags" fmtid="{D5CDD505-2E9C-101B-9397-08002B2CF9AE}" pid="3">
    <vt:lpwstr/>
  </property>
</Properties>
</file>